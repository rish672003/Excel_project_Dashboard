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Rishabh sharma\OneDrive\Desktop\Electricpe\"/>
    </mc:Choice>
  </mc:AlternateContent>
  <xr:revisionPtr revIDLastSave="0" documentId="13_ncr:1_{D5C9CC81-3B33-4757-90F0-8F6BBC352B61}" xr6:coauthVersionLast="47" xr6:coauthVersionMax="47" xr10:uidLastSave="{00000000-0000-0000-0000-000000000000}"/>
  <bookViews>
    <workbookView xWindow="-108" yWindow="-108" windowWidth="23256" windowHeight="12456" tabRatio="750" firstSheet="4" activeTab="9" xr2:uid="{00000000-000D-0000-FFFF-FFFF00000000}"/>
  </bookViews>
  <sheets>
    <sheet name="Conversion_rates_by_stores" sheetId="11" r:id="rId1"/>
    <sheet name="average_tat_by_store_1" sheetId="12" r:id="rId2"/>
    <sheet name="high_performance_lead_by_store1" sheetId="25" r:id="rId3"/>
    <sheet name="high_performance_lead_by_cutome" sheetId="26" r:id="rId4"/>
    <sheet name="cancellations_by_store_reason__" sheetId="13" r:id="rId5"/>
    <sheet name="lead_temp_overall_1" sheetId="14" r:id="rId6"/>
    <sheet name="nps_by_store_1" sheetId="16" r:id="rId7"/>
    <sheet name="Pivot_Final" sheetId="83" r:id="rId8"/>
    <sheet name="Assisment_link" sheetId="84" r:id="rId9"/>
    <sheet name="Dashboard" sheetId="33" r:id="rId10"/>
    <sheet name="cleaned_data" sheetId="1" r:id="rId11"/>
  </sheets>
  <definedNames>
    <definedName name="_xlchart.v2.0" hidden="1">Pivot_Final!$D$48:$D$51</definedName>
    <definedName name="_xlchart.v2.1" hidden="1">Pivot_Final!$E$48:$E$51</definedName>
    <definedName name="Slicer_cancellation_status">#N/A</definedName>
    <definedName name="Slicer_lead_date">#N/A</definedName>
    <definedName name="Slicer_lead_type">#N/A</definedName>
    <definedName name="Slicer_store">#N/A</definedName>
    <definedName name="Slicer_store_name">#N/A</definedName>
  </definedNames>
  <calcPr calcId="191029"/>
  <pivotCaches>
    <pivotCache cacheId="0" r:id="rId12"/>
    <pivotCache cacheId="1" r:id="rId13"/>
    <pivotCache cacheId="2" r:id="rId14"/>
    <pivotCache cacheId="3" r:id="rId15"/>
    <pivotCache cacheId="4" r:id="rId16"/>
    <pivotCache cacheId="5" r:id="rId17"/>
    <pivotCache cacheId="6"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001" i="1" l="1"/>
  <c r="P1001" i="1"/>
  <c r="O1001" i="1"/>
  <c r="M1001" i="1"/>
  <c r="L1001" i="1"/>
  <c r="K1001" i="1"/>
  <c r="Q1000" i="1"/>
  <c r="P1000" i="1"/>
  <c r="M1000" i="1"/>
  <c r="L1000" i="1"/>
  <c r="K1000" i="1"/>
  <c r="Q999" i="1"/>
  <c r="P999" i="1"/>
  <c r="O999" i="1"/>
  <c r="M999" i="1"/>
  <c r="L999" i="1"/>
  <c r="K999" i="1"/>
  <c r="Q998" i="1"/>
  <c r="P998" i="1"/>
  <c r="O998" i="1"/>
  <c r="M998" i="1"/>
  <c r="L998" i="1"/>
  <c r="K998" i="1"/>
  <c r="Q997" i="1"/>
  <c r="P997" i="1"/>
  <c r="O997" i="1"/>
  <c r="M997" i="1"/>
  <c r="L997" i="1"/>
  <c r="K997" i="1"/>
  <c r="Q996" i="1"/>
  <c r="P996" i="1"/>
  <c r="O996" i="1"/>
  <c r="M996" i="1"/>
  <c r="L996" i="1"/>
  <c r="K996" i="1"/>
  <c r="Q995" i="1"/>
  <c r="P995" i="1"/>
  <c r="O995" i="1"/>
  <c r="M995" i="1"/>
  <c r="L995" i="1"/>
  <c r="K995" i="1"/>
  <c r="Q994" i="1"/>
  <c r="P994" i="1"/>
  <c r="O994" i="1"/>
  <c r="M994" i="1"/>
  <c r="L994" i="1"/>
  <c r="K994" i="1"/>
  <c r="Q993" i="1"/>
  <c r="P993" i="1"/>
  <c r="O993" i="1"/>
  <c r="M993" i="1"/>
  <c r="L993" i="1"/>
  <c r="K993" i="1"/>
  <c r="Q992" i="1"/>
  <c r="P992" i="1"/>
  <c r="O992" i="1"/>
  <c r="M992" i="1"/>
  <c r="L992" i="1"/>
  <c r="K992" i="1"/>
  <c r="Q991" i="1"/>
  <c r="P991" i="1"/>
  <c r="M991" i="1"/>
  <c r="L991" i="1"/>
  <c r="K991" i="1"/>
  <c r="Q990" i="1"/>
  <c r="P990" i="1"/>
  <c r="O990" i="1"/>
  <c r="M990" i="1"/>
  <c r="L990" i="1"/>
  <c r="K990" i="1"/>
  <c r="Q989" i="1"/>
  <c r="P989" i="1"/>
  <c r="O989" i="1"/>
  <c r="M989" i="1"/>
  <c r="L989" i="1"/>
  <c r="K989" i="1"/>
  <c r="Q988" i="1"/>
  <c r="P988" i="1"/>
  <c r="O988" i="1"/>
  <c r="M988" i="1"/>
  <c r="L988" i="1"/>
  <c r="K988" i="1"/>
  <c r="Q987" i="1"/>
  <c r="P987" i="1"/>
  <c r="O987" i="1"/>
  <c r="M987" i="1"/>
  <c r="L987" i="1"/>
  <c r="K987" i="1"/>
  <c r="Q986" i="1"/>
  <c r="P986" i="1"/>
  <c r="O986" i="1"/>
  <c r="M986" i="1"/>
  <c r="L986" i="1"/>
  <c r="K986" i="1"/>
  <c r="Q985" i="1"/>
  <c r="P985" i="1"/>
  <c r="O985" i="1"/>
  <c r="M985" i="1"/>
  <c r="L985" i="1"/>
  <c r="K985" i="1"/>
  <c r="Q984" i="1"/>
  <c r="P984" i="1"/>
  <c r="M984" i="1"/>
  <c r="L984" i="1"/>
  <c r="K984" i="1"/>
  <c r="Q983" i="1"/>
  <c r="P983" i="1"/>
  <c r="M983" i="1"/>
  <c r="L983" i="1"/>
  <c r="K983" i="1"/>
  <c r="Q982" i="1"/>
  <c r="P982" i="1"/>
  <c r="O982" i="1"/>
  <c r="M982" i="1"/>
  <c r="L982" i="1"/>
  <c r="K982" i="1"/>
  <c r="Q981" i="1"/>
  <c r="P981" i="1"/>
  <c r="O981" i="1"/>
  <c r="M981" i="1"/>
  <c r="L981" i="1"/>
  <c r="K981" i="1"/>
  <c r="Q980" i="1"/>
  <c r="P980" i="1"/>
  <c r="O980" i="1"/>
  <c r="M980" i="1"/>
  <c r="L980" i="1"/>
  <c r="K980" i="1"/>
  <c r="Q979" i="1"/>
  <c r="P979" i="1"/>
  <c r="M979" i="1"/>
  <c r="L979" i="1"/>
  <c r="K979" i="1"/>
  <c r="Q978" i="1"/>
  <c r="P978" i="1"/>
  <c r="O978" i="1"/>
  <c r="M978" i="1"/>
  <c r="L978" i="1"/>
  <c r="K978" i="1"/>
  <c r="Q977" i="1"/>
  <c r="P977" i="1"/>
  <c r="O977" i="1"/>
  <c r="M977" i="1"/>
  <c r="L977" i="1"/>
  <c r="K977" i="1"/>
  <c r="Q976" i="1"/>
  <c r="P976" i="1"/>
  <c r="O976" i="1"/>
  <c r="M976" i="1"/>
  <c r="L976" i="1"/>
  <c r="K976" i="1"/>
  <c r="Q975" i="1"/>
  <c r="P975" i="1"/>
  <c r="O975" i="1"/>
  <c r="M975" i="1"/>
  <c r="L975" i="1"/>
  <c r="K975" i="1"/>
  <c r="Q974" i="1"/>
  <c r="P974" i="1"/>
  <c r="O974" i="1"/>
  <c r="M974" i="1"/>
  <c r="L974" i="1"/>
  <c r="K974" i="1"/>
  <c r="Q973" i="1"/>
  <c r="P973" i="1"/>
  <c r="M973" i="1"/>
  <c r="L973" i="1"/>
  <c r="K973" i="1"/>
  <c r="Q972" i="1"/>
  <c r="P972" i="1"/>
  <c r="O972" i="1"/>
  <c r="M972" i="1"/>
  <c r="L972" i="1"/>
  <c r="K972" i="1"/>
  <c r="Q971" i="1"/>
  <c r="P971" i="1"/>
  <c r="O971" i="1"/>
  <c r="M971" i="1"/>
  <c r="L971" i="1"/>
  <c r="K971" i="1"/>
  <c r="Q970" i="1"/>
  <c r="P970" i="1"/>
  <c r="M970" i="1"/>
  <c r="L970" i="1"/>
  <c r="K970" i="1"/>
  <c r="Q969" i="1"/>
  <c r="P969" i="1"/>
  <c r="O969" i="1"/>
  <c r="M969" i="1"/>
  <c r="L969" i="1"/>
  <c r="K969" i="1"/>
  <c r="Q968" i="1"/>
  <c r="P968" i="1"/>
  <c r="O968" i="1"/>
  <c r="M968" i="1"/>
  <c r="L968" i="1"/>
  <c r="K968" i="1"/>
  <c r="Q967" i="1"/>
  <c r="P967" i="1"/>
  <c r="O967" i="1"/>
  <c r="M967" i="1"/>
  <c r="L967" i="1"/>
  <c r="K967" i="1"/>
  <c r="Q966" i="1"/>
  <c r="P966" i="1"/>
  <c r="O966" i="1"/>
  <c r="M966" i="1"/>
  <c r="L966" i="1"/>
  <c r="K966" i="1"/>
  <c r="Q965" i="1"/>
  <c r="P965" i="1"/>
  <c r="O965" i="1"/>
  <c r="M965" i="1"/>
  <c r="L965" i="1"/>
  <c r="K965" i="1"/>
  <c r="Q964" i="1"/>
  <c r="P964" i="1"/>
  <c r="M964" i="1"/>
  <c r="L964" i="1"/>
  <c r="K964" i="1"/>
  <c r="Q963" i="1"/>
  <c r="P963" i="1"/>
  <c r="O963" i="1"/>
  <c r="M963" i="1"/>
  <c r="L963" i="1"/>
  <c r="K963" i="1"/>
  <c r="Q962" i="1"/>
  <c r="P962" i="1"/>
  <c r="O962" i="1"/>
  <c r="M962" i="1"/>
  <c r="L962" i="1"/>
  <c r="K962" i="1"/>
  <c r="Q961" i="1"/>
  <c r="P961" i="1"/>
  <c r="M961" i="1"/>
  <c r="L961" i="1"/>
  <c r="K961" i="1"/>
  <c r="Q960" i="1"/>
  <c r="P960" i="1"/>
  <c r="O960" i="1"/>
  <c r="M960" i="1"/>
  <c r="L960" i="1"/>
  <c r="K960" i="1"/>
  <c r="Q959" i="1"/>
  <c r="P959" i="1"/>
  <c r="O959" i="1"/>
  <c r="M959" i="1"/>
  <c r="L959" i="1"/>
  <c r="K959" i="1"/>
  <c r="Q958" i="1"/>
  <c r="P958" i="1"/>
  <c r="M958" i="1"/>
  <c r="L958" i="1"/>
  <c r="K958" i="1"/>
  <c r="Q957" i="1"/>
  <c r="P957" i="1"/>
  <c r="O957" i="1"/>
  <c r="M957" i="1"/>
  <c r="L957" i="1"/>
  <c r="K957" i="1"/>
  <c r="Q956" i="1"/>
  <c r="P956" i="1"/>
  <c r="O956" i="1"/>
  <c r="M956" i="1"/>
  <c r="L956" i="1"/>
  <c r="K956" i="1"/>
  <c r="Q955" i="1"/>
  <c r="P955" i="1"/>
  <c r="O955" i="1"/>
  <c r="M955" i="1"/>
  <c r="L955" i="1"/>
  <c r="K955" i="1"/>
  <c r="Q954" i="1"/>
  <c r="P954" i="1"/>
  <c r="O954" i="1"/>
  <c r="M954" i="1"/>
  <c r="L954" i="1"/>
  <c r="K954" i="1"/>
  <c r="Q953" i="1"/>
  <c r="P953" i="1"/>
  <c r="O953" i="1"/>
  <c r="M953" i="1"/>
  <c r="L953" i="1"/>
  <c r="K953" i="1"/>
  <c r="Q952" i="1"/>
  <c r="P952" i="1"/>
  <c r="O952" i="1"/>
  <c r="M952" i="1"/>
  <c r="L952" i="1"/>
  <c r="K952" i="1"/>
  <c r="Q951" i="1"/>
  <c r="P951" i="1"/>
  <c r="O951" i="1"/>
  <c r="M951" i="1"/>
  <c r="L951" i="1"/>
  <c r="K951" i="1"/>
  <c r="Q950" i="1"/>
  <c r="P950" i="1"/>
  <c r="O950" i="1"/>
  <c r="M950" i="1"/>
  <c r="L950" i="1"/>
  <c r="K950" i="1"/>
  <c r="Q949" i="1"/>
  <c r="P949" i="1"/>
  <c r="M949" i="1"/>
  <c r="L949" i="1"/>
  <c r="K949" i="1"/>
  <c r="Q948" i="1"/>
  <c r="P948" i="1"/>
  <c r="O948" i="1"/>
  <c r="M948" i="1"/>
  <c r="L948" i="1"/>
  <c r="K948" i="1"/>
  <c r="Q947" i="1"/>
  <c r="P947" i="1"/>
  <c r="O947" i="1"/>
  <c r="M947" i="1"/>
  <c r="L947" i="1"/>
  <c r="K947" i="1"/>
  <c r="Q946" i="1"/>
  <c r="P946" i="1"/>
  <c r="O946" i="1"/>
  <c r="M946" i="1"/>
  <c r="L946" i="1"/>
  <c r="K946" i="1"/>
  <c r="Q945" i="1"/>
  <c r="P945" i="1"/>
  <c r="O945" i="1"/>
  <c r="M945" i="1"/>
  <c r="L945" i="1"/>
  <c r="K945" i="1"/>
  <c r="Q944" i="1"/>
  <c r="P944" i="1"/>
  <c r="O944" i="1"/>
  <c r="M944" i="1"/>
  <c r="L944" i="1"/>
  <c r="K944" i="1"/>
  <c r="Q943" i="1"/>
  <c r="P943" i="1"/>
  <c r="O943" i="1"/>
  <c r="M943" i="1"/>
  <c r="L943" i="1"/>
  <c r="K943" i="1"/>
  <c r="Q942" i="1"/>
  <c r="P942" i="1"/>
  <c r="O942" i="1"/>
  <c r="M942" i="1"/>
  <c r="L942" i="1"/>
  <c r="K942" i="1"/>
  <c r="Q941" i="1"/>
  <c r="P941" i="1"/>
  <c r="M941" i="1"/>
  <c r="L941" i="1"/>
  <c r="K941" i="1"/>
  <c r="Q940" i="1"/>
  <c r="P940" i="1"/>
  <c r="O940" i="1"/>
  <c r="M940" i="1"/>
  <c r="L940" i="1"/>
  <c r="K940" i="1"/>
  <c r="Q939" i="1"/>
  <c r="P939" i="1"/>
  <c r="M939" i="1"/>
  <c r="L939" i="1"/>
  <c r="K939" i="1"/>
  <c r="Q938" i="1"/>
  <c r="P938" i="1"/>
  <c r="O938" i="1"/>
  <c r="M938" i="1"/>
  <c r="L938" i="1"/>
  <c r="K938" i="1"/>
  <c r="Q937" i="1"/>
  <c r="P937" i="1"/>
  <c r="O937" i="1"/>
  <c r="M937" i="1"/>
  <c r="L937" i="1"/>
  <c r="K937" i="1"/>
  <c r="Q936" i="1"/>
  <c r="P936" i="1"/>
  <c r="O936" i="1"/>
  <c r="M936" i="1"/>
  <c r="L936" i="1"/>
  <c r="K936" i="1"/>
  <c r="Q935" i="1"/>
  <c r="P935" i="1"/>
  <c r="O935" i="1"/>
  <c r="M935" i="1"/>
  <c r="L935" i="1"/>
  <c r="K935" i="1"/>
  <c r="Q934" i="1"/>
  <c r="P934" i="1"/>
  <c r="O934" i="1"/>
  <c r="M934" i="1"/>
  <c r="L934" i="1"/>
  <c r="K934" i="1"/>
  <c r="Q933" i="1"/>
  <c r="P933" i="1"/>
  <c r="O933" i="1"/>
  <c r="M933" i="1"/>
  <c r="L933" i="1"/>
  <c r="K933" i="1"/>
  <c r="Q932" i="1"/>
  <c r="P932" i="1"/>
  <c r="O932" i="1"/>
  <c r="M932" i="1"/>
  <c r="L932" i="1"/>
  <c r="K932" i="1"/>
  <c r="Q931" i="1"/>
  <c r="P931" i="1"/>
  <c r="O931" i="1"/>
  <c r="M931" i="1"/>
  <c r="L931" i="1"/>
  <c r="K931" i="1"/>
  <c r="Q930" i="1"/>
  <c r="P930" i="1"/>
  <c r="O930" i="1"/>
  <c r="M930" i="1"/>
  <c r="L930" i="1"/>
  <c r="K930" i="1"/>
  <c r="Q929" i="1"/>
  <c r="P929" i="1"/>
  <c r="O929" i="1"/>
  <c r="M929" i="1"/>
  <c r="L929" i="1"/>
  <c r="K929" i="1"/>
  <c r="Q928" i="1"/>
  <c r="P928" i="1"/>
  <c r="O928" i="1"/>
  <c r="M928" i="1"/>
  <c r="L928" i="1"/>
  <c r="K928" i="1"/>
  <c r="Q927" i="1"/>
  <c r="P927" i="1"/>
  <c r="O927" i="1"/>
  <c r="M927" i="1"/>
  <c r="L927" i="1"/>
  <c r="K927" i="1"/>
  <c r="Q926" i="1"/>
  <c r="P926" i="1"/>
  <c r="O926" i="1"/>
  <c r="M926" i="1"/>
  <c r="L926" i="1"/>
  <c r="K926" i="1"/>
  <c r="Q925" i="1"/>
  <c r="P925" i="1"/>
  <c r="O925" i="1"/>
  <c r="M925" i="1"/>
  <c r="L925" i="1"/>
  <c r="K925" i="1"/>
  <c r="Q924" i="1"/>
  <c r="P924" i="1"/>
  <c r="O924" i="1"/>
  <c r="M924" i="1"/>
  <c r="L924" i="1"/>
  <c r="K924" i="1"/>
  <c r="Q923" i="1"/>
  <c r="P923" i="1"/>
  <c r="M923" i="1"/>
  <c r="L923" i="1"/>
  <c r="K923" i="1"/>
  <c r="Q922" i="1"/>
  <c r="P922" i="1"/>
  <c r="O922" i="1"/>
  <c r="M922" i="1"/>
  <c r="L922" i="1"/>
  <c r="K922" i="1"/>
  <c r="Q921" i="1"/>
  <c r="P921" i="1"/>
  <c r="O921" i="1"/>
  <c r="M921" i="1"/>
  <c r="L921" i="1"/>
  <c r="K921" i="1"/>
  <c r="Q920" i="1"/>
  <c r="P920" i="1"/>
  <c r="O920" i="1"/>
  <c r="M920" i="1"/>
  <c r="L920" i="1"/>
  <c r="K920" i="1"/>
  <c r="Q919" i="1"/>
  <c r="P919" i="1"/>
  <c r="O919" i="1"/>
  <c r="M919" i="1"/>
  <c r="L919" i="1"/>
  <c r="K919" i="1"/>
  <c r="Q918" i="1"/>
  <c r="P918" i="1"/>
  <c r="O918" i="1"/>
  <c r="M918" i="1"/>
  <c r="L918" i="1"/>
  <c r="K918" i="1"/>
  <c r="Q917" i="1"/>
  <c r="P917" i="1"/>
  <c r="O917" i="1"/>
  <c r="M917" i="1"/>
  <c r="L917" i="1"/>
  <c r="K917" i="1"/>
  <c r="Q916" i="1"/>
  <c r="P916" i="1"/>
  <c r="O916" i="1"/>
  <c r="M916" i="1"/>
  <c r="L916" i="1"/>
  <c r="K916" i="1"/>
  <c r="Q915" i="1"/>
  <c r="P915" i="1"/>
  <c r="O915" i="1"/>
  <c r="M915" i="1"/>
  <c r="L915" i="1"/>
  <c r="K915" i="1"/>
  <c r="Q914" i="1"/>
  <c r="P914" i="1"/>
  <c r="O914" i="1"/>
  <c r="M914" i="1"/>
  <c r="L914" i="1"/>
  <c r="K914" i="1"/>
  <c r="Q913" i="1"/>
  <c r="P913" i="1"/>
  <c r="O913" i="1"/>
  <c r="M913" i="1"/>
  <c r="L913" i="1"/>
  <c r="K913" i="1"/>
  <c r="Q912" i="1"/>
  <c r="P912" i="1"/>
  <c r="O912" i="1"/>
  <c r="M912" i="1"/>
  <c r="L912" i="1"/>
  <c r="K912" i="1"/>
  <c r="Q911" i="1"/>
  <c r="P911" i="1"/>
  <c r="O911" i="1"/>
  <c r="M911" i="1"/>
  <c r="L911" i="1"/>
  <c r="K911" i="1"/>
  <c r="Q910" i="1"/>
  <c r="P910" i="1"/>
  <c r="O910" i="1"/>
  <c r="M910" i="1"/>
  <c r="L910" i="1"/>
  <c r="K910" i="1"/>
  <c r="Q909" i="1"/>
  <c r="P909" i="1"/>
  <c r="O909" i="1"/>
  <c r="M909" i="1"/>
  <c r="L909" i="1"/>
  <c r="K909" i="1"/>
  <c r="Q908" i="1"/>
  <c r="P908" i="1"/>
  <c r="O908" i="1"/>
  <c r="M908" i="1"/>
  <c r="L908" i="1"/>
  <c r="K908" i="1"/>
  <c r="Q907" i="1"/>
  <c r="P907" i="1"/>
  <c r="O907" i="1"/>
  <c r="M907" i="1"/>
  <c r="L907" i="1"/>
  <c r="K907" i="1"/>
  <c r="Q906" i="1"/>
  <c r="P906" i="1"/>
  <c r="M906" i="1"/>
  <c r="L906" i="1"/>
  <c r="K906" i="1"/>
  <c r="Q905" i="1"/>
  <c r="P905" i="1"/>
  <c r="O905" i="1"/>
  <c r="M905" i="1"/>
  <c r="L905" i="1"/>
  <c r="K905" i="1"/>
  <c r="Q904" i="1"/>
  <c r="P904" i="1"/>
  <c r="O904" i="1"/>
  <c r="M904" i="1"/>
  <c r="L904" i="1"/>
  <c r="K904" i="1"/>
  <c r="Q903" i="1"/>
  <c r="P903" i="1"/>
  <c r="O903" i="1"/>
  <c r="M903" i="1"/>
  <c r="L903" i="1"/>
  <c r="K903" i="1"/>
  <c r="Q902" i="1"/>
  <c r="P902" i="1"/>
  <c r="O902" i="1"/>
  <c r="M902" i="1"/>
  <c r="L902" i="1"/>
  <c r="K902" i="1"/>
  <c r="Q901" i="1"/>
  <c r="P901" i="1"/>
  <c r="O901" i="1"/>
  <c r="M901" i="1"/>
  <c r="L901" i="1"/>
  <c r="K901" i="1"/>
  <c r="Q900" i="1"/>
  <c r="P900" i="1"/>
  <c r="M900" i="1"/>
  <c r="L900" i="1"/>
  <c r="K900" i="1"/>
  <c r="Q899" i="1"/>
  <c r="P899" i="1"/>
  <c r="M899" i="1"/>
  <c r="L899" i="1"/>
  <c r="K899" i="1"/>
  <c r="Q898" i="1"/>
  <c r="P898" i="1"/>
  <c r="M898" i="1"/>
  <c r="L898" i="1"/>
  <c r="K898" i="1"/>
  <c r="Q897" i="1"/>
  <c r="P897" i="1"/>
  <c r="O897" i="1"/>
  <c r="M897" i="1"/>
  <c r="L897" i="1"/>
  <c r="K897" i="1"/>
  <c r="Q896" i="1"/>
  <c r="P896" i="1"/>
  <c r="O896" i="1"/>
  <c r="M896" i="1"/>
  <c r="L896" i="1"/>
  <c r="K896" i="1"/>
  <c r="Q895" i="1"/>
  <c r="P895" i="1"/>
  <c r="O895" i="1"/>
  <c r="M895" i="1"/>
  <c r="L895" i="1"/>
  <c r="K895" i="1"/>
  <c r="Q894" i="1"/>
  <c r="P894" i="1"/>
  <c r="O894" i="1"/>
  <c r="M894" i="1"/>
  <c r="L894" i="1"/>
  <c r="K894" i="1"/>
  <c r="Q893" i="1"/>
  <c r="P893" i="1"/>
  <c r="O893" i="1"/>
  <c r="M893" i="1"/>
  <c r="L893" i="1"/>
  <c r="K893" i="1"/>
  <c r="Q892" i="1"/>
  <c r="P892" i="1"/>
  <c r="M892" i="1"/>
  <c r="L892" i="1"/>
  <c r="K892" i="1"/>
  <c r="Q891" i="1"/>
  <c r="P891" i="1"/>
  <c r="O891" i="1"/>
  <c r="M891" i="1"/>
  <c r="L891" i="1"/>
  <c r="K891" i="1"/>
  <c r="Q890" i="1"/>
  <c r="P890" i="1"/>
  <c r="O890" i="1"/>
  <c r="M890" i="1"/>
  <c r="L890" i="1"/>
  <c r="K890" i="1"/>
  <c r="Q889" i="1"/>
  <c r="P889" i="1"/>
  <c r="O889" i="1"/>
  <c r="M889" i="1"/>
  <c r="L889" i="1"/>
  <c r="K889" i="1"/>
  <c r="Q888" i="1"/>
  <c r="P888" i="1"/>
  <c r="M888" i="1"/>
  <c r="L888" i="1"/>
  <c r="K888" i="1"/>
  <c r="Q887" i="1"/>
  <c r="P887" i="1"/>
  <c r="O887" i="1"/>
  <c r="M887" i="1"/>
  <c r="L887" i="1"/>
  <c r="K887" i="1"/>
  <c r="Q886" i="1"/>
  <c r="P886" i="1"/>
  <c r="O886" i="1"/>
  <c r="M886" i="1"/>
  <c r="L886" i="1"/>
  <c r="K886" i="1"/>
  <c r="Q885" i="1"/>
  <c r="P885" i="1"/>
  <c r="M885" i="1"/>
  <c r="L885" i="1"/>
  <c r="K885" i="1"/>
  <c r="Q884" i="1"/>
  <c r="P884" i="1"/>
  <c r="O884" i="1"/>
  <c r="M884" i="1"/>
  <c r="L884" i="1"/>
  <c r="K884" i="1"/>
  <c r="Q883" i="1"/>
  <c r="P883" i="1"/>
  <c r="M883" i="1"/>
  <c r="L883" i="1"/>
  <c r="K883" i="1"/>
  <c r="Q882" i="1"/>
  <c r="P882" i="1"/>
  <c r="O882" i="1"/>
  <c r="M882" i="1"/>
  <c r="L882" i="1"/>
  <c r="K882" i="1"/>
  <c r="Q881" i="1"/>
  <c r="P881" i="1"/>
  <c r="O881" i="1"/>
  <c r="M881" i="1"/>
  <c r="L881" i="1"/>
  <c r="K881" i="1"/>
  <c r="Q880" i="1"/>
  <c r="P880" i="1"/>
  <c r="O880" i="1"/>
  <c r="M880" i="1"/>
  <c r="L880" i="1"/>
  <c r="K880" i="1"/>
  <c r="Q879" i="1"/>
  <c r="P879" i="1"/>
  <c r="M879" i="1"/>
  <c r="L879" i="1"/>
  <c r="K879" i="1"/>
  <c r="Q878" i="1"/>
  <c r="P878" i="1"/>
  <c r="O878" i="1"/>
  <c r="M878" i="1"/>
  <c r="L878" i="1"/>
  <c r="K878" i="1"/>
  <c r="Q877" i="1"/>
  <c r="P877" i="1"/>
  <c r="O877" i="1"/>
  <c r="M877" i="1"/>
  <c r="L877" i="1"/>
  <c r="K877" i="1"/>
  <c r="Q876" i="1"/>
  <c r="P876" i="1"/>
  <c r="O876" i="1"/>
  <c r="M876" i="1"/>
  <c r="L876" i="1"/>
  <c r="K876" i="1"/>
  <c r="Q875" i="1"/>
  <c r="P875" i="1"/>
  <c r="O875" i="1"/>
  <c r="M875" i="1"/>
  <c r="L875" i="1"/>
  <c r="K875" i="1"/>
  <c r="Q874" i="1"/>
  <c r="P874" i="1"/>
  <c r="O874" i="1"/>
  <c r="M874" i="1"/>
  <c r="L874" i="1"/>
  <c r="K874" i="1"/>
  <c r="Q873" i="1"/>
  <c r="P873" i="1"/>
  <c r="O873" i="1"/>
  <c r="M873" i="1"/>
  <c r="L873" i="1"/>
  <c r="K873" i="1"/>
  <c r="Q872" i="1"/>
  <c r="P872" i="1"/>
  <c r="O872" i="1"/>
  <c r="M872" i="1"/>
  <c r="L872" i="1"/>
  <c r="K872" i="1"/>
  <c r="Q871" i="1"/>
  <c r="P871" i="1"/>
  <c r="O871" i="1"/>
  <c r="M871" i="1"/>
  <c r="L871" i="1"/>
  <c r="K871" i="1"/>
  <c r="Q870" i="1"/>
  <c r="P870" i="1"/>
  <c r="O870" i="1"/>
  <c r="M870" i="1"/>
  <c r="L870" i="1"/>
  <c r="K870" i="1"/>
  <c r="Q869" i="1"/>
  <c r="P869" i="1"/>
  <c r="O869" i="1"/>
  <c r="M869" i="1"/>
  <c r="L869" i="1"/>
  <c r="K869" i="1"/>
  <c r="Q868" i="1"/>
  <c r="P868" i="1"/>
  <c r="O868" i="1"/>
  <c r="M868" i="1"/>
  <c r="L868" i="1"/>
  <c r="K868" i="1"/>
  <c r="Q867" i="1"/>
  <c r="P867" i="1"/>
  <c r="M867" i="1"/>
  <c r="L867" i="1"/>
  <c r="K867" i="1"/>
  <c r="Q866" i="1"/>
  <c r="P866" i="1"/>
  <c r="O866" i="1"/>
  <c r="M866" i="1"/>
  <c r="L866" i="1"/>
  <c r="K866" i="1"/>
  <c r="Q865" i="1"/>
  <c r="P865" i="1"/>
  <c r="O865" i="1"/>
  <c r="M865" i="1"/>
  <c r="L865" i="1"/>
  <c r="K865" i="1"/>
  <c r="Q864" i="1"/>
  <c r="P864" i="1"/>
  <c r="O864" i="1"/>
  <c r="M864" i="1"/>
  <c r="L864" i="1"/>
  <c r="K864" i="1"/>
  <c r="Q863" i="1"/>
  <c r="P863" i="1"/>
  <c r="O863" i="1"/>
  <c r="M863" i="1"/>
  <c r="L863" i="1"/>
  <c r="K863" i="1"/>
  <c r="Q862" i="1"/>
  <c r="P862" i="1"/>
  <c r="O862" i="1"/>
  <c r="M862" i="1"/>
  <c r="L862" i="1"/>
  <c r="K862" i="1"/>
  <c r="Q861" i="1"/>
  <c r="P861" i="1"/>
  <c r="O861" i="1"/>
  <c r="M861" i="1"/>
  <c r="L861" i="1"/>
  <c r="K861" i="1"/>
  <c r="Q860" i="1"/>
  <c r="P860" i="1"/>
  <c r="O860" i="1"/>
  <c r="M860" i="1"/>
  <c r="L860" i="1"/>
  <c r="K860" i="1"/>
  <c r="Q859" i="1"/>
  <c r="P859" i="1"/>
  <c r="O859" i="1"/>
  <c r="M859" i="1"/>
  <c r="L859" i="1"/>
  <c r="K859" i="1"/>
  <c r="Q858" i="1"/>
  <c r="P858" i="1"/>
  <c r="O858" i="1"/>
  <c r="M858" i="1"/>
  <c r="L858" i="1"/>
  <c r="K858" i="1"/>
  <c r="Q857" i="1"/>
  <c r="P857" i="1"/>
  <c r="O857" i="1"/>
  <c r="M857" i="1"/>
  <c r="L857" i="1"/>
  <c r="K857" i="1"/>
  <c r="Q856" i="1"/>
  <c r="P856" i="1"/>
  <c r="O856" i="1"/>
  <c r="M856" i="1"/>
  <c r="L856" i="1"/>
  <c r="K856" i="1"/>
  <c r="Q855" i="1"/>
  <c r="P855" i="1"/>
  <c r="O855" i="1"/>
  <c r="M855" i="1"/>
  <c r="L855" i="1"/>
  <c r="K855" i="1"/>
  <c r="Q854" i="1"/>
  <c r="P854" i="1"/>
  <c r="M854" i="1"/>
  <c r="L854" i="1"/>
  <c r="K854" i="1"/>
  <c r="Q853" i="1"/>
  <c r="P853" i="1"/>
  <c r="O853" i="1"/>
  <c r="M853" i="1"/>
  <c r="L853" i="1"/>
  <c r="K853" i="1"/>
  <c r="Q852" i="1"/>
  <c r="P852" i="1"/>
  <c r="O852" i="1"/>
  <c r="M852" i="1"/>
  <c r="L852" i="1"/>
  <c r="K852" i="1"/>
  <c r="Q851" i="1"/>
  <c r="P851" i="1"/>
  <c r="O851" i="1"/>
  <c r="M851" i="1"/>
  <c r="L851" i="1"/>
  <c r="K851" i="1"/>
  <c r="Q850" i="1"/>
  <c r="P850" i="1"/>
  <c r="O850" i="1"/>
  <c r="M850" i="1"/>
  <c r="L850" i="1"/>
  <c r="K850" i="1"/>
  <c r="Q849" i="1"/>
  <c r="P849" i="1"/>
  <c r="M849" i="1"/>
  <c r="L849" i="1"/>
  <c r="K849" i="1"/>
  <c r="Q848" i="1"/>
  <c r="P848" i="1"/>
  <c r="O848" i="1"/>
  <c r="M848" i="1"/>
  <c r="L848" i="1"/>
  <c r="K848" i="1"/>
  <c r="Q847" i="1"/>
  <c r="P847" i="1"/>
  <c r="O847" i="1"/>
  <c r="M847" i="1"/>
  <c r="L847" i="1"/>
  <c r="K847" i="1"/>
  <c r="Q846" i="1"/>
  <c r="P846" i="1"/>
  <c r="M846" i="1"/>
  <c r="L846" i="1"/>
  <c r="K846" i="1"/>
  <c r="Q845" i="1"/>
  <c r="P845" i="1"/>
  <c r="O845" i="1"/>
  <c r="M845" i="1"/>
  <c r="L845" i="1"/>
  <c r="K845" i="1"/>
  <c r="Q844" i="1"/>
  <c r="P844" i="1"/>
  <c r="O844" i="1"/>
  <c r="M844" i="1"/>
  <c r="L844" i="1"/>
  <c r="K844" i="1"/>
  <c r="Q843" i="1"/>
  <c r="P843" i="1"/>
  <c r="O843" i="1"/>
  <c r="M843" i="1"/>
  <c r="L843" i="1"/>
  <c r="K843" i="1"/>
  <c r="Q842" i="1"/>
  <c r="P842" i="1"/>
  <c r="M842" i="1"/>
  <c r="L842" i="1"/>
  <c r="K842" i="1"/>
  <c r="Q841" i="1"/>
  <c r="P841" i="1"/>
  <c r="O841" i="1"/>
  <c r="M841" i="1"/>
  <c r="L841" i="1"/>
  <c r="K841" i="1"/>
  <c r="Q840" i="1"/>
  <c r="P840" i="1"/>
  <c r="O840" i="1"/>
  <c r="M840" i="1"/>
  <c r="L840" i="1"/>
  <c r="K840" i="1"/>
  <c r="Q839" i="1"/>
  <c r="P839" i="1"/>
  <c r="O839" i="1"/>
  <c r="M839" i="1"/>
  <c r="L839" i="1"/>
  <c r="K839" i="1"/>
  <c r="Q838" i="1"/>
  <c r="P838" i="1"/>
  <c r="O838" i="1"/>
  <c r="M838" i="1"/>
  <c r="L838" i="1"/>
  <c r="K838" i="1"/>
  <c r="Q837" i="1"/>
  <c r="P837" i="1"/>
  <c r="O837" i="1"/>
  <c r="M837" i="1"/>
  <c r="L837" i="1"/>
  <c r="K837" i="1"/>
  <c r="Q836" i="1"/>
  <c r="P836" i="1"/>
  <c r="O836" i="1"/>
  <c r="M836" i="1"/>
  <c r="L836" i="1"/>
  <c r="K836" i="1"/>
  <c r="Q835" i="1"/>
  <c r="P835" i="1"/>
  <c r="O835" i="1"/>
  <c r="M835" i="1"/>
  <c r="L835" i="1"/>
  <c r="K835" i="1"/>
  <c r="Q834" i="1"/>
  <c r="P834" i="1"/>
  <c r="O834" i="1"/>
  <c r="M834" i="1"/>
  <c r="L834" i="1"/>
  <c r="K834" i="1"/>
  <c r="Q833" i="1"/>
  <c r="P833" i="1"/>
  <c r="O833" i="1"/>
  <c r="M833" i="1"/>
  <c r="L833" i="1"/>
  <c r="K833" i="1"/>
  <c r="Q832" i="1"/>
  <c r="P832" i="1"/>
  <c r="O832" i="1"/>
  <c r="M832" i="1"/>
  <c r="L832" i="1"/>
  <c r="K832" i="1"/>
  <c r="Q831" i="1"/>
  <c r="P831" i="1"/>
  <c r="O831" i="1"/>
  <c r="M831" i="1"/>
  <c r="L831" i="1"/>
  <c r="K831" i="1"/>
  <c r="Q830" i="1"/>
  <c r="P830" i="1"/>
  <c r="O830" i="1"/>
  <c r="M830" i="1"/>
  <c r="L830" i="1"/>
  <c r="K830" i="1"/>
  <c r="Q829" i="1"/>
  <c r="P829" i="1"/>
  <c r="M829" i="1"/>
  <c r="L829" i="1"/>
  <c r="K829" i="1"/>
  <c r="Q828" i="1"/>
  <c r="P828" i="1"/>
  <c r="O828" i="1"/>
  <c r="M828" i="1"/>
  <c r="L828" i="1"/>
  <c r="K828" i="1"/>
  <c r="Q827" i="1"/>
  <c r="P827" i="1"/>
  <c r="O827" i="1"/>
  <c r="M827" i="1"/>
  <c r="L827" i="1"/>
  <c r="K827" i="1"/>
  <c r="Q826" i="1"/>
  <c r="P826" i="1"/>
  <c r="O826" i="1"/>
  <c r="M826" i="1"/>
  <c r="L826" i="1"/>
  <c r="K826" i="1"/>
  <c r="Q825" i="1"/>
  <c r="P825" i="1"/>
  <c r="O825" i="1"/>
  <c r="M825" i="1"/>
  <c r="L825" i="1"/>
  <c r="K825" i="1"/>
  <c r="Q824" i="1"/>
  <c r="P824" i="1"/>
  <c r="O824" i="1"/>
  <c r="M824" i="1"/>
  <c r="L824" i="1"/>
  <c r="K824" i="1"/>
  <c r="Q823" i="1"/>
  <c r="P823" i="1"/>
  <c r="M823" i="1"/>
  <c r="L823" i="1"/>
  <c r="K823" i="1"/>
  <c r="Q822" i="1"/>
  <c r="P822" i="1"/>
  <c r="O822" i="1"/>
  <c r="M822" i="1"/>
  <c r="L822" i="1"/>
  <c r="K822" i="1"/>
  <c r="Q821" i="1"/>
  <c r="P821" i="1"/>
  <c r="M821" i="1"/>
  <c r="L821" i="1"/>
  <c r="K821" i="1"/>
  <c r="Q820" i="1"/>
  <c r="P820" i="1"/>
  <c r="O820" i="1"/>
  <c r="M820" i="1"/>
  <c r="L820" i="1"/>
  <c r="K820" i="1"/>
  <c r="Q819" i="1"/>
  <c r="P819" i="1"/>
  <c r="O819" i="1"/>
  <c r="M819" i="1"/>
  <c r="L819" i="1"/>
  <c r="K819" i="1"/>
  <c r="Q818" i="1"/>
  <c r="P818" i="1"/>
  <c r="O818" i="1"/>
  <c r="M818" i="1"/>
  <c r="L818" i="1"/>
  <c r="K818" i="1"/>
  <c r="Q817" i="1"/>
  <c r="P817" i="1"/>
  <c r="O817" i="1"/>
  <c r="M817" i="1"/>
  <c r="L817" i="1"/>
  <c r="K817" i="1"/>
  <c r="Q816" i="1"/>
  <c r="P816" i="1"/>
  <c r="O816" i="1"/>
  <c r="M816" i="1"/>
  <c r="L816" i="1"/>
  <c r="K816" i="1"/>
  <c r="Q815" i="1"/>
  <c r="P815" i="1"/>
  <c r="M815" i="1"/>
  <c r="L815" i="1"/>
  <c r="K815" i="1"/>
  <c r="Q814" i="1"/>
  <c r="P814" i="1"/>
  <c r="O814" i="1"/>
  <c r="M814" i="1"/>
  <c r="L814" i="1"/>
  <c r="K814" i="1"/>
  <c r="Q813" i="1"/>
  <c r="P813" i="1"/>
  <c r="O813" i="1"/>
  <c r="M813" i="1"/>
  <c r="L813" i="1"/>
  <c r="K813" i="1"/>
  <c r="Q812" i="1"/>
  <c r="P812" i="1"/>
  <c r="M812" i="1"/>
  <c r="L812" i="1"/>
  <c r="K812" i="1"/>
  <c r="Q811" i="1"/>
  <c r="P811" i="1"/>
  <c r="O811" i="1"/>
  <c r="M811" i="1"/>
  <c r="L811" i="1"/>
  <c r="K811" i="1"/>
  <c r="Q810" i="1"/>
  <c r="P810" i="1"/>
  <c r="O810" i="1"/>
  <c r="M810" i="1"/>
  <c r="L810" i="1"/>
  <c r="K810" i="1"/>
  <c r="Q809" i="1"/>
  <c r="P809" i="1"/>
  <c r="O809" i="1"/>
  <c r="M809" i="1"/>
  <c r="L809" i="1"/>
  <c r="K809" i="1"/>
  <c r="Q808" i="1"/>
  <c r="P808" i="1"/>
  <c r="O808" i="1"/>
  <c r="M808" i="1"/>
  <c r="L808" i="1"/>
  <c r="K808" i="1"/>
  <c r="Q807" i="1"/>
  <c r="P807" i="1"/>
  <c r="M807" i="1"/>
  <c r="L807" i="1"/>
  <c r="K807" i="1"/>
  <c r="Q806" i="1"/>
  <c r="P806" i="1"/>
  <c r="O806" i="1"/>
  <c r="M806" i="1"/>
  <c r="L806" i="1"/>
  <c r="K806" i="1"/>
  <c r="Q805" i="1"/>
  <c r="P805" i="1"/>
  <c r="O805" i="1"/>
  <c r="M805" i="1"/>
  <c r="L805" i="1"/>
  <c r="K805" i="1"/>
  <c r="Q804" i="1"/>
  <c r="P804" i="1"/>
  <c r="O804" i="1"/>
  <c r="M804" i="1"/>
  <c r="L804" i="1"/>
  <c r="K804" i="1"/>
  <c r="Q803" i="1"/>
  <c r="P803" i="1"/>
  <c r="O803" i="1"/>
  <c r="M803" i="1"/>
  <c r="L803" i="1"/>
  <c r="K803" i="1"/>
  <c r="Q802" i="1"/>
  <c r="P802" i="1"/>
  <c r="M802" i="1"/>
  <c r="L802" i="1"/>
  <c r="K802" i="1"/>
  <c r="Q801" i="1"/>
  <c r="P801" i="1"/>
  <c r="M801" i="1"/>
  <c r="L801" i="1"/>
  <c r="K801" i="1"/>
  <c r="Q800" i="1"/>
  <c r="P800" i="1"/>
  <c r="M800" i="1"/>
  <c r="L800" i="1"/>
  <c r="K800" i="1"/>
  <c r="Q799" i="1"/>
  <c r="P799" i="1"/>
  <c r="O799" i="1"/>
  <c r="M799" i="1"/>
  <c r="L799" i="1"/>
  <c r="K799" i="1"/>
  <c r="Q798" i="1"/>
  <c r="P798" i="1"/>
  <c r="O798" i="1"/>
  <c r="M798" i="1"/>
  <c r="L798" i="1"/>
  <c r="K798" i="1"/>
  <c r="Q797" i="1"/>
  <c r="P797" i="1"/>
  <c r="O797" i="1"/>
  <c r="M797" i="1"/>
  <c r="L797" i="1"/>
  <c r="K797" i="1"/>
  <c r="Q796" i="1"/>
  <c r="P796" i="1"/>
  <c r="O796" i="1"/>
  <c r="M796" i="1"/>
  <c r="L796" i="1"/>
  <c r="K796" i="1"/>
  <c r="Q795" i="1"/>
  <c r="P795" i="1"/>
  <c r="O795" i="1"/>
  <c r="M795" i="1"/>
  <c r="L795" i="1"/>
  <c r="K795" i="1"/>
  <c r="Q794" i="1"/>
  <c r="P794" i="1"/>
  <c r="M794" i="1"/>
  <c r="L794" i="1"/>
  <c r="K794" i="1"/>
  <c r="Q793" i="1"/>
  <c r="P793" i="1"/>
  <c r="O793" i="1"/>
  <c r="M793" i="1"/>
  <c r="L793" i="1"/>
  <c r="K793" i="1"/>
  <c r="Q792" i="1"/>
  <c r="P792" i="1"/>
  <c r="O792" i="1"/>
  <c r="M792" i="1"/>
  <c r="L792" i="1"/>
  <c r="K792" i="1"/>
  <c r="Q791" i="1"/>
  <c r="P791" i="1"/>
  <c r="O791" i="1"/>
  <c r="M791" i="1"/>
  <c r="L791" i="1"/>
  <c r="K791" i="1"/>
  <c r="Q790" i="1"/>
  <c r="P790" i="1"/>
  <c r="O790" i="1"/>
  <c r="M790" i="1"/>
  <c r="L790" i="1"/>
  <c r="K790" i="1"/>
  <c r="Q789" i="1"/>
  <c r="P789" i="1"/>
  <c r="O789" i="1"/>
  <c r="M789" i="1"/>
  <c r="L789" i="1"/>
  <c r="K789" i="1"/>
  <c r="Q788" i="1"/>
  <c r="P788" i="1"/>
  <c r="M788" i="1"/>
  <c r="L788" i="1"/>
  <c r="K788" i="1"/>
  <c r="Q787" i="1"/>
  <c r="P787" i="1"/>
  <c r="O787" i="1"/>
  <c r="M787" i="1"/>
  <c r="L787" i="1"/>
  <c r="K787" i="1"/>
  <c r="Q786" i="1"/>
  <c r="P786" i="1"/>
  <c r="M786" i="1"/>
  <c r="L786" i="1"/>
  <c r="K786" i="1"/>
  <c r="Q785" i="1"/>
  <c r="P785" i="1"/>
  <c r="O785" i="1"/>
  <c r="M785" i="1"/>
  <c r="L785" i="1"/>
  <c r="K785" i="1"/>
  <c r="Q784" i="1"/>
  <c r="P784" i="1"/>
  <c r="M784" i="1"/>
  <c r="L784" i="1"/>
  <c r="K784" i="1"/>
  <c r="Q783" i="1"/>
  <c r="P783" i="1"/>
  <c r="O783" i="1"/>
  <c r="M783" i="1"/>
  <c r="L783" i="1"/>
  <c r="K783" i="1"/>
  <c r="Q782" i="1"/>
  <c r="P782" i="1"/>
  <c r="O782" i="1"/>
  <c r="M782" i="1"/>
  <c r="L782" i="1"/>
  <c r="K782" i="1"/>
  <c r="Q781" i="1"/>
  <c r="P781" i="1"/>
  <c r="O781" i="1"/>
  <c r="M781" i="1"/>
  <c r="L781" i="1"/>
  <c r="K781" i="1"/>
  <c r="Q780" i="1"/>
  <c r="P780" i="1"/>
  <c r="O780" i="1"/>
  <c r="M780" i="1"/>
  <c r="L780" i="1"/>
  <c r="K780" i="1"/>
  <c r="Q779" i="1"/>
  <c r="P779" i="1"/>
  <c r="M779" i="1"/>
  <c r="L779" i="1"/>
  <c r="K779" i="1"/>
  <c r="Q778" i="1"/>
  <c r="P778" i="1"/>
  <c r="O778" i="1"/>
  <c r="M778" i="1"/>
  <c r="L778" i="1"/>
  <c r="K778" i="1"/>
  <c r="Q777" i="1"/>
  <c r="P777" i="1"/>
  <c r="O777" i="1"/>
  <c r="M777" i="1"/>
  <c r="L777" i="1"/>
  <c r="K777" i="1"/>
  <c r="Q776" i="1"/>
  <c r="P776" i="1"/>
  <c r="M776" i="1"/>
  <c r="L776" i="1"/>
  <c r="K776" i="1"/>
  <c r="Q775" i="1"/>
  <c r="P775" i="1"/>
  <c r="O775" i="1"/>
  <c r="M775" i="1"/>
  <c r="L775" i="1"/>
  <c r="K775" i="1"/>
  <c r="Q774" i="1"/>
  <c r="P774" i="1"/>
  <c r="O774" i="1"/>
  <c r="M774" i="1"/>
  <c r="L774" i="1"/>
  <c r="K774" i="1"/>
  <c r="Q773" i="1"/>
  <c r="P773" i="1"/>
  <c r="M773" i="1"/>
  <c r="L773" i="1"/>
  <c r="K773" i="1"/>
  <c r="Q772" i="1"/>
  <c r="P772" i="1"/>
  <c r="M772" i="1"/>
  <c r="L772" i="1"/>
  <c r="K772" i="1"/>
  <c r="Q771" i="1"/>
  <c r="P771" i="1"/>
  <c r="O771" i="1"/>
  <c r="M771" i="1"/>
  <c r="L771" i="1"/>
  <c r="K771" i="1"/>
  <c r="Q770" i="1"/>
  <c r="P770" i="1"/>
  <c r="O770" i="1"/>
  <c r="M770" i="1"/>
  <c r="L770" i="1"/>
  <c r="K770" i="1"/>
  <c r="Q769" i="1"/>
  <c r="P769" i="1"/>
  <c r="O769" i="1"/>
  <c r="M769" i="1"/>
  <c r="L769" i="1"/>
  <c r="K769" i="1"/>
  <c r="Q768" i="1"/>
  <c r="P768" i="1"/>
  <c r="M768" i="1"/>
  <c r="L768" i="1"/>
  <c r="K768" i="1"/>
  <c r="Q767" i="1"/>
  <c r="P767" i="1"/>
  <c r="O767" i="1"/>
  <c r="M767" i="1"/>
  <c r="L767" i="1"/>
  <c r="K767" i="1"/>
  <c r="Q766" i="1"/>
  <c r="P766" i="1"/>
  <c r="M766" i="1"/>
  <c r="L766" i="1"/>
  <c r="K766" i="1"/>
  <c r="Q765" i="1"/>
  <c r="P765" i="1"/>
  <c r="O765" i="1"/>
  <c r="M765" i="1"/>
  <c r="L765" i="1"/>
  <c r="K765" i="1"/>
  <c r="Q764" i="1"/>
  <c r="P764" i="1"/>
  <c r="M764" i="1"/>
  <c r="L764" i="1"/>
  <c r="K764" i="1"/>
  <c r="Q763" i="1"/>
  <c r="P763" i="1"/>
  <c r="O763" i="1"/>
  <c r="M763" i="1"/>
  <c r="L763" i="1"/>
  <c r="K763" i="1"/>
  <c r="Q762" i="1"/>
  <c r="P762" i="1"/>
  <c r="O762" i="1"/>
  <c r="M762" i="1"/>
  <c r="L762" i="1"/>
  <c r="K762" i="1"/>
  <c r="Q761" i="1"/>
  <c r="P761" i="1"/>
  <c r="M761" i="1"/>
  <c r="L761" i="1"/>
  <c r="K761" i="1"/>
  <c r="Q760" i="1"/>
  <c r="P760" i="1"/>
  <c r="O760" i="1"/>
  <c r="M760" i="1"/>
  <c r="L760" i="1"/>
  <c r="K760" i="1"/>
  <c r="Q759" i="1"/>
  <c r="P759" i="1"/>
  <c r="O759" i="1"/>
  <c r="M759" i="1"/>
  <c r="L759" i="1"/>
  <c r="K759" i="1"/>
  <c r="Q758" i="1"/>
  <c r="P758" i="1"/>
  <c r="O758" i="1"/>
  <c r="M758" i="1"/>
  <c r="L758" i="1"/>
  <c r="K758" i="1"/>
  <c r="Q757" i="1"/>
  <c r="P757" i="1"/>
  <c r="O757" i="1"/>
  <c r="M757" i="1"/>
  <c r="L757" i="1"/>
  <c r="K757" i="1"/>
  <c r="Q756" i="1"/>
  <c r="P756" i="1"/>
  <c r="O756" i="1"/>
  <c r="M756" i="1"/>
  <c r="L756" i="1"/>
  <c r="K756" i="1"/>
  <c r="Q755" i="1"/>
  <c r="P755" i="1"/>
  <c r="O755" i="1"/>
  <c r="M755" i="1"/>
  <c r="L755" i="1"/>
  <c r="K755" i="1"/>
  <c r="Q754" i="1"/>
  <c r="P754" i="1"/>
  <c r="O754" i="1"/>
  <c r="M754" i="1"/>
  <c r="L754" i="1"/>
  <c r="K754" i="1"/>
  <c r="Q753" i="1"/>
  <c r="P753" i="1"/>
  <c r="O753" i="1"/>
  <c r="M753" i="1"/>
  <c r="L753" i="1"/>
  <c r="K753" i="1"/>
  <c r="Q752" i="1"/>
  <c r="P752" i="1"/>
  <c r="O752" i="1"/>
  <c r="M752" i="1"/>
  <c r="L752" i="1"/>
  <c r="K752" i="1"/>
  <c r="Q751" i="1"/>
  <c r="P751" i="1"/>
  <c r="O751" i="1"/>
  <c r="M751" i="1"/>
  <c r="L751" i="1"/>
  <c r="K751" i="1"/>
  <c r="Q750" i="1"/>
  <c r="P750" i="1"/>
  <c r="O750" i="1"/>
  <c r="M750" i="1"/>
  <c r="L750" i="1"/>
  <c r="K750" i="1"/>
  <c r="Q749" i="1"/>
  <c r="P749" i="1"/>
  <c r="M749" i="1"/>
  <c r="L749" i="1"/>
  <c r="K749" i="1"/>
  <c r="Q748" i="1"/>
  <c r="P748" i="1"/>
  <c r="O748" i="1"/>
  <c r="M748" i="1"/>
  <c r="L748" i="1"/>
  <c r="K748" i="1"/>
  <c r="Q747" i="1"/>
  <c r="P747" i="1"/>
  <c r="O747" i="1"/>
  <c r="M747" i="1"/>
  <c r="L747" i="1"/>
  <c r="K747" i="1"/>
  <c r="Q746" i="1"/>
  <c r="P746" i="1"/>
  <c r="O746" i="1"/>
  <c r="M746" i="1"/>
  <c r="L746" i="1"/>
  <c r="K746" i="1"/>
  <c r="Q745" i="1"/>
  <c r="P745" i="1"/>
  <c r="O745" i="1"/>
  <c r="M745" i="1"/>
  <c r="L745" i="1"/>
  <c r="K745" i="1"/>
  <c r="Q744" i="1"/>
  <c r="P744" i="1"/>
  <c r="O744" i="1"/>
  <c r="M744" i="1"/>
  <c r="L744" i="1"/>
  <c r="K744" i="1"/>
  <c r="Q743" i="1"/>
  <c r="P743" i="1"/>
  <c r="O743" i="1"/>
  <c r="M743" i="1"/>
  <c r="L743" i="1"/>
  <c r="K743" i="1"/>
  <c r="Q742" i="1"/>
  <c r="P742" i="1"/>
  <c r="O742" i="1"/>
  <c r="M742" i="1"/>
  <c r="L742" i="1"/>
  <c r="K742" i="1"/>
  <c r="Q741" i="1"/>
  <c r="P741" i="1"/>
  <c r="O741" i="1"/>
  <c r="M741" i="1"/>
  <c r="L741" i="1"/>
  <c r="K741" i="1"/>
  <c r="Q740" i="1"/>
  <c r="P740" i="1"/>
  <c r="O740" i="1"/>
  <c r="M740" i="1"/>
  <c r="L740" i="1"/>
  <c r="K740" i="1"/>
  <c r="Q739" i="1"/>
  <c r="P739" i="1"/>
  <c r="M739" i="1"/>
  <c r="L739" i="1"/>
  <c r="K739" i="1"/>
  <c r="Q738" i="1"/>
  <c r="P738" i="1"/>
  <c r="O738" i="1"/>
  <c r="M738" i="1"/>
  <c r="L738" i="1"/>
  <c r="K738" i="1"/>
  <c r="Q737" i="1"/>
  <c r="P737" i="1"/>
  <c r="O737" i="1"/>
  <c r="M737" i="1"/>
  <c r="L737" i="1"/>
  <c r="K737" i="1"/>
  <c r="Q736" i="1"/>
  <c r="P736" i="1"/>
  <c r="O736" i="1"/>
  <c r="M736" i="1"/>
  <c r="L736" i="1"/>
  <c r="K736" i="1"/>
  <c r="Q735" i="1"/>
  <c r="P735" i="1"/>
  <c r="O735" i="1"/>
  <c r="M735" i="1"/>
  <c r="L735" i="1"/>
  <c r="K735" i="1"/>
  <c r="Q734" i="1"/>
  <c r="P734" i="1"/>
  <c r="O734" i="1"/>
  <c r="M734" i="1"/>
  <c r="L734" i="1"/>
  <c r="K734" i="1"/>
  <c r="Q733" i="1"/>
  <c r="P733" i="1"/>
  <c r="O733" i="1"/>
  <c r="M733" i="1"/>
  <c r="L733" i="1"/>
  <c r="K733" i="1"/>
  <c r="Q732" i="1"/>
  <c r="P732" i="1"/>
  <c r="O732" i="1"/>
  <c r="M732" i="1"/>
  <c r="L732" i="1"/>
  <c r="K732" i="1"/>
  <c r="Q731" i="1"/>
  <c r="P731" i="1"/>
  <c r="O731" i="1"/>
  <c r="M731" i="1"/>
  <c r="L731" i="1"/>
  <c r="K731" i="1"/>
  <c r="Q730" i="1"/>
  <c r="P730" i="1"/>
  <c r="O730" i="1"/>
  <c r="M730" i="1"/>
  <c r="L730" i="1"/>
  <c r="K730" i="1"/>
  <c r="Q729" i="1"/>
  <c r="P729" i="1"/>
  <c r="M729" i="1"/>
  <c r="L729" i="1"/>
  <c r="K729" i="1"/>
  <c r="Q728" i="1"/>
  <c r="P728" i="1"/>
  <c r="O728" i="1"/>
  <c r="M728" i="1"/>
  <c r="L728" i="1"/>
  <c r="K728" i="1"/>
  <c r="Q727" i="1"/>
  <c r="P727" i="1"/>
  <c r="O727" i="1"/>
  <c r="M727" i="1"/>
  <c r="L727" i="1"/>
  <c r="K727" i="1"/>
  <c r="Q726" i="1"/>
  <c r="P726" i="1"/>
  <c r="O726" i="1"/>
  <c r="M726" i="1"/>
  <c r="L726" i="1"/>
  <c r="K726" i="1"/>
  <c r="Q725" i="1"/>
  <c r="P725" i="1"/>
  <c r="O725" i="1"/>
  <c r="M725" i="1"/>
  <c r="L725" i="1"/>
  <c r="K725" i="1"/>
  <c r="Q724" i="1"/>
  <c r="P724" i="1"/>
  <c r="O724" i="1"/>
  <c r="M724" i="1"/>
  <c r="L724" i="1"/>
  <c r="K724" i="1"/>
  <c r="Q723" i="1"/>
  <c r="P723" i="1"/>
  <c r="O723" i="1"/>
  <c r="M723" i="1"/>
  <c r="L723" i="1"/>
  <c r="K723" i="1"/>
  <c r="Q722" i="1"/>
  <c r="P722" i="1"/>
  <c r="O722" i="1"/>
  <c r="M722" i="1"/>
  <c r="L722" i="1"/>
  <c r="K722" i="1"/>
  <c r="Q721" i="1"/>
  <c r="P721" i="1"/>
  <c r="O721" i="1"/>
  <c r="M721" i="1"/>
  <c r="L721" i="1"/>
  <c r="K721" i="1"/>
  <c r="Q720" i="1"/>
  <c r="P720" i="1"/>
  <c r="O720" i="1"/>
  <c r="M720" i="1"/>
  <c r="L720" i="1"/>
  <c r="K720" i="1"/>
  <c r="Q719" i="1"/>
  <c r="P719" i="1"/>
  <c r="O719" i="1"/>
  <c r="M719" i="1"/>
  <c r="L719" i="1"/>
  <c r="K719" i="1"/>
  <c r="Q718" i="1"/>
  <c r="P718" i="1"/>
  <c r="O718" i="1"/>
  <c r="M718" i="1"/>
  <c r="L718" i="1"/>
  <c r="K718" i="1"/>
  <c r="Q717" i="1"/>
  <c r="P717" i="1"/>
  <c r="O717" i="1"/>
  <c r="M717" i="1"/>
  <c r="L717" i="1"/>
  <c r="K717" i="1"/>
  <c r="Q716" i="1"/>
  <c r="P716" i="1"/>
  <c r="O716" i="1"/>
  <c r="M716" i="1"/>
  <c r="L716" i="1"/>
  <c r="K716" i="1"/>
  <c r="Q715" i="1"/>
  <c r="P715" i="1"/>
  <c r="O715" i="1"/>
  <c r="M715" i="1"/>
  <c r="L715" i="1"/>
  <c r="K715" i="1"/>
  <c r="Q714" i="1"/>
  <c r="P714" i="1"/>
  <c r="O714" i="1"/>
  <c r="M714" i="1"/>
  <c r="L714" i="1"/>
  <c r="K714" i="1"/>
  <c r="Q713" i="1"/>
  <c r="P713" i="1"/>
  <c r="O713" i="1"/>
  <c r="M713" i="1"/>
  <c r="L713" i="1"/>
  <c r="K713" i="1"/>
  <c r="Q712" i="1"/>
  <c r="P712" i="1"/>
  <c r="O712" i="1"/>
  <c r="M712" i="1"/>
  <c r="L712" i="1"/>
  <c r="K712" i="1"/>
  <c r="Q711" i="1"/>
  <c r="P711" i="1"/>
  <c r="O711" i="1"/>
  <c r="M711" i="1"/>
  <c r="L711" i="1"/>
  <c r="K711" i="1"/>
  <c r="Q710" i="1"/>
  <c r="P710" i="1"/>
  <c r="O710" i="1"/>
  <c r="M710" i="1"/>
  <c r="L710" i="1"/>
  <c r="K710" i="1"/>
  <c r="Q709" i="1"/>
  <c r="P709" i="1"/>
  <c r="O709" i="1"/>
  <c r="M709" i="1"/>
  <c r="L709" i="1"/>
  <c r="K709" i="1"/>
  <c r="Q708" i="1"/>
  <c r="P708" i="1"/>
  <c r="O708" i="1"/>
  <c r="M708" i="1"/>
  <c r="L708" i="1"/>
  <c r="K708" i="1"/>
  <c r="Q707" i="1"/>
  <c r="P707" i="1"/>
  <c r="O707" i="1"/>
  <c r="M707" i="1"/>
  <c r="L707" i="1"/>
  <c r="K707" i="1"/>
  <c r="Q706" i="1"/>
  <c r="P706" i="1"/>
  <c r="O706" i="1"/>
  <c r="M706" i="1"/>
  <c r="L706" i="1"/>
  <c r="K706" i="1"/>
  <c r="Q705" i="1"/>
  <c r="P705" i="1"/>
  <c r="O705" i="1"/>
  <c r="M705" i="1"/>
  <c r="L705" i="1"/>
  <c r="K705" i="1"/>
  <c r="Q704" i="1"/>
  <c r="P704" i="1"/>
  <c r="O704" i="1"/>
  <c r="M704" i="1"/>
  <c r="L704" i="1"/>
  <c r="K704" i="1"/>
  <c r="Q703" i="1"/>
  <c r="P703" i="1"/>
  <c r="O703" i="1"/>
  <c r="M703" i="1"/>
  <c r="L703" i="1"/>
  <c r="K703" i="1"/>
  <c r="Q702" i="1"/>
  <c r="P702" i="1"/>
  <c r="M702" i="1"/>
  <c r="L702" i="1"/>
  <c r="K702" i="1"/>
  <c r="Q701" i="1"/>
  <c r="P701" i="1"/>
  <c r="O701" i="1"/>
  <c r="M701" i="1"/>
  <c r="L701" i="1"/>
  <c r="K701" i="1"/>
  <c r="Q700" i="1"/>
  <c r="P700" i="1"/>
  <c r="M700" i="1"/>
  <c r="L700" i="1"/>
  <c r="K700" i="1"/>
  <c r="Q699" i="1"/>
  <c r="P699" i="1"/>
  <c r="M699" i="1"/>
  <c r="L699" i="1"/>
  <c r="K699" i="1"/>
  <c r="Q698" i="1"/>
  <c r="P698" i="1"/>
  <c r="O698" i="1"/>
  <c r="M698" i="1"/>
  <c r="L698" i="1"/>
  <c r="K698" i="1"/>
  <c r="Q697" i="1"/>
  <c r="P697" i="1"/>
  <c r="O697" i="1"/>
  <c r="M697" i="1"/>
  <c r="L697" i="1"/>
  <c r="K697" i="1"/>
  <c r="Q696" i="1"/>
  <c r="P696" i="1"/>
  <c r="O696" i="1"/>
  <c r="M696" i="1"/>
  <c r="L696" i="1"/>
  <c r="K696" i="1"/>
  <c r="Q695" i="1"/>
  <c r="P695" i="1"/>
  <c r="O695" i="1"/>
  <c r="M695" i="1"/>
  <c r="L695" i="1"/>
  <c r="K695" i="1"/>
  <c r="Q694" i="1"/>
  <c r="P694" i="1"/>
  <c r="O694" i="1"/>
  <c r="M694" i="1"/>
  <c r="L694" i="1"/>
  <c r="K694" i="1"/>
  <c r="Q693" i="1"/>
  <c r="P693" i="1"/>
  <c r="O693" i="1"/>
  <c r="M693" i="1"/>
  <c r="L693" i="1"/>
  <c r="K693" i="1"/>
  <c r="Q692" i="1"/>
  <c r="P692" i="1"/>
  <c r="O692" i="1"/>
  <c r="M692" i="1"/>
  <c r="L692" i="1"/>
  <c r="K692" i="1"/>
  <c r="Q691" i="1"/>
  <c r="P691" i="1"/>
  <c r="O691" i="1"/>
  <c r="M691" i="1"/>
  <c r="L691" i="1"/>
  <c r="K691" i="1"/>
  <c r="Q690" i="1"/>
  <c r="P690" i="1"/>
  <c r="O690" i="1"/>
  <c r="M690" i="1"/>
  <c r="L690" i="1"/>
  <c r="K690" i="1"/>
  <c r="Q689" i="1"/>
  <c r="P689" i="1"/>
  <c r="M689" i="1"/>
  <c r="L689" i="1"/>
  <c r="K689" i="1"/>
  <c r="Q688" i="1"/>
  <c r="P688" i="1"/>
  <c r="M688" i="1"/>
  <c r="L688" i="1"/>
  <c r="K688" i="1"/>
  <c r="Q687" i="1"/>
  <c r="P687" i="1"/>
  <c r="O687" i="1"/>
  <c r="M687" i="1"/>
  <c r="L687" i="1"/>
  <c r="K687" i="1"/>
  <c r="Q686" i="1"/>
  <c r="P686" i="1"/>
  <c r="M686" i="1"/>
  <c r="L686" i="1"/>
  <c r="K686" i="1"/>
  <c r="Q685" i="1"/>
  <c r="P685" i="1"/>
  <c r="M685" i="1"/>
  <c r="L685" i="1"/>
  <c r="K685" i="1"/>
  <c r="Q684" i="1"/>
  <c r="P684" i="1"/>
  <c r="O684" i="1"/>
  <c r="M684" i="1"/>
  <c r="L684" i="1"/>
  <c r="K684" i="1"/>
  <c r="Q683" i="1"/>
  <c r="P683" i="1"/>
  <c r="O683" i="1"/>
  <c r="M683" i="1"/>
  <c r="L683" i="1"/>
  <c r="K683" i="1"/>
  <c r="Q682" i="1"/>
  <c r="P682" i="1"/>
  <c r="O682" i="1"/>
  <c r="M682" i="1"/>
  <c r="L682" i="1"/>
  <c r="K682" i="1"/>
  <c r="Q681" i="1"/>
  <c r="P681" i="1"/>
  <c r="O681" i="1"/>
  <c r="M681" i="1"/>
  <c r="L681" i="1"/>
  <c r="K681" i="1"/>
  <c r="Q680" i="1"/>
  <c r="P680" i="1"/>
  <c r="O680" i="1"/>
  <c r="M680" i="1"/>
  <c r="L680" i="1"/>
  <c r="K680" i="1"/>
  <c r="Q679" i="1"/>
  <c r="P679" i="1"/>
  <c r="M679" i="1"/>
  <c r="L679" i="1"/>
  <c r="K679" i="1"/>
  <c r="Q678" i="1"/>
  <c r="P678" i="1"/>
  <c r="O678" i="1"/>
  <c r="M678" i="1"/>
  <c r="L678" i="1"/>
  <c r="K678" i="1"/>
  <c r="Q677" i="1"/>
  <c r="P677" i="1"/>
  <c r="M677" i="1"/>
  <c r="L677" i="1"/>
  <c r="K677" i="1"/>
  <c r="Q676" i="1"/>
  <c r="P676" i="1"/>
  <c r="O676" i="1"/>
  <c r="M676" i="1"/>
  <c r="L676" i="1"/>
  <c r="K676" i="1"/>
  <c r="Q675" i="1"/>
  <c r="P675" i="1"/>
  <c r="O675" i="1"/>
  <c r="M675" i="1"/>
  <c r="L675" i="1"/>
  <c r="K675" i="1"/>
  <c r="Q674" i="1"/>
  <c r="P674" i="1"/>
  <c r="O674" i="1"/>
  <c r="M674" i="1"/>
  <c r="L674" i="1"/>
  <c r="K674" i="1"/>
  <c r="Q673" i="1"/>
  <c r="P673" i="1"/>
  <c r="O673" i="1"/>
  <c r="M673" i="1"/>
  <c r="L673" i="1"/>
  <c r="K673" i="1"/>
  <c r="Q672" i="1"/>
  <c r="P672" i="1"/>
  <c r="M672" i="1"/>
  <c r="L672" i="1"/>
  <c r="K672" i="1"/>
  <c r="Q671" i="1"/>
  <c r="P671" i="1"/>
  <c r="O671" i="1"/>
  <c r="M671" i="1"/>
  <c r="L671" i="1"/>
  <c r="K671" i="1"/>
  <c r="Q670" i="1"/>
  <c r="P670" i="1"/>
  <c r="O670" i="1"/>
  <c r="M670" i="1"/>
  <c r="L670" i="1"/>
  <c r="K670" i="1"/>
  <c r="Q669" i="1"/>
  <c r="P669" i="1"/>
  <c r="O669" i="1"/>
  <c r="M669" i="1"/>
  <c r="L669" i="1"/>
  <c r="K669" i="1"/>
  <c r="Q668" i="1"/>
  <c r="P668" i="1"/>
  <c r="O668" i="1"/>
  <c r="M668" i="1"/>
  <c r="L668" i="1"/>
  <c r="K668" i="1"/>
  <c r="Q667" i="1"/>
  <c r="P667" i="1"/>
  <c r="O667" i="1"/>
  <c r="M667" i="1"/>
  <c r="L667" i="1"/>
  <c r="K667" i="1"/>
  <c r="Q666" i="1"/>
  <c r="P666" i="1"/>
  <c r="O666" i="1"/>
  <c r="M666" i="1"/>
  <c r="L666" i="1"/>
  <c r="K666" i="1"/>
  <c r="Q665" i="1"/>
  <c r="P665" i="1"/>
  <c r="O665" i="1"/>
  <c r="M665" i="1"/>
  <c r="L665" i="1"/>
  <c r="K665" i="1"/>
  <c r="Q664" i="1"/>
  <c r="P664" i="1"/>
  <c r="O664" i="1"/>
  <c r="M664" i="1"/>
  <c r="L664" i="1"/>
  <c r="K664" i="1"/>
  <c r="Q663" i="1"/>
  <c r="P663" i="1"/>
  <c r="O663" i="1"/>
  <c r="M663" i="1"/>
  <c r="L663" i="1"/>
  <c r="K663" i="1"/>
  <c r="Q662" i="1"/>
  <c r="P662" i="1"/>
  <c r="O662" i="1"/>
  <c r="M662" i="1"/>
  <c r="L662" i="1"/>
  <c r="K662" i="1"/>
  <c r="Q661" i="1"/>
  <c r="P661" i="1"/>
  <c r="O661" i="1"/>
  <c r="M661" i="1"/>
  <c r="L661" i="1"/>
  <c r="K661" i="1"/>
  <c r="Q660" i="1"/>
  <c r="P660" i="1"/>
  <c r="O660" i="1"/>
  <c r="M660" i="1"/>
  <c r="L660" i="1"/>
  <c r="K660" i="1"/>
  <c r="Q659" i="1"/>
  <c r="P659" i="1"/>
  <c r="O659" i="1"/>
  <c r="M659" i="1"/>
  <c r="L659" i="1"/>
  <c r="K659" i="1"/>
  <c r="Q658" i="1"/>
  <c r="P658" i="1"/>
  <c r="O658" i="1"/>
  <c r="M658" i="1"/>
  <c r="L658" i="1"/>
  <c r="K658" i="1"/>
  <c r="Q657" i="1"/>
  <c r="P657" i="1"/>
  <c r="M657" i="1"/>
  <c r="L657" i="1"/>
  <c r="K657" i="1"/>
  <c r="Q656" i="1"/>
  <c r="P656" i="1"/>
  <c r="M656" i="1"/>
  <c r="L656" i="1"/>
  <c r="K656" i="1"/>
  <c r="Q655" i="1"/>
  <c r="P655" i="1"/>
  <c r="O655" i="1"/>
  <c r="M655" i="1"/>
  <c r="L655" i="1"/>
  <c r="K655" i="1"/>
  <c r="Q654" i="1"/>
  <c r="P654" i="1"/>
  <c r="M654" i="1"/>
  <c r="L654" i="1"/>
  <c r="K654" i="1"/>
  <c r="Q653" i="1"/>
  <c r="P653" i="1"/>
  <c r="O653" i="1"/>
  <c r="M653" i="1"/>
  <c r="L653" i="1"/>
  <c r="K653" i="1"/>
  <c r="Q652" i="1"/>
  <c r="P652" i="1"/>
  <c r="O652" i="1"/>
  <c r="M652" i="1"/>
  <c r="L652" i="1"/>
  <c r="K652" i="1"/>
  <c r="Q651" i="1"/>
  <c r="P651" i="1"/>
  <c r="O651" i="1"/>
  <c r="M651" i="1"/>
  <c r="L651" i="1"/>
  <c r="K651" i="1"/>
  <c r="Q650" i="1"/>
  <c r="P650" i="1"/>
  <c r="O650" i="1"/>
  <c r="M650" i="1"/>
  <c r="L650" i="1"/>
  <c r="K650" i="1"/>
  <c r="Q649" i="1"/>
  <c r="P649" i="1"/>
  <c r="O649" i="1"/>
  <c r="M649" i="1"/>
  <c r="L649" i="1"/>
  <c r="K649" i="1"/>
  <c r="Q648" i="1"/>
  <c r="P648" i="1"/>
  <c r="O648" i="1"/>
  <c r="M648" i="1"/>
  <c r="L648" i="1"/>
  <c r="K648" i="1"/>
  <c r="Q647" i="1"/>
  <c r="P647" i="1"/>
  <c r="O647" i="1"/>
  <c r="M647" i="1"/>
  <c r="L647" i="1"/>
  <c r="K647" i="1"/>
  <c r="Q646" i="1"/>
  <c r="P646" i="1"/>
  <c r="O646" i="1"/>
  <c r="M646" i="1"/>
  <c r="L646" i="1"/>
  <c r="K646" i="1"/>
  <c r="Q645" i="1"/>
  <c r="P645" i="1"/>
  <c r="O645" i="1"/>
  <c r="M645" i="1"/>
  <c r="L645" i="1"/>
  <c r="K645" i="1"/>
  <c r="Q644" i="1"/>
  <c r="P644" i="1"/>
  <c r="O644" i="1"/>
  <c r="M644" i="1"/>
  <c r="L644" i="1"/>
  <c r="K644" i="1"/>
  <c r="Q643" i="1"/>
  <c r="P643" i="1"/>
  <c r="O643" i="1"/>
  <c r="M643" i="1"/>
  <c r="L643" i="1"/>
  <c r="K643" i="1"/>
  <c r="Q642" i="1"/>
  <c r="P642" i="1"/>
  <c r="M642" i="1"/>
  <c r="L642" i="1"/>
  <c r="K642" i="1"/>
  <c r="Q641" i="1"/>
  <c r="P641" i="1"/>
  <c r="O641" i="1"/>
  <c r="M641" i="1"/>
  <c r="L641" i="1"/>
  <c r="K641" i="1"/>
  <c r="Q640" i="1"/>
  <c r="P640" i="1"/>
  <c r="O640" i="1"/>
  <c r="M640" i="1"/>
  <c r="L640" i="1"/>
  <c r="K640" i="1"/>
  <c r="Q639" i="1"/>
  <c r="P639" i="1"/>
  <c r="O639" i="1"/>
  <c r="M639" i="1"/>
  <c r="L639" i="1"/>
  <c r="K639" i="1"/>
  <c r="Q638" i="1"/>
  <c r="P638" i="1"/>
  <c r="O638" i="1"/>
  <c r="M638" i="1"/>
  <c r="L638" i="1"/>
  <c r="K638" i="1"/>
  <c r="Q637" i="1"/>
  <c r="P637" i="1"/>
  <c r="O637" i="1"/>
  <c r="M637" i="1"/>
  <c r="L637" i="1"/>
  <c r="K637" i="1"/>
  <c r="Q636" i="1"/>
  <c r="P636" i="1"/>
  <c r="O636" i="1"/>
  <c r="M636" i="1"/>
  <c r="L636" i="1"/>
  <c r="K636" i="1"/>
  <c r="Q635" i="1"/>
  <c r="P635" i="1"/>
  <c r="O635" i="1"/>
  <c r="M635" i="1"/>
  <c r="L635" i="1"/>
  <c r="K635" i="1"/>
  <c r="Q634" i="1"/>
  <c r="P634" i="1"/>
  <c r="O634" i="1"/>
  <c r="M634" i="1"/>
  <c r="L634" i="1"/>
  <c r="K634" i="1"/>
  <c r="Q633" i="1"/>
  <c r="P633" i="1"/>
  <c r="M633" i="1"/>
  <c r="L633" i="1"/>
  <c r="K633" i="1"/>
  <c r="Q632" i="1"/>
  <c r="P632" i="1"/>
  <c r="O632" i="1"/>
  <c r="M632" i="1"/>
  <c r="L632" i="1"/>
  <c r="K632" i="1"/>
  <c r="Q631" i="1"/>
  <c r="P631" i="1"/>
  <c r="O631" i="1"/>
  <c r="M631" i="1"/>
  <c r="L631" i="1"/>
  <c r="K631" i="1"/>
  <c r="Q630" i="1"/>
  <c r="P630" i="1"/>
  <c r="O630" i="1"/>
  <c r="M630" i="1"/>
  <c r="L630" i="1"/>
  <c r="K630" i="1"/>
  <c r="Q629" i="1"/>
  <c r="P629" i="1"/>
  <c r="M629" i="1"/>
  <c r="L629" i="1"/>
  <c r="K629" i="1"/>
  <c r="Q628" i="1"/>
  <c r="P628" i="1"/>
  <c r="O628" i="1"/>
  <c r="M628" i="1"/>
  <c r="L628" i="1"/>
  <c r="K628" i="1"/>
  <c r="Q627" i="1"/>
  <c r="P627" i="1"/>
  <c r="O627" i="1"/>
  <c r="M627" i="1"/>
  <c r="L627" i="1"/>
  <c r="K627" i="1"/>
  <c r="Q626" i="1"/>
  <c r="P626" i="1"/>
  <c r="M626" i="1"/>
  <c r="L626" i="1"/>
  <c r="K626" i="1"/>
  <c r="Q625" i="1"/>
  <c r="P625" i="1"/>
  <c r="O625" i="1"/>
  <c r="M625" i="1"/>
  <c r="L625" i="1"/>
  <c r="K625" i="1"/>
  <c r="Q624" i="1"/>
  <c r="P624" i="1"/>
  <c r="O624" i="1"/>
  <c r="M624" i="1"/>
  <c r="L624" i="1"/>
  <c r="K624" i="1"/>
  <c r="Q623" i="1"/>
  <c r="P623" i="1"/>
  <c r="O623" i="1"/>
  <c r="M623" i="1"/>
  <c r="L623" i="1"/>
  <c r="K623" i="1"/>
  <c r="Q622" i="1"/>
  <c r="P622" i="1"/>
  <c r="O622" i="1"/>
  <c r="M622" i="1"/>
  <c r="L622" i="1"/>
  <c r="K622" i="1"/>
  <c r="Q621" i="1"/>
  <c r="P621" i="1"/>
  <c r="O621" i="1"/>
  <c r="M621" i="1"/>
  <c r="L621" i="1"/>
  <c r="K621" i="1"/>
  <c r="Q620" i="1"/>
  <c r="P620" i="1"/>
  <c r="M620" i="1"/>
  <c r="L620" i="1"/>
  <c r="K620" i="1"/>
  <c r="Q619" i="1"/>
  <c r="P619" i="1"/>
  <c r="O619" i="1"/>
  <c r="M619" i="1"/>
  <c r="L619" i="1"/>
  <c r="K619" i="1"/>
  <c r="Q618" i="1"/>
  <c r="P618" i="1"/>
  <c r="O618" i="1"/>
  <c r="M618" i="1"/>
  <c r="L618" i="1"/>
  <c r="K618" i="1"/>
  <c r="Q617" i="1"/>
  <c r="P617" i="1"/>
  <c r="O617" i="1"/>
  <c r="M617" i="1"/>
  <c r="L617" i="1"/>
  <c r="K617" i="1"/>
  <c r="Q616" i="1"/>
  <c r="P616" i="1"/>
  <c r="O616" i="1"/>
  <c r="M616" i="1"/>
  <c r="L616" i="1"/>
  <c r="K616" i="1"/>
  <c r="Q615" i="1"/>
  <c r="P615" i="1"/>
  <c r="M615" i="1"/>
  <c r="L615" i="1"/>
  <c r="K615" i="1"/>
  <c r="Q614" i="1"/>
  <c r="P614" i="1"/>
  <c r="O614" i="1"/>
  <c r="M614" i="1"/>
  <c r="L614" i="1"/>
  <c r="K614" i="1"/>
  <c r="Q613" i="1"/>
  <c r="P613" i="1"/>
  <c r="O613" i="1"/>
  <c r="M613" i="1"/>
  <c r="L613" i="1"/>
  <c r="K613" i="1"/>
  <c r="Q612" i="1"/>
  <c r="P612" i="1"/>
  <c r="O612" i="1"/>
  <c r="M612" i="1"/>
  <c r="L612" i="1"/>
  <c r="K612" i="1"/>
  <c r="Q611" i="1"/>
  <c r="P611" i="1"/>
  <c r="O611" i="1"/>
  <c r="M611" i="1"/>
  <c r="L611" i="1"/>
  <c r="K611" i="1"/>
  <c r="Q610" i="1"/>
  <c r="P610" i="1"/>
  <c r="O610" i="1"/>
  <c r="M610" i="1"/>
  <c r="L610" i="1"/>
  <c r="K610" i="1"/>
  <c r="Q609" i="1"/>
  <c r="P609" i="1"/>
  <c r="O609" i="1"/>
  <c r="M609" i="1"/>
  <c r="L609" i="1"/>
  <c r="K609" i="1"/>
  <c r="Q608" i="1"/>
  <c r="P608" i="1"/>
  <c r="O608" i="1"/>
  <c r="M608" i="1"/>
  <c r="L608" i="1"/>
  <c r="K608" i="1"/>
  <c r="Q607" i="1"/>
  <c r="P607" i="1"/>
  <c r="O607" i="1"/>
  <c r="M607" i="1"/>
  <c r="L607" i="1"/>
  <c r="K607" i="1"/>
  <c r="Q606" i="1"/>
  <c r="P606" i="1"/>
  <c r="O606" i="1"/>
  <c r="M606" i="1"/>
  <c r="L606" i="1"/>
  <c r="K606" i="1"/>
  <c r="Q605" i="1"/>
  <c r="P605" i="1"/>
  <c r="O605" i="1"/>
  <c r="M605" i="1"/>
  <c r="L605" i="1"/>
  <c r="K605" i="1"/>
  <c r="Q604" i="1"/>
  <c r="P604" i="1"/>
  <c r="O604" i="1"/>
  <c r="M604" i="1"/>
  <c r="L604" i="1"/>
  <c r="K604" i="1"/>
  <c r="Q603" i="1"/>
  <c r="P603" i="1"/>
  <c r="O603" i="1"/>
  <c r="M603" i="1"/>
  <c r="L603" i="1"/>
  <c r="K603" i="1"/>
  <c r="Q602" i="1"/>
  <c r="P602" i="1"/>
  <c r="M602" i="1"/>
  <c r="L602" i="1"/>
  <c r="K602" i="1"/>
  <c r="Q601" i="1"/>
  <c r="P601" i="1"/>
  <c r="O601" i="1"/>
  <c r="M601" i="1"/>
  <c r="L601" i="1"/>
  <c r="K601" i="1"/>
  <c r="Q600" i="1"/>
  <c r="P600" i="1"/>
  <c r="O600" i="1"/>
  <c r="M600" i="1"/>
  <c r="L600" i="1"/>
  <c r="K600" i="1"/>
  <c r="Q599" i="1"/>
  <c r="P599" i="1"/>
  <c r="O599" i="1"/>
  <c r="M599" i="1"/>
  <c r="L599" i="1"/>
  <c r="K599" i="1"/>
  <c r="Q598" i="1"/>
  <c r="P598" i="1"/>
  <c r="O598" i="1"/>
  <c r="M598" i="1"/>
  <c r="L598" i="1"/>
  <c r="K598" i="1"/>
  <c r="Q597" i="1"/>
  <c r="P597" i="1"/>
  <c r="O597" i="1"/>
  <c r="M597" i="1"/>
  <c r="L597" i="1"/>
  <c r="K597" i="1"/>
  <c r="Q596" i="1"/>
  <c r="P596" i="1"/>
  <c r="O596" i="1"/>
  <c r="M596" i="1"/>
  <c r="L596" i="1"/>
  <c r="K596" i="1"/>
  <c r="Q595" i="1"/>
  <c r="P595" i="1"/>
  <c r="O595" i="1"/>
  <c r="M595" i="1"/>
  <c r="L595" i="1"/>
  <c r="K595" i="1"/>
  <c r="Q594" i="1"/>
  <c r="P594" i="1"/>
  <c r="O594" i="1"/>
  <c r="M594" i="1"/>
  <c r="L594" i="1"/>
  <c r="K594" i="1"/>
  <c r="Q593" i="1"/>
  <c r="P593" i="1"/>
  <c r="O593" i="1"/>
  <c r="M593" i="1"/>
  <c r="L593" i="1"/>
  <c r="K593" i="1"/>
  <c r="Q592" i="1"/>
  <c r="P592" i="1"/>
  <c r="M592" i="1"/>
  <c r="L592" i="1"/>
  <c r="K592" i="1"/>
  <c r="Q591" i="1"/>
  <c r="P591" i="1"/>
  <c r="O591" i="1"/>
  <c r="M591" i="1"/>
  <c r="L591" i="1"/>
  <c r="K591" i="1"/>
  <c r="Q590" i="1"/>
  <c r="P590" i="1"/>
  <c r="O590" i="1"/>
  <c r="M590" i="1"/>
  <c r="L590" i="1"/>
  <c r="K590" i="1"/>
  <c r="Q589" i="1"/>
  <c r="P589" i="1"/>
  <c r="M589" i="1"/>
  <c r="L589" i="1"/>
  <c r="K589" i="1"/>
  <c r="Q588" i="1"/>
  <c r="P588" i="1"/>
  <c r="O588" i="1"/>
  <c r="M588" i="1"/>
  <c r="L588" i="1"/>
  <c r="K588" i="1"/>
  <c r="Q587" i="1"/>
  <c r="P587" i="1"/>
  <c r="O587" i="1"/>
  <c r="M587" i="1"/>
  <c r="L587" i="1"/>
  <c r="K587" i="1"/>
  <c r="Q586" i="1"/>
  <c r="P586" i="1"/>
  <c r="O586" i="1"/>
  <c r="M586" i="1"/>
  <c r="L586" i="1"/>
  <c r="K586" i="1"/>
  <c r="Q585" i="1"/>
  <c r="P585" i="1"/>
  <c r="O585" i="1"/>
  <c r="M585" i="1"/>
  <c r="L585" i="1"/>
  <c r="K585" i="1"/>
  <c r="Q584" i="1"/>
  <c r="P584" i="1"/>
  <c r="O584" i="1"/>
  <c r="M584" i="1"/>
  <c r="L584" i="1"/>
  <c r="K584" i="1"/>
  <c r="Q583" i="1"/>
  <c r="P583" i="1"/>
  <c r="O583" i="1"/>
  <c r="M583" i="1"/>
  <c r="L583" i="1"/>
  <c r="K583" i="1"/>
  <c r="Q582" i="1"/>
  <c r="P582" i="1"/>
  <c r="O582" i="1"/>
  <c r="M582" i="1"/>
  <c r="L582" i="1"/>
  <c r="K582" i="1"/>
  <c r="Q581" i="1"/>
  <c r="P581" i="1"/>
  <c r="O581" i="1"/>
  <c r="M581" i="1"/>
  <c r="L581" i="1"/>
  <c r="K581" i="1"/>
  <c r="Q580" i="1"/>
  <c r="P580" i="1"/>
  <c r="O580" i="1"/>
  <c r="M580" i="1"/>
  <c r="L580" i="1"/>
  <c r="K580" i="1"/>
  <c r="Q579" i="1"/>
  <c r="P579" i="1"/>
  <c r="O579" i="1"/>
  <c r="M579" i="1"/>
  <c r="L579" i="1"/>
  <c r="K579" i="1"/>
  <c r="Q578" i="1"/>
  <c r="P578" i="1"/>
  <c r="O578" i="1"/>
  <c r="M578" i="1"/>
  <c r="L578" i="1"/>
  <c r="K578" i="1"/>
  <c r="Q577" i="1"/>
  <c r="P577" i="1"/>
  <c r="O577" i="1"/>
  <c r="M577" i="1"/>
  <c r="L577" i="1"/>
  <c r="K577" i="1"/>
  <c r="Q576" i="1"/>
  <c r="P576" i="1"/>
  <c r="O576" i="1"/>
  <c r="M576" i="1"/>
  <c r="L576" i="1"/>
  <c r="K576" i="1"/>
  <c r="Q575" i="1"/>
  <c r="P575" i="1"/>
  <c r="O575" i="1"/>
  <c r="M575" i="1"/>
  <c r="L575" i="1"/>
  <c r="K575" i="1"/>
  <c r="Q574" i="1"/>
  <c r="P574" i="1"/>
  <c r="O574" i="1"/>
  <c r="M574" i="1"/>
  <c r="L574" i="1"/>
  <c r="K574" i="1"/>
  <c r="Q573" i="1"/>
  <c r="P573" i="1"/>
  <c r="O573" i="1"/>
  <c r="M573" i="1"/>
  <c r="L573" i="1"/>
  <c r="K573" i="1"/>
  <c r="Q572" i="1"/>
  <c r="P572" i="1"/>
  <c r="O572" i="1"/>
  <c r="M572" i="1"/>
  <c r="L572" i="1"/>
  <c r="K572" i="1"/>
  <c r="Q571" i="1"/>
  <c r="P571" i="1"/>
  <c r="O571" i="1"/>
  <c r="M571" i="1"/>
  <c r="L571" i="1"/>
  <c r="K571" i="1"/>
  <c r="Q570" i="1"/>
  <c r="P570" i="1"/>
  <c r="O570" i="1"/>
  <c r="M570" i="1"/>
  <c r="L570" i="1"/>
  <c r="K570" i="1"/>
  <c r="Q569" i="1"/>
  <c r="P569" i="1"/>
  <c r="M569" i="1"/>
  <c r="L569" i="1"/>
  <c r="K569" i="1"/>
  <c r="Q568" i="1"/>
  <c r="P568" i="1"/>
  <c r="O568" i="1"/>
  <c r="M568" i="1"/>
  <c r="L568" i="1"/>
  <c r="K568" i="1"/>
  <c r="Q567" i="1"/>
  <c r="P567" i="1"/>
  <c r="O567" i="1"/>
  <c r="M567" i="1"/>
  <c r="L567" i="1"/>
  <c r="K567" i="1"/>
  <c r="Q566" i="1"/>
  <c r="P566" i="1"/>
  <c r="O566" i="1"/>
  <c r="M566" i="1"/>
  <c r="L566" i="1"/>
  <c r="K566" i="1"/>
  <c r="Q565" i="1"/>
  <c r="P565" i="1"/>
  <c r="O565" i="1"/>
  <c r="M565" i="1"/>
  <c r="L565" i="1"/>
  <c r="K565" i="1"/>
  <c r="Q564" i="1"/>
  <c r="P564" i="1"/>
  <c r="O564" i="1"/>
  <c r="M564" i="1"/>
  <c r="L564" i="1"/>
  <c r="K564" i="1"/>
  <c r="Q563" i="1"/>
  <c r="P563" i="1"/>
  <c r="M563" i="1"/>
  <c r="L563" i="1"/>
  <c r="K563" i="1"/>
  <c r="Q562" i="1"/>
  <c r="P562" i="1"/>
  <c r="O562" i="1"/>
  <c r="M562" i="1"/>
  <c r="L562" i="1"/>
  <c r="K562" i="1"/>
  <c r="Q561" i="1"/>
  <c r="P561" i="1"/>
  <c r="M561" i="1"/>
  <c r="L561" i="1"/>
  <c r="K561" i="1"/>
  <c r="Q560" i="1"/>
  <c r="P560" i="1"/>
  <c r="O560" i="1"/>
  <c r="M560" i="1"/>
  <c r="L560" i="1"/>
  <c r="K560" i="1"/>
  <c r="Q559" i="1"/>
  <c r="P559" i="1"/>
  <c r="O559" i="1"/>
  <c r="M559" i="1"/>
  <c r="L559" i="1"/>
  <c r="K559" i="1"/>
  <c r="Q558" i="1"/>
  <c r="P558" i="1"/>
  <c r="O558" i="1"/>
  <c r="M558" i="1"/>
  <c r="L558" i="1"/>
  <c r="K558" i="1"/>
  <c r="Q557" i="1"/>
  <c r="P557" i="1"/>
  <c r="O557" i="1"/>
  <c r="M557" i="1"/>
  <c r="L557" i="1"/>
  <c r="K557" i="1"/>
  <c r="Q556" i="1"/>
  <c r="P556" i="1"/>
  <c r="O556" i="1"/>
  <c r="M556" i="1"/>
  <c r="L556" i="1"/>
  <c r="K556" i="1"/>
  <c r="Q555" i="1"/>
  <c r="P555" i="1"/>
  <c r="M555" i="1"/>
  <c r="L555" i="1"/>
  <c r="K555" i="1"/>
  <c r="Q554" i="1"/>
  <c r="P554" i="1"/>
  <c r="O554" i="1"/>
  <c r="M554" i="1"/>
  <c r="L554" i="1"/>
  <c r="K554" i="1"/>
  <c r="Q553" i="1"/>
  <c r="P553" i="1"/>
  <c r="O553" i="1"/>
  <c r="M553" i="1"/>
  <c r="L553" i="1"/>
  <c r="K553" i="1"/>
  <c r="Q552" i="1"/>
  <c r="P552" i="1"/>
  <c r="O552" i="1"/>
  <c r="M552" i="1"/>
  <c r="L552" i="1"/>
  <c r="K552" i="1"/>
  <c r="Q551" i="1"/>
  <c r="P551" i="1"/>
  <c r="O551" i="1"/>
  <c r="M551" i="1"/>
  <c r="L551" i="1"/>
  <c r="K551" i="1"/>
  <c r="Q550" i="1"/>
  <c r="P550" i="1"/>
  <c r="O550" i="1"/>
  <c r="M550" i="1"/>
  <c r="L550" i="1"/>
  <c r="K550" i="1"/>
  <c r="Q549" i="1"/>
  <c r="P549" i="1"/>
  <c r="O549" i="1"/>
  <c r="M549" i="1"/>
  <c r="L549" i="1"/>
  <c r="K549" i="1"/>
  <c r="Q548" i="1"/>
  <c r="P548" i="1"/>
  <c r="O548" i="1"/>
  <c r="M548" i="1"/>
  <c r="L548" i="1"/>
  <c r="K548" i="1"/>
  <c r="Q547" i="1"/>
  <c r="P547" i="1"/>
  <c r="O547" i="1"/>
  <c r="M547" i="1"/>
  <c r="L547" i="1"/>
  <c r="K547" i="1"/>
  <c r="Q546" i="1"/>
  <c r="P546" i="1"/>
  <c r="O546" i="1"/>
  <c r="M546" i="1"/>
  <c r="L546" i="1"/>
  <c r="K546" i="1"/>
  <c r="Q545" i="1"/>
  <c r="P545" i="1"/>
  <c r="O545" i="1"/>
  <c r="M545" i="1"/>
  <c r="L545" i="1"/>
  <c r="K545" i="1"/>
  <c r="Q544" i="1"/>
  <c r="P544" i="1"/>
  <c r="O544" i="1"/>
  <c r="M544" i="1"/>
  <c r="L544" i="1"/>
  <c r="K544" i="1"/>
  <c r="Q543" i="1"/>
  <c r="P543" i="1"/>
  <c r="M543" i="1"/>
  <c r="L543" i="1"/>
  <c r="K543" i="1"/>
  <c r="Q542" i="1"/>
  <c r="P542" i="1"/>
  <c r="O542" i="1"/>
  <c r="M542" i="1"/>
  <c r="L542" i="1"/>
  <c r="K542" i="1"/>
  <c r="Q541" i="1"/>
  <c r="P541" i="1"/>
  <c r="O541" i="1"/>
  <c r="M541" i="1"/>
  <c r="L541" i="1"/>
  <c r="K541" i="1"/>
  <c r="Q540" i="1"/>
  <c r="P540" i="1"/>
  <c r="M540" i="1"/>
  <c r="L540" i="1"/>
  <c r="K540" i="1"/>
  <c r="Q539" i="1"/>
  <c r="P539" i="1"/>
  <c r="O539" i="1"/>
  <c r="M539" i="1"/>
  <c r="L539" i="1"/>
  <c r="K539" i="1"/>
  <c r="Q538" i="1"/>
  <c r="P538" i="1"/>
  <c r="O538" i="1"/>
  <c r="M538" i="1"/>
  <c r="L538" i="1"/>
  <c r="K538" i="1"/>
  <c r="Q537" i="1"/>
  <c r="P537" i="1"/>
  <c r="O537" i="1"/>
  <c r="M537" i="1"/>
  <c r="L537" i="1"/>
  <c r="K537" i="1"/>
  <c r="Q536" i="1"/>
  <c r="P536" i="1"/>
  <c r="O536" i="1"/>
  <c r="M536" i="1"/>
  <c r="L536" i="1"/>
  <c r="K536" i="1"/>
  <c r="Q535" i="1"/>
  <c r="P535" i="1"/>
  <c r="O535" i="1"/>
  <c r="M535" i="1"/>
  <c r="L535" i="1"/>
  <c r="K535" i="1"/>
  <c r="Q534" i="1"/>
  <c r="P534" i="1"/>
  <c r="M534" i="1"/>
  <c r="L534" i="1"/>
  <c r="K534" i="1"/>
  <c r="Q533" i="1"/>
  <c r="P533" i="1"/>
  <c r="O533" i="1"/>
  <c r="M533" i="1"/>
  <c r="L533" i="1"/>
  <c r="K533" i="1"/>
  <c r="Q532" i="1"/>
  <c r="P532" i="1"/>
  <c r="O532" i="1"/>
  <c r="M532" i="1"/>
  <c r="L532" i="1"/>
  <c r="K532" i="1"/>
  <c r="Q531" i="1"/>
  <c r="P531" i="1"/>
  <c r="M531" i="1"/>
  <c r="L531" i="1"/>
  <c r="K531" i="1"/>
  <c r="Q530" i="1"/>
  <c r="P530" i="1"/>
  <c r="M530" i="1"/>
  <c r="L530" i="1"/>
  <c r="K530" i="1"/>
  <c r="Q529" i="1"/>
  <c r="P529" i="1"/>
  <c r="O529" i="1"/>
  <c r="M529" i="1"/>
  <c r="L529" i="1"/>
  <c r="K529" i="1"/>
  <c r="Q528" i="1"/>
  <c r="P528" i="1"/>
  <c r="O528" i="1"/>
  <c r="M528" i="1"/>
  <c r="L528" i="1"/>
  <c r="K528" i="1"/>
  <c r="Q527" i="1"/>
  <c r="P527" i="1"/>
  <c r="O527" i="1"/>
  <c r="M527" i="1"/>
  <c r="L527" i="1"/>
  <c r="K527" i="1"/>
  <c r="Q526" i="1"/>
  <c r="P526" i="1"/>
  <c r="O526" i="1"/>
  <c r="M526" i="1"/>
  <c r="L526" i="1"/>
  <c r="K526" i="1"/>
  <c r="Q525" i="1"/>
  <c r="P525" i="1"/>
  <c r="O525" i="1"/>
  <c r="M525" i="1"/>
  <c r="L525" i="1"/>
  <c r="K525" i="1"/>
  <c r="Q524" i="1"/>
  <c r="P524" i="1"/>
  <c r="M524" i="1"/>
  <c r="L524" i="1"/>
  <c r="K524" i="1"/>
  <c r="Q523" i="1"/>
  <c r="P523" i="1"/>
  <c r="O523" i="1"/>
  <c r="M523" i="1"/>
  <c r="L523" i="1"/>
  <c r="K523" i="1"/>
  <c r="Q522" i="1"/>
  <c r="P522" i="1"/>
  <c r="O522" i="1"/>
  <c r="M522" i="1"/>
  <c r="L522" i="1"/>
  <c r="K522" i="1"/>
  <c r="Q521" i="1"/>
  <c r="P521" i="1"/>
  <c r="O521" i="1"/>
  <c r="M521" i="1"/>
  <c r="L521" i="1"/>
  <c r="K521" i="1"/>
  <c r="Q520" i="1"/>
  <c r="P520" i="1"/>
  <c r="O520" i="1"/>
  <c r="M520" i="1"/>
  <c r="L520" i="1"/>
  <c r="K520" i="1"/>
  <c r="Q519" i="1"/>
  <c r="P519" i="1"/>
  <c r="O519" i="1"/>
  <c r="M519" i="1"/>
  <c r="L519" i="1"/>
  <c r="K519" i="1"/>
  <c r="Q518" i="1"/>
  <c r="P518" i="1"/>
  <c r="O518" i="1"/>
  <c r="M518" i="1"/>
  <c r="L518" i="1"/>
  <c r="K518" i="1"/>
  <c r="Q517" i="1"/>
  <c r="P517" i="1"/>
  <c r="O517" i="1"/>
  <c r="M517" i="1"/>
  <c r="L517" i="1"/>
  <c r="K517" i="1"/>
  <c r="Q516" i="1"/>
  <c r="P516" i="1"/>
  <c r="O516" i="1"/>
  <c r="M516" i="1"/>
  <c r="L516" i="1"/>
  <c r="K516" i="1"/>
  <c r="Q515" i="1"/>
  <c r="P515" i="1"/>
  <c r="O515" i="1"/>
  <c r="M515" i="1"/>
  <c r="L515" i="1"/>
  <c r="K515" i="1"/>
  <c r="Q514" i="1"/>
  <c r="P514" i="1"/>
  <c r="M514" i="1"/>
  <c r="L514" i="1"/>
  <c r="K514" i="1"/>
  <c r="Q513" i="1"/>
  <c r="P513" i="1"/>
  <c r="O513" i="1"/>
  <c r="M513" i="1"/>
  <c r="L513" i="1"/>
  <c r="K513" i="1"/>
  <c r="Q512" i="1"/>
  <c r="P512" i="1"/>
  <c r="M512" i="1"/>
  <c r="L512" i="1"/>
  <c r="K512" i="1"/>
  <c r="Q511" i="1"/>
  <c r="P511" i="1"/>
  <c r="O511" i="1"/>
  <c r="M511" i="1"/>
  <c r="L511" i="1"/>
  <c r="K511" i="1"/>
  <c r="Q510" i="1"/>
  <c r="P510" i="1"/>
  <c r="M510" i="1"/>
  <c r="L510" i="1"/>
  <c r="K510" i="1"/>
  <c r="Q509" i="1"/>
  <c r="P509" i="1"/>
  <c r="O509" i="1"/>
  <c r="M509" i="1"/>
  <c r="L509" i="1"/>
  <c r="K509" i="1"/>
  <c r="Q508" i="1"/>
  <c r="P508" i="1"/>
  <c r="O508" i="1"/>
  <c r="M508" i="1"/>
  <c r="L508" i="1"/>
  <c r="K508" i="1"/>
  <c r="Q507" i="1"/>
  <c r="P507" i="1"/>
  <c r="O507" i="1"/>
  <c r="M507" i="1"/>
  <c r="L507" i="1"/>
  <c r="K507" i="1"/>
  <c r="Q506" i="1"/>
  <c r="P506" i="1"/>
  <c r="O506" i="1"/>
  <c r="M506" i="1"/>
  <c r="L506" i="1"/>
  <c r="K506" i="1"/>
  <c r="Q505" i="1"/>
  <c r="P505" i="1"/>
  <c r="O505" i="1"/>
  <c r="M505" i="1"/>
  <c r="L505" i="1"/>
  <c r="K505" i="1"/>
  <c r="Q504" i="1"/>
  <c r="P504" i="1"/>
  <c r="O504" i="1"/>
  <c r="M504" i="1"/>
  <c r="L504" i="1"/>
  <c r="K504" i="1"/>
  <c r="Q503" i="1"/>
  <c r="P503" i="1"/>
  <c r="O503" i="1"/>
  <c r="M503" i="1"/>
  <c r="L503" i="1"/>
  <c r="K503" i="1"/>
  <c r="Q502" i="1"/>
  <c r="P502" i="1"/>
  <c r="O502" i="1"/>
  <c r="M502" i="1"/>
  <c r="L502" i="1"/>
  <c r="K502" i="1"/>
  <c r="Q501" i="1"/>
  <c r="P501" i="1"/>
  <c r="O501" i="1"/>
  <c r="M501" i="1"/>
  <c r="L501" i="1"/>
  <c r="K501" i="1"/>
  <c r="Q500" i="1"/>
  <c r="P500" i="1"/>
  <c r="O500" i="1"/>
  <c r="M500" i="1"/>
  <c r="L500" i="1"/>
  <c r="K500" i="1"/>
  <c r="Q499" i="1"/>
  <c r="P499" i="1"/>
  <c r="M499" i="1"/>
  <c r="L499" i="1"/>
  <c r="K499" i="1"/>
  <c r="Q498" i="1"/>
  <c r="P498" i="1"/>
  <c r="M498" i="1"/>
  <c r="L498" i="1"/>
  <c r="K498" i="1"/>
  <c r="Q497" i="1"/>
  <c r="P497" i="1"/>
  <c r="M497" i="1"/>
  <c r="L497" i="1"/>
  <c r="K497" i="1"/>
  <c r="Q496" i="1"/>
  <c r="P496" i="1"/>
  <c r="M496" i="1"/>
  <c r="L496" i="1"/>
  <c r="K496" i="1"/>
  <c r="Q495" i="1"/>
  <c r="P495" i="1"/>
  <c r="O495" i="1"/>
  <c r="M495" i="1"/>
  <c r="L495" i="1"/>
  <c r="K495" i="1"/>
  <c r="Q494" i="1"/>
  <c r="P494" i="1"/>
  <c r="O494" i="1"/>
  <c r="M494" i="1"/>
  <c r="L494" i="1"/>
  <c r="K494" i="1"/>
  <c r="Q493" i="1"/>
  <c r="P493" i="1"/>
  <c r="O493" i="1"/>
  <c r="M493" i="1"/>
  <c r="L493" i="1"/>
  <c r="K493" i="1"/>
  <c r="Q492" i="1"/>
  <c r="P492" i="1"/>
  <c r="O492" i="1"/>
  <c r="M492" i="1"/>
  <c r="L492" i="1"/>
  <c r="K492" i="1"/>
  <c r="Q491" i="1"/>
  <c r="P491" i="1"/>
  <c r="O491" i="1"/>
  <c r="M491" i="1"/>
  <c r="L491" i="1"/>
  <c r="K491" i="1"/>
  <c r="Q490" i="1"/>
  <c r="P490" i="1"/>
  <c r="O490" i="1"/>
  <c r="M490" i="1"/>
  <c r="L490" i="1"/>
  <c r="K490" i="1"/>
  <c r="Q489" i="1"/>
  <c r="P489" i="1"/>
  <c r="O489" i="1"/>
  <c r="M489" i="1"/>
  <c r="L489" i="1"/>
  <c r="K489" i="1"/>
  <c r="Q488" i="1"/>
  <c r="P488" i="1"/>
  <c r="O488" i="1"/>
  <c r="M488" i="1"/>
  <c r="L488" i="1"/>
  <c r="K488" i="1"/>
  <c r="Q487" i="1"/>
  <c r="P487" i="1"/>
  <c r="O487" i="1"/>
  <c r="M487" i="1"/>
  <c r="L487" i="1"/>
  <c r="K487" i="1"/>
  <c r="Q486" i="1"/>
  <c r="P486" i="1"/>
  <c r="O486" i="1"/>
  <c r="M486" i="1"/>
  <c r="L486" i="1"/>
  <c r="K486" i="1"/>
  <c r="Q485" i="1"/>
  <c r="P485" i="1"/>
  <c r="O485" i="1"/>
  <c r="M485" i="1"/>
  <c r="L485" i="1"/>
  <c r="K485" i="1"/>
  <c r="Q484" i="1"/>
  <c r="P484" i="1"/>
  <c r="O484" i="1"/>
  <c r="M484" i="1"/>
  <c r="L484" i="1"/>
  <c r="K484" i="1"/>
  <c r="Q483" i="1"/>
  <c r="P483" i="1"/>
  <c r="O483" i="1"/>
  <c r="M483" i="1"/>
  <c r="L483" i="1"/>
  <c r="K483" i="1"/>
  <c r="Q482" i="1"/>
  <c r="P482" i="1"/>
  <c r="O482" i="1"/>
  <c r="M482" i="1"/>
  <c r="L482" i="1"/>
  <c r="K482" i="1"/>
  <c r="Q481" i="1"/>
  <c r="P481" i="1"/>
  <c r="O481" i="1"/>
  <c r="M481" i="1"/>
  <c r="L481" i="1"/>
  <c r="K481" i="1"/>
  <c r="Q480" i="1"/>
  <c r="P480" i="1"/>
  <c r="O480" i="1"/>
  <c r="M480" i="1"/>
  <c r="L480" i="1"/>
  <c r="K480" i="1"/>
  <c r="Q479" i="1"/>
  <c r="P479" i="1"/>
  <c r="O479" i="1"/>
  <c r="M479" i="1"/>
  <c r="L479" i="1"/>
  <c r="K479" i="1"/>
  <c r="Q478" i="1"/>
  <c r="P478" i="1"/>
  <c r="O478" i="1"/>
  <c r="M478" i="1"/>
  <c r="L478" i="1"/>
  <c r="K478" i="1"/>
  <c r="Q477" i="1"/>
  <c r="P477" i="1"/>
  <c r="O477" i="1"/>
  <c r="M477" i="1"/>
  <c r="L477" i="1"/>
  <c r="K477" i="1"/>
  <c r="Q476" i="1"/>
  <c r="P476" i="1"/>
  <c r="M476" i="1"/>
  <c r="L476" i="1"/>
  <c r="K476" i="1"/>
  <c r="Q475" i="1"/>
  <c r="P475" i="1"/>
  <c r="O475" i="1"/>
  <c r="M475" i="1"/>
  <c r="L475" i="1"/>
  <c r="K475" i="1"/>
  <c r="Q474" i="1"/>
  <c r="P474" i="1"/>
  <c r="M474" i="1"/>
  <c r="L474" i="1"/>
  <c r="K474" i="1"/>
  <c r="Q473" i="1"/>
  <c r="P473" i="1"/>
  <c r="M473" i="1"/>
  <c r="L473" i="1"/>
  <c r="K473" i="1"/>
  <c r="Q472" i="1"/>
  <c r="P472" i="1"/>
  <c r="O472" i="1"/>
  <c r="M472" i="1"/>
  <c r="L472" i="1"/>
  <c r="K472" i="1"/>
  <c r="Q471" i="1"/>
  <c r="P471" i="1"/>
  <c r="M471" i="1"/>
  <c r="L471" i="1"/>
  <c r="K471" i="1"/>
  <c r="Q470" i="1"/>
  <c r="P470" i="1"/>
  <c r="O470" i="1"/>
  <c r="M470" i="1"/>
  <c r="L470" i="1"/>
  <c r="K470" i="1"/>
  <c r="Q469" i="1"/>
  <c r="P469" i="1"/>
  <c r="O469" i="1"/>
  <c r="M469" i="1"/>
  <c r="L469" i="1"/>
  <c r="K469" i="1"/>
  <c r="Q468" i="1"/>
  <c r="P468" i="1"/>
  <c r="O468" i="1"/>
  <c r="M468" i="1"/>
  <c r="L468" i="1"/>
  <c r="K468" i="1"/>
  <c r="Q467" i="1"/>
  <c r="P467" i="1"/>
  <c r="O467" i="1"/>
  <c r="M467" i="1"/>
  <c r="L467" i="1"/>
  <c r="K467" i="1"/>
  <c r="Q466" i="1"/>
  <c r="P466" i="1"/>
  <c r="O466" i="1"/>
  <c r="M466" i="1"/>
  <c r="L466" i="1"/>
  <c r="K466" i="1"/>
  <c r="Q465" i="1"/>
  <c r="P465" i="1"/>
  <c r="O465" i="1"/>
  <c r="M465" i="1"/>
  <c r="L465" i="1"/>
  <c r="K465" i="1"/>
  <c r="Q464" i="1"/>
  <c r="P464" i="1"/>
  <c r="M464" i="1"/>
  <c r="L464" i="1"/>
  <c r="K464" i="1"/>
  <c r="Q463" i="1"/>
  <c r="P463" i="1"/>
  <c r="M463" i="1"/>
  <c r="L463" i="1"/>
  <c r="K463" i="1"/>
  <c r="Q462" i="1"/>
  <c r="P462" i="1"/>
  <c r="O462" i="1"/>
  <c r="M462" i="1"/>
  <c r="L462" i="1"/>
  <c r="K462" i="1"/>
  <c r="Q461" i="1"/>
  <c r="P461" i="1"/>
  <c r="O461" i="1"/>
  <c r="M461" i="1"/>
  <c r="L461" i="1"/>
  <c r="K461" i="1"/>
  <c r="Q460" i="1"/>
  <c r="P460" i="1"/>
  <c r="O460" i="1"/>
  <c r="M460" i="1"/>
  <c r="L460" i="1"/>
  <c r="K460" i="1"/>
  <c r="Q459" i="1"/>
  <c r="P459" i="1"/>
  <c r="O459" i="1"/>
  <c r="M459" i="1"/>
  <c r="L459" i="1"/>
  <c r="K459" i="1"/>
  <c r="Q458" i="1"/>
  <c r="P458" i="1"/>
  <c r="O458" i="1"/>
  <c r="M458" i="1"/>
  <c r="L458" i="1"/>
  <c r="K458" i="1"/>
  <c r="Q457" i="1"/>
  <c r="P457" i="1"/>
  <c r="O457" i="1"/>
  <c r="M457" i="1"/>
  <c r="L457" i="1"/>
  <c r="K457" i="1"/>
  <c r="Q456" i="1"/>
  <c r="P456" i="1"/>
  <c r="M456" i="1"/>
  <c r="L456" i="1"/>
  <c r="K456" i="1"/>
  <c r="Q455" i="1"/>
  <c r="P455" i="1"/>
  <c r="M455" i="1"/>
  <c r="L455" i="1"/>
  <c r="K455" i="1"/>
  <c r="Q454" i="1"/>
  <c r="P454" i="1"/>
  <c r="O454" i="1"/>
  <c r="M454" i="1"/>
  <c r="L454" i="1"/>
  <c r="K454" i="1"/>
  <c r="Q453" i="1"/>
  <c r="P453" i="1"/>
  <c r="M453" i="1"/>
  <c r="L453" i="1"/>
  <c r="K453" i="1"/>
  <c r="Q452" i="1"/>
  <c r="P452" i="1"/>
  <c r="O452" i="1"/>
  <c r="M452" i="1"/>
  <c r="L452" i="1"/>
  <c r="K452" i="1"/>
  <c r="Q451" i="1"/>
  <c r="P451" i="1"/>
  <c r="O451" i="1"/>
  <c r="M451" i="1"/>
  <c r="L451" i="1"/>
  <c r="K451" i="1"/>
  <c r="Q450" i="1"/>
  <c r="P450" i="1"/>
  <c r="O450" i="1"/>
  <c r="M450" i="1"/>
  <c r="L450" i="1"/>
  <c r="K450" i="1"/>
  <c r="Q449" i="1"/>
  <c r="P449" i="1"/>
  <c r="M449" i="1"/>
  <c r="L449" i="1"/>
  <c r="K449" i="1"/>
  <c r="Q448" i="1"/>
  <c r="P448" i="1"/>
  <c r="M448" i="1"/>
  <c r="L448" i="1"/>
  <c r="K448" i="1"/>
  <c r="Q447" i="1"/>
  <c r="P447" i="1"/>
  <c r="O447" i="1"/>
  <c r="M447" i="1"/>
  <c r="L447" i="1"/>
  <c r="K447" i="1"/>
  <c r="Q446" i="1"/>
  <c r="P446" i="1"/>
  <c r="O446" i="1"/>
  <c r="M446" i="1"/>
  <c r="L446" i="1"/>
  <c r="K446" i="1"/>
  <c r="Q445" i="1"/>
  <c r="P445" i="1"/>
  <c r="O445" i="1"/>
  <c r="M445" i="1"/>
  <c r="L445" i="1"/>
  <c r="K445" i="1"/>
  <c r="Q444" i="1"/>
  <c r="P444" i="1"/>
  <c r="M444" i="1"/>
  <c r="L444" i="1"/>
  <c r="K444" i="1"/>
  <c r="Q443" i="1"/>
  <c r="P443" i="1"/>
  <c r="O443" i="1"/>
  <c r="M443" i="1"/>
  <c r="L443" i="1"/>
  <c r="K443" i="1"/>
  <c r="Q442" i="1"/>
  <c r="P442" i="1"/>
  <c r="O442" i="1"/>
  <c r="M442" i="1"/>
  <c r="L442" i="1"/>
  <c r="K442" i="1"/>
  <c r="Q441" i="1"/>
  <c r="P441" i="1"/>
  <c r="M441" i="1"/>
  <c r="L441" i="1"/>
  <c r="K441" i="1"/>
  <c r="Q440" i="1"/>
  <c r="P440" i="1"/>
  <c r="O440" i="1"/>
  <c r="M440" i="1"/>
  <c r="L440" i="1"/>
  <c r="K440" i="1"/>
  <c r="Q439" i="1"/>
  <c r="P439" i="1"/>
  <c r="O439" i="1"/>
  <c r="M439" i="1"/>
  <c r="L439" i="1"/>
  <c r="K439" i="1"/>
  <c r="Q438" i="1"/>
  <c r="P438" i="1"/>
  <c r="O438" i="1"/>
  <c r="M438" i="1"/>
  <c r="L438" i="1"/>
  <c r="K438" i="1"/>
  <c r="Q437" i="1"/>
  <c r="P437" i="1"/>
  <c r="O437" i="1"/>
  <c r="M437" i="1"/>
  <c r="L437" i="1"/>
  <c r="K437" i="1"/>
  <c r="Q436" i="1"/>
  <c r="P436" i="1"/>
  <c r="O436" i="1"/>
  <c r="M436" i="1"/>
  <c r="L436" i="1"/>
  <c r="K436" i="1"/>
  <c r="Q435" i="1"/>
  <c r="P435" i="1"/>
  <c r="O435" i="1"/>
  <c r="M435" i="1"/>
  <c r="L435" i="1"/>
  <c r="K435" i="1"/>
  <c r="Q434" i="1"/>
  <c r="P434" i="1"/>
  <c r="M434" i="1"/>
  <c r="L434" i="1"/>
  <c r="K434" i="1"/>
  <c r="Q433" i="1"/>
  <c r="P433" i="1"/>
  <c r="O433" i="1"/>
  <c r="M433" i="1"/>
  <c r="L433" i="1"/>
  <c r="K433" i="1"/>
  <c r="Q432" i="1"/>
  <c r="P432" i="1"/>
  <c r="O432" i="1"/>
  <c r="M432" i="1"/>
  <c r="L432" i="1"/>
  <c r="K432" i="1"/>
  <c r="Q431" i="1"/>
  <c r="P431" i="1"/>
  <c r="O431" i="1"/>
  <c r="M431" i="1"/>
  <c r="L431" i="1"/>
  <c r="K431" i="1"/>
  <c r="Q430" i="1"/>
  <c r="P430" i="1"/>
  <c r="O430" i="1"/>
  <c r="M430" i="1"/>
  <c r="L430" i="1"/>
  <c r="K430" i="1"/>
  <c r="Q429" i="1"/>
  <c r="P429" i="1"/>
  <c r="O429" i="1"/>
  <c r="M429" i="1"/>
  <c r="L429" i="1"/>
  <c r="K429" i="1"/>
  <c r="Q428" i="1"/>
  <c r="P428" i="1"/>
  <c r="O428" i="1"/>
  <c r="M428" i="1"/>
  <c r="L428" i="1"/>
  <c r="K428" i="1"/>
  <c r="Q427" i="1"/>
  <c r="P427" i="1"/>
  <c r="O427" i="1"/>
  <c r="M427" i="1"/>
  <c r="L427" i="1"/>
  <c r="K427" i="1"/>
  <c r="Q426" i="1"/>
  <c r="P426" i="1"/>
  <c r="O426" i="1"/>
  <c r="M426" i="1"/>
  <c r="L426" i="1"/>
  <c r="K426" i="1"/>
  <c r="Q425" i="1"/>
  <c r="P425" i="1"/>
  <c r="M425" i="1"/>
  <c r="L425" i="1"/>
  <c r="K425" i="1"/>
  <c r="Q424" i="1"/>
  <c r="P424" i="1"/>
  <c r="O424" i="1"/>
  <c r="M424" i="1"/>
  <c r="L424" i="1"/>
  <c r="K424" i="1"/>
  <c r="Q423" i="1"/>
  <c r="P423" i="1"/>
  <c r="O423" i="1"/>
  <c r="M423" i="1"/>
  <c r="L423" i="1"/>
  <c r="K423" i="1"/>
  <c r="Q422" i="1"/>
  <c r="P422" i="1"/>
  <c r="O422" i="1"/>
  <c r="M422" i="1"/>
  <c r="L422" i="1"/>
  <c r="K422" i="1"/>
  <c r="Q421" i="1"/>
  <c r="P421" i="1"/>
  <c r="O421" i="1"/>
  <c r="M421" i="1"/>
  <c r="L421" i="1"/>
  <c r="K421" i="1"/>
  <c r="Q420" i="1"/>
  <c r="P420" i="1"/>
  <c r="O420" i="1"/>
  <c r="M420" i="1"/>
  <c r="L420" i="1"/>
  <c r="K420" i="1"/>
  <c r="Q419" i="1"/>
  <c r="P419" i="1"/>
  <c r="O419" i="1"/>
  <c r="M419" i="1"/>
  <c r="L419" i="1"/>
  <c r="K419" i="1"/>
  <c r="Q418" i="1"/>
  <c r="P418" i="1"/>
  <c r="O418" i="1"/>
  <c r="M418" i="1"/>
  <c r="L418" i="1"/>
  <c r="K418" i="1"/>
  <c r="Q417" i="1"/>
  <c r="P417" i="1"/>
  <c r="O417" i="1"/>
  <c r="M417" i="1"/>
  <c r="L417" i="1"/>
  <c r="K417" i="1"/>
  <c r="Q416" i="1"/>
  <c r="P416" i="1"/>
  <c r="O416" i="1"/>
  <c r="M416" i="1"/>
  <c r="L416" i="1"/>
  <c r="K416" i="1"/>
  <c r="Q415" i="1"/>
  <c r="P415" i="1"/>
  <c r="O415" i="1"/>
  <c r="M415" i="1"/>
  <c r="L415" i="1"/>
  <c r="K415" i="1"/>
  <c r="Q414" i="1"/>
  <c r="P414" i="1"/>
  <c r="O414" i="1"/>
  <c r="M414" i="1"/>
  <c r="L414" i="1"/>
  <c r="K414" i="1"/>
  <c r="Q413" i="1"/>
  <c r="P413" i="1"/>
  <c r="O413" i="1"/>
  <c r="M413" i="1"/>
  <c r="L413" i="1"/>
  <c r="K413" i="1"/>
  <c r="Q412" i="1"/>
  <c r="P412" i="1"/>
  <c r="O412" i="1"/>
  <c r="M412" i="1"/>
  <c r="L412" i="1"/>
  <c r="K412" i="1"/>
  <c r="Q411" i="1"/>
  <c r="P411" i="1"/>
  <c r="O411" i="1"/>
  <c r="M411" i="1"/>
  <c r="L411" i="1"/>
  <c r="K411" i="1"/>
  <c r="Q410" i="1"/>
  <c r="P410" i="1"/>
  <c r="O410" i="1"/>
  <c r="M410" i="1"/>
  <c r="L410" i="1"/>
  <c r="K410" i="1"/>
  <c r="Q409" i="1"/>
  <c r="P409" i="1"/>
  <c r="M409" i="1"/>
  <c r="L409" i="1"/>
  <c r="K409" i="1"/>
  <c r="Q408" i="1"/>
  <c r="P408" i="1"/>
  <c r="O408" i="1"/>
  <c r="M408" i="1"/>
  <c r="L408" i="1"/>
  <c r="K408" i="1"/>
  <c r="Q407" i="1"/>
  <c r="P407" i="1"/>
  <c r="O407" i="1"/>
  <c r="M407" i="1"/>
  <c r="L407" i="1"/>
  <c r="K407" i="1"/>
  <c r="Q406" i="1"/>
  <c r="P406" i="1"/>
  <c r="O406" i="1"/>
  <c r="M406" i="1"/>
  <c r="L406" i="1"/>
  <c r="K406" i="1"/>
  <c r="Q405" i="1"/>
  <c r="P405" i="1"/>
  <c r="M405" i="1"/>
  <c r="L405" i="1"/>
  <c r="K405" i="1"/>
  <c r="Q404" i="1"/>
  <c r="P404" i="1"/>
  <c r="O404" i="1"/>
  <c r="M404" i="1"/>
  <c r="L404" i="1"/>
  <c r="K404" i="1"/>
  <c r="Q403" i="1"/>
  <c r="P403" i="1"/>
  <c r="O403" i="1"/>
  <c r="M403" i="1"/>
  <c r="L403" i="1"/>
  <c r="K403" i="1"/>
  <c r="Q402" i="1"/>
  <c r="P402" i="1"/>
  <c r="O402" i="1"/>
  <c r="M402" i="1"/>
  <c r="L402" i="1"/>
  <c r="K402" i="1"/>
  <c r="Q401" i="1"/>
  <c r="P401" i="1"/>
  <c r="O401" i="1"/>
  <c r="M401" i="1"/>
  <c r="L401" i="1"/>
  <c r="K401" i="1"/>
  <c r="Q400" i="1"/>
  <c r="P400" i="1"/>
  <c r="O400" i="1"/>
  <c r="M400" i="1"/>
  <c r="L400" i="1"/>
  <c r="K400" i="1"/>
  <c r="Q399" i="1"/>
  <c r="P399" i="1"/>
  <c r="O399" i="1"/>
  <c r="M399" i="1"/>
  <c r="L399" i="1"/>
  <c r="K399" i="1"/>
  <c r="Q398" i="1"/>
  <c r="P398" i="1"/>
  <c r="O398" i="1"/>
  <c r="M398" i="1"/>
  <c r="L398" i="1"/>
  <c r="K398" i="1"/>
  <c r="Q397" i="1"/>
  <c r="P397" i="1"/>
  <c r="O397" i="1"/>
  <c r="M397" i="1"/>
  <c r="L397" i="1"/>
  <c r="K397" i="1"/>
  <c r="Q396" i="1"/>
  <c r="P396" i="1"/>
  <c r="O396" i="1"/>
  <c r="M396" i="1"/>
  <c r="L396" i="1"/>
  <c r="K396" i="1"/>
  <c r="Q395" i="1"/>
  <c r="P395" i="1"/>
  <c r="M395" i="1"/>
  <c r="L395" i="1"/>
  <c r="K395" i="1"/>
  <c r="Q394" i="1"/>
  <c r="P394" i="1"/>
  <c r="O394" i="1"/>
  <c r="M394" i="1"/>
  <c r="L394" i="1"/>
  <c r="K394" i="1"/>
  <c r="Q393" i="1"/>
  <c r="P393" i="1"/>
  <c r="O393" i="1"/>
  <c r="M393" i="1"/>
  <c r="L393" i="1"/>
  <c r="K393" i="1"/>
  <c r="Q392" i="1"/>
  <c r="P392" i="1"/>
  <c r="O392" i="1"/>
  <c r="M392" i="1"/>
  <c r="L392" i="1"/>
  <c r="K392" i="1"/>
  <c r="Q391" i="1"/>
  <c r="P391" i="1"/>
  <c r="O391" i="1"/>
  <c r="M391" i="1"/>
  <c r="L391" i="1"/>
  <c r="K391" i="1"/>
  <c r="Q390" i="1"/>
  <c r="P390" i="1"/>
  <c r="O390" i="1"/>
  <c r="M390" i="1"/>
  <c r="L390" i="1"/>
  <c r="K390" i="1"/>
  <c r="Q389" i="1"/>
  <c r="P389" i="1"/>
  <c r="O389" i="1"/>
  <c r="M389" i="1"/>
  <c r="L389" i="1"/>
  <c r="K389" i="1"/>
  <c r="Q388" i="1"/>
  <c r="P388" i="1"/>
  <c r="O388" i="1"/>
  <c r="M388" i="1"/>
  <c r="L388" i="1"/>
  <c r="K388" i="1"/>
  <c r="Q387" i="1"/>
  <c r="P387" i="1"/>
  <c r="M387" i="1"/>
  <c r="L387" i="1"/>
  <c r="K387" i="1"/>
  <c r="Q386" i="1"/>
  <c r="P386" i="1"/>
  <c r="O386" i="1"/>
  <c r="M386" i="1"/>
  <c r="L386" i="1"/>
  <c r="K386" i="1"/>
  <c r="Q385" i="1"/>
  <c r="P385" i="1"/>
  <c r="O385" i="1"/>
  <c r="M385" i="1"/>
  <c r="L385" i="1"/>
  <c r="K385" i="1"/>
  <c r="Q384" i="1"/>
  <c r="P384" i="1"/>
  <c r="O384" i="1"/>
  <c r="M384" i="1"/>
  <c r="L384" i="1"/>
  <c r="K384" i="1"/>
  <c r="Q383" i="1"/>
  <c r="P383" i="1"/>
  <c r="O383" i="1"/>
  <c r="M383" i="1"/>
  <c r="L383" i="1"/>
  <c r="K383" i="1"/>
  <c r="Q382" i="1"/>
  <c r="P382" i="1"/>
  <c r="O382" i="1"/>
  <c r="M382" i="1"/>
  <c r="L382" i="1"/>
  <c r="K382" i="1"/>
  <c r="Q381" i="1"/>
  <c r="P381" i="1"/>
  <c r="O381" i="1"/>
  <c r="M381" i="1"/>
  <c r="L381" i="1"/>
  <c r="K381" i="1"/>
  <c r="Q380" i="1"/>
  <c r="P380" i="1"/>
  <c r="M380" i="1"/>
  <c r="L380" i="1"/>
  <c r="K380" i="1"/>
  <c r="Q379" i="1"/>
  <c r="P379" i="1"/>
  <c r="O379" i="1"/>
  <c r="M379" i="1"/>
  <c r="L379" i="1"/>
  <c r="K379" i="1"/>
  <c r="Q378" i="1"/>
  <c r="P378" i="1"/>
  <c r="O378" i="1"/>
  <c r="M378" i="1"/>
  <c r="L378" i="1"/>
  <c r="K378" i="1"/>
  <c r="Q377" i="1"/>
  <c r="P377" i="1"/>
  <c r="O377" i="1"/>
  <c r="M377" i="1"/>
  <c r="L377" i="1"/>
  <c r="K377" i="1"/>
  <c r="Q376" i="1"/>
  <c r="P376" i="1"/>
  <c r="O376" i="1"/>
  <c r="M376" i="1"/>
  <c r="L376" i="1"/>
  <c r="K376" i="1"/>
  <c r="Q375" i="1"/>
  <c r="P375" i="1"/>
  <c r="O375" i="1"/>
  <c r="M375" i="1"/>
  <c r="L375" i="1"/>
  <c r="K375" i="1"/>
  <c r="Q374" i="1"/>
  <c r="P374" i="1"/>
  <c r="O374" i="1"/>
  <c r="M374" i="1"/>
  <c r="L374" i="1"/>
  <c r="K374" i="1"/>
  <c r="Q373" i="1"/>
  <c r="P373" i="1"/>
  <c r="O373" i="1"/>
  <c r="M373" i="1"/>
  <c r="L373" i="1"/>
  <c r="K373" i="1"/>
  <c r="Q372" i="1"/>
  <c r="P372" i="1"/>
  <c r="O372" i="1"/>
  <c r="M372" i="1"/>
  <c r="L372" i="1"/>
  <c r="K372" i="1"/>
  <c r="Q371" i="1"/>
  <c r="P371" i="1"/>
  <c r="O371" i="1"/>
  <c r="M371" i="1"/>
  <c r="L371" i="1"/>
  <c r="K371" i="1"/>
  <c r="Q370" i="1"/>
  <c r="P370" i="1"/>
  <c r="O370" i="1"/>
  <c r="M370" i="1"/>
  <c r="L370" i="1"/>
  <c r="K370" i="1"/>
  <c r="Q369" i="1"/>
  <c r="P369" i="1"/>
  <c r="O369" i="1"/>
  <c r="M369" i="1"/>
  <c r="L369" i="1"/>
  <c r="K369" i="1"/>
  <c r="Q368" i="1"/>
  <c r="P368" i="1"/>
  <c r="O368" i="1"/>
  <c r="M368" i="1"/>
  <c r="L368" i="1"/>
  <c r="K368" i="1"/>
  <c r="Q367" i="1"/>
  <c r="P367" i="1"/>
  <c r="O367" i="1"/>
  <c r="M367" i="1"/>
  <c r="L367" i="1"/>
  <c r="K367" i="1"/>
  <c r="Q366" i="1"/>
  <c r="P366" i="1"/>
  <c r="O366" i="1"/>
  <c r="M366" i="1"/>
  <c r="L366" i="1"/>
  <c r="K366" i="1"/>
  <c r="Q365" i="1"/>
  <c r="P365" i="1"/>
  <c r="O365" i="1"/>
  <c r="M365" i="1"/>
  <c r="L365" i="1"/>
  <c r="K365" i="1"/>
  <c r="Q364" i="1"/>
  <c r="P364" i="1"/>
  <c r="O364" i="1"/>
  <c r="M364" i="1"/>
  <c r="L364" i="1"/>
  <c r="K364" i="1"/>
  <c r="Q363" i="1"/>
  <c r="P363" i="1"/>
  <c r="O363" i="1"/>
  <c r="M363" i="1"/>
  <c r="L363" i="1"/>
  <c r="K363" i="1"/>
  <c r="Q362" i="1"/>
  <c r="P362" i="1"/>
  <c r="O362" i="1"/>
  <c r="M362" i="1"/>
  <c r="L362" i="1"/>
  <c r="K362" i="1"/>
  <c r="Q361" i="1"/>
  <c r="P361" i="1"/>
  <c r="O361" i="1"/>
  <c r="M361" i="1"/>
  <c r="L361" i="1"/>
  <c r="K361" i="1"/>
  <c r="Q360" i="1"/>
  <c r="P360" i="1"/>
  <c r="M360" i="1"/>
  <c r="L360" i="1"/>
  <c r="K360" i="1"/>
  <c r="Q359" i="1"/>
  <c r="P359" i="1"/>
  <c r="O359" i="1"/>
  <c r="M359" i="1"/>
  <c r="L359" i="1"/>
  <c r="K359" i="1"/>
  <c r="Q358" i="1"/>
  <c r="P358" i="1"/>
  <c r="O358" i="1"/>
  <c r="M358" i="1"/>
  <c r="L358" i="1"/>
  <c r="K358" i="1"/>
  <c r="Q357" i="1"/>
  <c r="P357" i="1"/>
  <c r="O357" i="1"/>
  <c r="M357" i="1"/>
  <c r="L357" i="1"/>
  <c r="K357" i="1"/>
  <c r="Q356" i="1"/>
  <c r="P356" i="1"/>
  <c r="O356" i="1"/>
  <c r="M356" i="1"/>
  <c r="L356" i="1"/>
  <c r="K356" i="1"/>
  <c r="Q355" i="1"/>
  <c r="P355" i="1"/>
  <c r="M355" i="1"/>
  <c r="L355" i="1"/>
  <c r="K355" i="1"/>
  <c r="Q354" i="1"/>
  <c r="P354" i="1"/>
  <c r="O354" i="1"/>
  <c r="M354" i="1"/>
  <c r="L354" i="1"/>
  <c r="K354" i="1"/>
  <c r="Q353" i="1"/>
  <c r="P353" i="1"/>
  <c r="O353" i="1"/>
  <c r="M353" i="1"/>
  <c r="L353" i="1"/>
  <c r="K353" i="1"/>
  <c r="Q352" i="1"/>
  <c r="P352" i="1"/>
  <c r="O352" i="1"/>
  <c r="M352" i="1"/>
  <c r="L352" i="1"/>
  <c r="K352" i="1"/>
  <c r="Q351" i="1"/>
  <c r="P351" i="1"/>
  <c r="O351" i="1"/>
  <c r="M351" i="1"/>
  <c r="L351" i="1"/>
  <c r="K351" i="1"/>
  <c r="Q350" i="1"/>
  <c r="P350" i="1"/>
  <c r="O350" i="1"/>
  <c r="M350" i="1"/>
  <c r="L350" i="1"/>
  <c r="K350" i="1"/>
  <c r="Q349" i="1"/>
  <c r="P349" i="1"/>
  <c r="O349" i="1"/>
  <c r="M349" i="1"/>
  <c r="L349" i="1"/>
  <c r="K349" i="1"/>
  <c r="Q348" i="1"/>
  <c r="P348" i="1"/>
  <c r="O348" i="1"/>
  <c r="M348" i="1"/>
  <c r="L348" i="1"/>
  <c r="K348" i="1"/>
  <c r="Q347" i="1"/>
  <c r="P347" i="1"/>
  <c r="O347" i="1"/>
  <c r="M347" i="1"/>
  <c r="L347" i="1"/>
  <c r="K347" i="1"/>
  <c r="Q346" i="1"/>
  <c r="P346" i="1"/>
  <c r="O346" i="1"/>
  <c r="M346" i="1"/>
  <c r="L346" i="1"/>
  <c r="K346" i="1"/>
  <c r="Q345" i="1"/>
  <c r="P345" i="1"/>
  <c r="O345" i="1"/>
  <c r="M345" i="1"/>
  <c r="L345" i="1"/>
  <c r="K345" i="1"/>
  <c r="Q344" i="1"/>
  <c r="P344" i="1"/>
  <c r="O344" i="1"/>
  <c r="M344" i="1"/>
  <c r="L344" i="1"/>
  <c r="K344" i="1"/>
  <c r="Q343" i="1"/>
  <c r="P343" i="1"/>
  <c r="O343" i="1"/>
  <c r="M343" i="1"/>
  <c r="L343" i="1"/>
  <c r="K343" i="1"/>
  <c r="Q342" i="1"/>
  <c r="P342" i="1"/>
  <c r="O342" i="1"/>
  <c r="M342" i="1"/>
  <c r="L342" i="1"/>
  <c r="K342" i="1"/>
  <c r="Q341" i="1"/>
  <c r="P341" i="1"/>
  <c r="M341" i="1"/>
  <c r="L341" i="1"/>
  <c r="K341" i="1"/>
  <c r="Q340" i="1"/>
  <c r="P340" i="1"/>
  <c r="O340" i="1"/>
  <c r="M340" i="1"/>
  <c r="L340" i="1"/>
  <c r="K340" i="1"/>
  <c r="Q339" i="1"/>
  <c r="P339" i="1"/>
  <c r="M339" i="1"/>
  <c r="L339" i="1"/>
  <c r="K339" i="1"/>
  <c r="Q338" i="1"/>
  <c r="P338" i="1"/>
  <c r="O338" i="1"/>
  <c r="M338" i="1"/>
  <c r="L338" i="1"/>
  <c r="K338" i="1"/>
  <c r="Q337" i="1"/>
  <c r="P337" i="1"/>
  <c r="M337" i="1"/>
  <c r="L337" i="1"/>
  <c r="K337" i="1"/>
  <c r="Q336" i="1"/>
  <c r="P336" i="1"/>
  <c r="O336" i="1"/>
  <c r="M336" i="1"/>
  <c r="L336" i="1"/>
  <c r="K336" i="1"/>
  <c r="Q335" i="1"/>
  <c r="P335" i="1"/>
  <c r="O335" i="1"/>
  <c r="M335" i="1"/>
  <c r="L335" i="1"/>
  <c r="K335" i="1"/>
  <c r="Q334" i="1"/>
  <c r="P334" i="1"/>
  <c r="O334" i="1"/>
  <c r="M334" i="1"/>
  <c r="L334" i="1"/>
  <c r="K334" i="1"/>
  <c r="Q333" i="1"/>
  <c r="P333" i="1"/>
  <c r="O333" i="1"/>
  <c r="M333" i="1"/>
  <c r="L333" i="1"/>
  <c r="K333" i="1"/>
  <c r="Q332" i="1"/>
  <c r="P332" i="1"/>
  <c r="O332" i="1"/>
  <c r="M332" i="1"/>
  <c r="L332" i="1"/>
  <c r="K332" i="1"/>
  <c r="Q331" i="1"/>
  <c r="P331" i="1"/>
  <c r="O331" i="1"/>
  <c r="M331" i="1"/>
  <c r="L331" i="1"/>
  <c r="K331" i="1"/>
  <c r="Q330" i="1"/>
  <c r="P330" i="1"/>
  <c r="O330" i="1"/>
  <c r="M330" i="1"/>
  <c r="L330" i="1"/>
  <c r="K330" i="1"/>
  <c r="Q329" i="1"/>
  <c r="P329" i="1"/>
  <c r="O329" i="1"/>
  <c r="M329" i="1"/>
  <c r="L329" i="1"/>
  <c r="K329" i="1"/>
  <c r="Q328" i="1"/>
  <c r="P328" i="1"/>
  <c r="O328" i="1"/>
  <c r="M328" i="1"/>
  <c r="L328" i="1"/>
  <c r="K328" i="1"/>
  <c r="Q327" i="1"/>
  <c r="P327" i="1"/>
  <c r="O327" i="1"/>
  <c r="M327" i="1"/>
  <c r="L327" i="1"/>
  <c r="K327" i="1"/>
  <c r="Q326" i="1"/>
  <c r="P326" i="1"/>
  <c r="O326" i="1"/>
  <c r="M326" i="1"/>
  <c r="L326" i="1"/>
  <c r="K326" i="1"/>
  <c r="Q325" i="1"/>
  <c r="P325" i="1"/>
  <c r="O325" i="1"/>
  <c r="M325" i="1"/>
  <c r="L325" i="1"/>
  <c r="K325" i="1"/>
  <c r="Q324" i="1"/>
  <c r="P324" i="1"/>
  <c r="O324" i="1"/>
  <c r="M324" i="1"/>
  <c r="L324" i="1"/>
  <c r="K324" i="1"/>
  <c r="Q323" i="1"/>
  <c r="P323" i="1"/>
  <c r="M323" i="1"/>
  <c r="L323" i="1"/>
  <c r="K323" i="1"/>
  <c r="Q322" i="1"/>
  <c r="P322" i="1"/>
  <c r="O322" i="1"/>
  <c r="M322" i="1"/>
  <c r="L322" i="1"/>
  <c r="K322" i="1"/>
  <c r="Q321" i="1"/>
  <c r="P321" i="1"/>
  <c r="O321" i="1"/>
  <c r="M321" i="1"/>
  <c r="L321" i="1"/>
  <c r="K321" i="1"/>
  <c r="Q320" i="1"/>
  <c r="P320" i="1"/>
  <c r="O320" i="1"/>
  <c r="M320" i="1"/>
  <c r="L320" i="1"/>
  <c r="K320" i="1"/>
  <c r="Q319" i="1"/>
  <c r="P319" i="1"/>
  <c r="O319" i="1"/>
  <c r="M319" i="1"/>
  <c r="L319" i="1"/>
  <c r="K319" i="1"/>
  <c r="Q318" i="1"/>
  <c r="P318" i="1"/>
  <c r="O318" i="1"/>
  <c r="M318" i="1"/>
  <c r="L318" i="1"/>
  <c r="K318" i="1"/>
  <c r="Q317" i="1"/>
  <c r="P317" i="1"/>
  <c r="O317" i="1"/>
  <c r="M317" i="1"/>
  <c r="L317" i="1"/>
  <c r="K317" i="1"/>
  <c r="Q316" i="1"/>
  <c r="P316" i="1"/>
  <c r="O316" i="1"/>
  <c r="M316" i="1"/>
  <c r="L316" i="1"/>
  <c r="K316" i="1"/>
  <c r="Q315" i="1"/>
  <c r="P315" i="1"/>
  <c r="O315" i="1"/>
  <c r="M315" i="1"/>
  <c r="L315" i="1"/>
  <c r="K315" i="1"/>
  <c r="Q314" i="1"/>
  <c r="P314" i="1"/>
  <c r="O314" i="1"/>
  <c r="M314" i="1"/>
  <c r="L314" i="1"/>
  <c r="K314" i="1"/>
  <c r="Q313" i="1"/>
  <c r="P313" i="1"/>
  <c r="O313" i="1"/>
  <c r="M313" i="1"/>
  <c r="L313" i="1"/>
  <c r="K313" i="1"/>
  <c r="Q312" i="1"/>
  <c r="P312" i="1"/>
  <c r="O312" i="1"/>
  <c r="M312" i="1"/>
  <c r="L312" i="1"/>
  <c r="K312" i="1"/>
  <c r="Q311" i="1"/>
  <c r="P311" i="1"/>
  <c r="O311" i="1"/>
  <c r="M311" i="1"/>
  <c r="L311" i="1"/>
  <c r="K311" i="1"/>
  <c r="Q310" i="1"/>
  <c r="P310" i="1"/>
  <c r="O310" i="1"/>
  <c r="M310" i="1"/>
  <c r="L310" i="1"/>
  <c r="K310" i="1"/>
  <c r="Q309" i="1"/>
  <c r="P309" i="1"/>
  <c r="O309" i="1"/>
  <c r="M309" i="1"/>
  <c r="L309" i="1"/>
  <c r="K309" i="1"/>
  <c r="Q308" i="1"/>
  <c r="P308" i="1"/>
  <c r="O308" i="1"/>
  <c r="M308" i="1"/>
  <c r="L308" i="1"/>
  <c r="K308" i="1"/>
  <c r="Q307" i="1"/>
  <c r="P307" i="1"/>
  <c r="O307" i="1"/>
  <c r="M307" i="1"/>
  <c r="L307" i="1"/>
  <c r="K307" i="1"/>
  <c r="Q306" i="1"/>
  <c r="P306" i="1"/>
  <c r="O306" i="1"/>
  <c r="M306" i="1"/>
  <c r="L306" i="1"/>
  <c r="K306" i="1"/>
  <c r="Q305" i="1"/>
  <c r="P305" i="1"/>
  <c r="O305" i="1"/>
  <c r="M305" i="1"/>
  <c r="L305" i="1"/>
  <c r="K305" i="1"/>
  <c r="Q304" i="1"/>
  <c r="P304" i="1"/>
  <c r="O304" i="1"/>
  <c r="M304" i="1"/>
  <c r="L304" i="1"/>
  <c r="K304" i="1"/>
  <c r="Q303" i="1"/>
  <c r="P303" i="1"/>
  <c r="O303" i="1"/>
  <c r="M303" i="1"/>
  <c r="L303" i="1"/>
  <c r="K303" i="1"/>
  <c r="Q302" i="1"/>
  <c r="P302" i="1"/>
  <c r="M302" i="1"/>
  <c r="L302" i="1"/>
  <c r="K302" i="1"/>
  <c r="Q301" i="1"/>
  <c r="P301" i="1"/>
  <c r="M301" i="1"/>
  <c r="L301" i="1"/>
  <c r="K301" i="1"/>
  <c r="Q300" i="1"/>
  <c r="P300" i="1"/>
  <c r="O300" i="1"/>
  <c r="M300" i="1"/>
  <c r="L300" i="1"/>
  <c r="K300" i="1"/>
  <c r="Q299" i="1"/>
  <c r="P299" i="1"/>
  <c r="O299" i="1"/>
  <c r="M299" i="1"/>
  <c r="L299" i="1"/>
  <c r="K299" i="1"/>
  <c r="Q298" i="1"/>
  <c r="P298" i="1"/>
  <c r="O298" i="1"/>
  <c r="M298" i="1"/>
  <c r="L298" i="1"/>
  <c r="K298" i="1"/>
  <c r="Q297" i="1"/>
  <c r="P297" i="1"/>
  <c r="O297" i="1"/>
  <c r="M297" i="1"/>
  <c r="L297" i="1"/>
  <c r="K297" i="1"/>
  <c r="Q296" i="1"/>
  <c r="P296" i="1"/>
  <c r="M296" i="1"/>
  <c r="L296" i="1"/>
  <c r="K296" i="1"/>
  <c r="Q295" i="1"/>
  <c r="P295" i="1"/>
  <c r="O295" i="1"/>
  <c r="M295" i="1"/>
  <c r="L295" i="1"/>
  <c r="K295" i="1"/>
  <c r="Q294" i="1"/>
  <c r="P294" i="1"/>
  <c r="M294" i="1"/>
  <c r="L294" i="1"/>
  <c r="K294" i="1"/>
  <c r="Q293" i="1"/>
  <c r="P293" i="1"/>
  <c r="O293" i="1"/>
  <c r="M293" i="1"/>
  <c r="L293" i="1"/>
  <c r="K293" i="1"/>
  <c r="Q292" i="1"/>
  <c r="P292" i="1"/>
  <c r="O292" i="1"/>
  <c r="M292" i="1"/>
  <c r="L292" i="1"/>
  <c r="K292" i="1"/>
  <c r="Q291" i="1"/>
  <c r="P291" i="1"/>
  <c r="M291" i="1"/>
  <c r="L291" i="1"/>
  <c r="K291" i="1"/>
  <c r="Q290" i="1"/>
  <c r="P290" i="1"/>
  <c r="O290" i="1"/>
  <c r="M290" i="1"/>
  <c r="L290" i="1"/>
  <c r="K290" i="1"/>
  <c r="Q289" i="1"/>
  <c r="P289" i="1"/>
  <c r="O289" i="1"/>
  <c r="M289" i="1"/>
  <c r="L289" i="1"/>
  <c r="K289" i="1"/>
  <c r="Q288" i="1"/>
  <c r="P288" i="1"/>
  <c r="M288" i="1"/>
  <c r="L288" i="1"/>
  <c r="K288" i="1"/>
  <c r="Q287" i="1"/>
  <c r="P287" i="1"/>
  <c r="O287" i="1"/>
  <c r="M287" i="1"/>
  <c r="L287" i="1"/>
  <c r="K287" i="1"/>
  <c r="Q286" i="1"/>
  <c r="P286" i="1"/>
  <c r="O286" i="1"/>
  <c r="M286" i="1"/>
  <c r="L286" i="1"/>
  <c r="K286" i="1"/>
  <c r="Q285" i="1"/>
  <c r="P285" i="1"/>
  <c r="M285" i="1"/>
  <c r="L285" i="1"/>
  <c r="K285" i="1"/>
  <c r="Q284" i="1"/>
  <c r="P284" i="1"/>
  <c r="O284" i="1"/>
  <c r="M284" i="1"/>
  <c r="L284" i="1"/>
  <c r="K284" i="1"/>
  <c r="Q283" i="1"/>
  <c r="P283" i="1"/>
  <c r="M283" i="1"/>
  <c r="L283" i="1"/>
  <c r="K283" i="1"/>
  <c r="Q282" i="1"/>
  <c r="P282" i="1"/>
  <c r="O282" i="1"/>
  <c r="M282" i="1"/>
  <c r="L282" i="1"/>
  <c r="K282" i="1"/>
  <c r="Q281" i="1"/>
  <c r="P281" i="1"/>
  <c r="O281" i="1"/>
  <c r="M281" i="1"/>
  <c r="L281" i="1"/>
  <c r="K281" i="1"/>
  <c r="Q280" i="1"/>
  <c r="P280" i="1"/>
  <c r="M280" i="1"/>
  <c r="L280" i="1"/>
  <c r="K280" i="1"/>
  <c r="Q279" i="1"/>
  <c r="P279" i="1"/>
  <c r="O279" i="1"/>
  <c r="M279" i="1"/>
  <c r="L279" i="1"/>
  <c r="K279" i="1"/>
  <c r="Q278" i="1"/>
  <c r="P278" i="1"/>
  <c r="O278" i="1"/>
  <c r="M278" i="1"/>
  <c r="L278" i="1"/>
  <c r="K278" i="1"/>
  <c r="Q277" i="1"/>
  <c r="P277" i="1"/>
  <c r="O277" i="1"/>
  <c r="M277" i="1"/>
  <c r="L277" i="1"/>
  <c r="K277" i="1"/>
  <c r="Q276" i="1"/>
  <c r="P276" i="1"/>
  <c r="O276" i="1"/>
  <c r="M276" i="1"/>
  <c r="L276" i="1"/>
  <c r="K276" i="1"/>
  <c r="Q275" i="1"/>
  <c r="P275" i="1"/>
  <c r="O275" i="1"/>
  <c r="M275" i="1"/>
  <c r="L275" i="1"/>
  <c r="K275" i="1"/>
  <c r="Q274" i="1"/>
  <c r="P274" i="1"/>
  <c r="O274" i="1"/>
  <c r="M274" i="1"/>
  <c r="L274" i="1"/>
  <c r="K274" i="1"/>
  <c r="Q273" i="1"/>
  <c r="P273" i="1"/>
  <c r="O273" i="1"/>
  <c r="M273" i="1"/>
  <c r="L273" i="1"/>
  <c r="K273" i="1"/>
  <c r="Q272" i="1"/>
  <c r="P272" i="1"/>
  <c r="O272" i="1"/>
  <c r="M272" i="1"/>
  <c r="L272" i="1"/>
  <c r="K272" i="1"/>
  <c r="Q271" i="1"/>
  <c r="P271" i="1"/>
  <c r="O271" i="1"/>
  <c r="M271" i="1"/>
  <c r="L271" i="1"/>
  <c r="K271" i="1"/>
  <c r="Q270" i="1"/>
  <c r="P270" i="1"/>
  <c r="O270" i="1"/>
  <c r="M270" i="1"/>
  <c r="L270" i="1"/>
  <c r="K270" i="1"/>
  <c r="Q269" i="1"/>
  <c r="P269" i="1"/>
  <c r="M269" i="1"/>
  <c r="L269" i="1"/>
  <c r="K269" i="1"/>
  <c r="Q268" i="1"/>
  <c r="P268" i="1"/>
  <c r="M268" i="1"/>
  <c r="L268" i="1"/>
  <c r="K268" i="1"/>
  <c r="Q267" i="1"/>
  <c r="P267" i="1"/>
  <c r="O267" i="1"/>
  <c r="M267" i="1"/>
  <c r="L267" i="1"/>
  <c r="K267" i="1"/>
  <c r="Q266" i="1"/>
  <c r="P266" i="1"/>
  <c r="O266" i="1"/>
  <c r="M266" i="1"/>
  <c r="L266" i="1"/>
  <c r="K266" i="1"/>
  <c r="Q265" i="1"/>
  <c r="P265" i="1"/>
  <c r="O265" i="1"/>
  <c r="M265" i="1"/>
  <c r="L265" i="1"/>
  <c r="K265" i="1"/>
  <c r="Q264" i="1"/>
  <c r="P264" i="1"/>
  <c r="M264" i="1"/>
  <c r="L264" i="1"/>
  <c r="K264" i="1"/>
  <c r="Q263" i="1"/>
  <c r="P263" i="1"/>
  <c r="O263" i="1"/>
  <c r="M263" i="1"/>
  <c r="L263" i="1"/>
  <c r="K263" i="1"/>
  <c r="Q262" i="1"/>
  <c r="P262" i="1"/>
  <c r="O262" i="1"/>
  <c r="M262" i="1"/>
  <c r="L262" i="1"/>
  <c r="K262" i="1"/>
  <c r="Q261" i="1"/>
  <c r="P261" i="1"/>
  <c r="O261" i="1"/>
  <c r="M261" i="1"/>
  <c r="L261" i="1"/>
  <c r="K261" i="1"/>
  <c r="Q260" i="1"/>
  <c r="P260" i="1"/>
  <c r="O260" i="1"/>
  <c r="M260" i="1"/>
  <c r="L260" i="1"/>
  <c r="K260" i="1"/>
  <c r="Q259" i="1"/>
  <c r="P259" i="1"/>
  <c r="M259" i="1"/>
  <c r="L259" i="1"/>
  <c r="K259" i="1"/>
  <c r="Q258" i="1"/>
  <c r="P258" i="1"/>
  <c r="O258" i="1"/>
  <c r="M258" i="1"/>
  <c r="L258" i="1"/>
  <c r="K258" i="1"/>
  <c r="Q257" i="1"/>
  <c r="P257" i="1"/>
  <c r="O257" i="1"/>
  <c r="M257" i="1"/>
  <c r="L257" i="1"/>
  <c r="K257" i="1"/>
  <c r="Q256" i="1"/>
  <c r="P256" i="1"/>
  <c r="O256" i="1"/>
  <c r="M256" i="1"/>
  <c r="L256" i="1"/>
  <c r="K256" i="1"/>
  <c r="Q255" i="1"/>
  <c r="P255" i="1"/>
  <c r="O255" i="1"/>
  <c r="M255" i="1"/>
  <c r="L255" i="1"/>
  <c r="K255" i="1"/>
  <c r="Q254" i="1"/>
  <c r="P254" i="1"/>
  <c r="O254" i="1"/>
  <c r="M254" i="1"/>
  <c r="L254" i="1"/>
  <c r="K254" i="1"/>
  <c r="Q253" i="1"/>
  <c r="P253" i="1"/>
  <c r="O253" i="1"/>
  <c r="M253" i="1"/>
  <c r="L253" i="1"/>
  <c r="K253" i="1"/>
  <c r="Q252" i="1"/>
  <c r="P252" i="1"/>
  <c r="O252" i="1"/>
  <c r="M252" i="1"/>
  <c r="L252" i="1"/>
  <c r="K252" i="1"/>
  <c r="Q251" i="1"/>
  <c r="P251" i="1"/>
  <c r="O251" i="1"/>
  <c r="M251" i="1"/>
  <c r="L251" i="1"/>
  <c r="K251" i="1"/>
  <c r="Q250" i="1"/>
  <c r="P250" i="1"/>
  <c r="O250" i="1"/>
  <c r="M250" i="1"/>
  <c r="L250" i="1"/>
  <c r="K250" i="1"/>
  <c r="Q249" i="1"/>
  <c r="P249" i="1"/>
  <c r="O249" i="1"/>
  <c r="M249" i="1"/>
  <c r="L249" i="1"/>
  <c r="K249" i="1"/>
  <c r="Q248" i="1"/>
  <c r="P248" i="1"/>
  <c r="O248" i="1"/>
  <c r="M248" i="1"/>
  <c r="L248" i="1"/>
  <c r="K248" i="1"/>
  <c r="Q247" i="1"/>
  <c r="P247" i="1"/>
  <c r="O247" i="1"/>
  <c r="M247" i="1"/>
  <c r="L247" i="1"/>
  <c r="K247" i="1"/>
  <c r="Q246" i="1"/>
  <c r="P246" i="1"/>
  <c r="O246" i="1"/>
  <c r="M246" i="1"/>
  <c r="L246" i="1"/>
  <c r="K246" i="1"/>
  <c r="Q245" i="1"/>
  <c r="P245" i="1"/>
  <c r="M245" i="1"/>
  <c r="L245" i="1"/>
  <c r="K245" i="1"/>
  <c r="Q244" i="1"/>
  <c r="P244" i="1"/>
  <c r="M244" i="1"/>
  <c r="L244" i="1"/>
  <c r="K244" i="1"/>
  <c r="Q243" i="1"/>
  <c r="P243" i="1"/>
  <c r="O243" i="1"/>
  <c r="M243" i="1"/>
  <c r="L243" i="1"/>
  <c r="K243" i="1"/>
  <c r="Q242" i="1"/>
  <c r="P242" i="1"/>
  <c r="O242" i="1"/>
  <c r="M242" i="1"/>
  <c r="L242" i="1"/>
  <c r="K242" i="1"/>
  <c r="Q241" i="1"/>
  <c r="P241" i="1"/>
  <c r="O241" i="1"/>
  <c r="M241" i="1"/>
  <c r="L241" i="1"/>
  <c r="K241" i="1"/>
  <c r="Q240" i="1"/>
  <c r="P240" i="1"/>
  <c r="O240" i="1"/>
  <c r="M240" i="1"/>
  <c r="L240" i="1"/>
  <c r="K240" i="1"/>
  <c r="Q239" i="1"/>
  <c r="P239" i="1"/>
  <c r="O239" i="1"/>
  <c r="M239" i="1"/>
  <c r="L239" i="1"/>
  <c r="K239" i="1"/>
  <c r="Q238" i="1"/>
  <c r="P238" i="1"/>
  <c r="O238" i="1"/>
  <c r="M238" i="1"/>
  <c r="L238" i="1"/>
  <c r="K238" i="1"/>
  <c r="Q237" i="1"/>
  <c r="P237" i="1"/>
  <c r="O237" i="1"/>
  <c r="M237" i="1"/>
  <c r="L237" i="1"/>
  <c r="K237" i="1"/>
  <c r="Q236" i="1"/>
  <c r="P236" i="1"/>
  <c r="O236" i="1"/>
  <c r="M236" i="1"/>
  <c r="L236" i="1"/>
  <c r="K236" i="1"/>
  <c r="Q235" i="1"/>
  <c r="P235" i="1"/>
  <c r="O235" i="1"/>
  <c r="M235" i="1"/>
  <c r="L235" i="1"/>
  <c r="K235" i="1"/>
  <c r="Q234" i="1"/>
  <c r="P234" i="1"/>
  <c r="O234" i="1"/>
  <c r="M234" i="1"/>
  <c r="L234" i="1"/>
  <c r="K234" i="1"/>
  <c r="Q233" i="1"/>
  <c r="P233" i="1"/>
  <c r="O233" i="1"/>
  <c r="M233" i="1"/>
  <c r="L233" i="1"/>
  <c r="K233" i="1"/>
  <c r="Q232" i="1"/>
  <c r="P232" i="1"/>
  <c r="O232" i="1"/>
  <c r="M232" i="1"/>
  <c r="L232" i="1"/>
  <c r="K232" i="1"/>
  <c r="Q231" i="1"/>
  <c r="P231" i="1"/>
  <c r="O231" i="1"/>
  <c r="M231" i="1"/>
  <c r="L231" i="1"/>
  <c r="K231" i="1"/>
  <c r="Q230" i="1"/>
  <c r="P230" i="1"/>
  <c r="M230" i="1"/>
  <c r="L230" i="1"/>
  <c r="K230" i="1"/>
  <c r="Q229" i="1"/>
  <c r="P229" i="1"/>
  <c r="O229" i="1"/>
  <c r="M229" i="1"/>
  <c r="L229" i="1"/>
  <c r="K229" i="1"/>
  <c r="Q228" i="1"/>
  <c r="P228" i="1"/>
  <c r="O228" i="1"/>
  <c r="M228" i="1"/>
  <c r="L228" i="1"/>
  <c r="K228" i="1"/>
  <c r="Q227" i="1"/>
  <c r="P227" i="1"/>
  <c r="O227" i="1"/>
  <c r="M227" i="1"/>
  <c r="L227" i="1"/>
  <c r="K227" i="1"/>
  <c r="Q226" i="1"/>
  <c r="P226" i="1"/>
  <c r="O226" i="1"/>
  <c r="M226" i="1"/>
  <c r="L226" i="1"/>
  <c r="K226" i="1"/>
  <c r="Q225" i="1"/>
  <c r="P225" i="1"/>
  <c r="O225" i="1"/>
  <c r="M225" i="1"/>
  <c r="L225" i="1"/>
  <c r="K225" i="1"/>
  <c r="Q224" i="1"/>
  <c r="P224" i="1"/>
  <c r="O224" i="1"/>
  <c r="M224" i="1"/>
  <c r="L224" i="1"/>
  <c r="K224" i="1"/>
  <c r="Q223" i="1"/>
  <c r="P223" i="1"/>
  <c r="O223" i="1"/>
  <c r="M223" i="1"/>
  <c r="L223" i="1"/>
  <c r="K223" i="1"/>
  <c r="Q222" i="1"/>
  <c r="P222" i="1"/>
  <c r="M222" i="1"/>
  <c r="L222" i="1"/>
  <c r="K222" i="1"/>
  <c r="Q221" i="1"/>
  <c r="P221" i="1"/>
  <c r="M221" i="1"/>
  <c r="L221" i="1"/>
  <c r="K221" i="1"/>
  <c r="Q220" i="1"/>
  <c r="P220" i="1"/>
  <c r="M220" i="1"/>
  <c r="L220" i="1"/>
  <c r="K220" i="1"/>
  <c r="Q219" i="1"/>
  <c r="P219" i="1"/>
  <c r="O219" i="1"/>
  <c r="M219" i="1"/>
  <c r="L219" i="1"/>
  <c r="K219" i="1"/>
  <c r="Q218" i="1"/>
  <c r="P218" i="1"/>
  <c r="O218" i="1"/>
  <c r="M218" i="1"/>
  <c r="L218" i="1"/>
  <c r="K218" i="1"/>
  <c r="Q217" i="1"/>
  <c r="P217" i="1"/>
  <c r="M217" i="1"/>
  <c r="L217" i="1"/>
  <c r="K217" i="1"/>
  <c r="Q216" i="1"/>
  <c r="P216" i="1"/>
  <c r="M216" i="1"/>
  <c r="L216" i="1"/>
  <c r="K216" i="1"/>
  <c r="Q215" i="1"/>
  <c r="P215" i="1"/>
  <c r="O215" i="1"/>
  <c r="M215" i="1"/>
  <c r="L215" i="1"/>
  <c r="K215" i="1"/>
  <c r="Q214" i="1"/>
  <c r="P214" i="1"/>
  <c r="O214" i="1"/>
  <c r="M214" i="1"/>
  <c r="L214" i="1"/>
  <c r="K214" i="1"/>
  <c r="Q213" i="1"/>
  <c r="P213" i="1"/>
  <c r="O213" i="1"/>
  <c r="M213" i="1"/>
  <c r="L213" i="1"/>
  <c r="K213" i="1"/>
  <c r="Q212" i="1"/>
  <c r="P212" i="1"/>
  <c r="M212" i="1"/>
  <c r="L212" i="1"/>
  <c r="K212" i="1"/>
  <c r="Q211" i="1"/>
  <c r="P211" i="1"/>
  <c r="O211" i="1"/>
  <c r="M211" i="1"/>
  <c r="L211" i="1"/>
  <c r="K211" i="1"/>
  <c r="Q210" i="1"/>
  <c r="P210" i="1"/>
  <c r="M210" i="1"/>
  <c r="L210" i="1"/>
  <c r="K210" i="1"/>
  <c r="Q209" i="1"/>
  <c r="P209" i="1"/>
  <c r="O209" i="1"/>
  <c r="M209" i="1"/>
  <c r="L209" i="1"/>
  <c r="K209" i="1"/>
  <c r="Q208" i="1"/>
  <c r="P208" i="1"/>
  <c r="M208" i="1"/>
  <c r="L208" i="1"/>
  <c r="K208" i="1"/>
  <c r="Q207" i="1"/>
  <c r="P207" i="1"/>
  <c r="O207" i="1"/>
  <c r="M207" i="1"/>
  <c r="L207" i="1"/>
  <c r="K207" i="1"/>
  <c r="Q206" i="1"/>
  <c r="P206" i="1"/>
  <c r="M206" i="1"/>
  <c r="L206" i="1"/>
  <c r="K206" i="1"/>
  <c r="Q205" i="1"/>
  <c r="P205" i="1"/>
  <c r="O205" i="1"/>
  <c r="M205" i="1"/>
  <c r="L205" i="1"/>
  <c r="K205" i="1"/>
  <c r="Q204" i="1"/>
  <c r="P204" i="1"/>
  <c r="O204" i="1"/>
  <c r="M204" i="1"/>
  <c r="L204" i="1"/>
  <c r="K204" i="1"/>
  <c r="Q203" i="1"/>
  <c r="P203" i="1"/>
  <c r="O203" i="1"/>
  <c r="M203" i="1"/>
  <c r="L203" i="1"/>
  <c r="K203" i="1"/>
  <c r="Q202" i="1"/>
  <c r="P202" i="1"/>
  <c r="O202" i="1"/>
  <c r="M202" i="1"/>
  <c r="L202" i="1"/>
  <c r="K202" i="1"/>
  <c r="Q201" i="1"/>
  <c r="P201" i="1"/>
  <c r="M201" i="1"/>
  <c r="L201" i="1"/>
  <c r="K201" i="1"/>
  <c r="Q200" i="1"/>
  <c r="P200" i="1"/>
  <c r="O200" i="1"/>
  <c r="M200" i="1"/>
  <c r="L200" i="1"/>
  <c r="K200" i="1"/>
  <c r="Q199" i="1"/>
  <c r="P199" i="1"/>
  <c r="M199" i="1"/>
  <c r="L199" i="1"/>
  <c r="K199" i="1"/>
  <c r="Q198" i="1"/>
  <c r="P198" i="1"/>
  <c r="O198" i="1"/>
  <c r="M198" i="1"/>
  <c r="L198" i="1"/>
  <c r="K198" i="1"/>
  <c r="Q197" i="1"/>
  <c r="P197" i="1"/>
  <c r="O197" i="1"/>
  <c r="M197" i="1"/>
  <c r="L197" i="1"/>
  <c r="K197" i="1"/>
  <c r="Q196" i="1"/>
  <c r="P196" i="1"/>
  <c r="O196" i="1"/>
  <c r="M196" i="1"/>
  <c r="L196" i="1"/>
  <c r="K196" i="1"/>
  <c r="Q195" i="1"/>
  <c r="P195" i="1"/>
  <c r="O195" i="1"/>
  <c r="M195" i="1"/>
  <c r="L195" i="1"/>
  <c r="K195" i="1"/>
  <c r="Q194" i="1"/>
  <c r="P194" i="1"/>
  <c r="O194" i="1"/>
  <c r="M194" i="1"/>
  <c r="L194" i="1"/>
  <c r="K194" i="1"/>
  <c r="Q193" i="1"/>
  <c r="P193" i="1"/>
  <c r="O193" i="1"/>
  <c r="M193" i="1"/>
  <c r="L193" i="1"/>
  <c r="K193" i="1"/>
  <c r="Q192" i="1"/>
  <c r="P192" i="1"/>
  <c r="M192" i="1"/>
  <c r="L192" i="1"/>
  <c r="K192" i="1"/>
  <c r="Q191" i="1"/>
  <c r="P191" i="1"/>
  <c r="M191" i="1"/>
  <c r="L191" i="1"/>
  <c r="K191" i="1"/>
  <c r="Q190" i="1"/>
  <c r="P190" i="1"/>
  <c r="O190" i="1"/>
  <c r="M190" i="1"/>
  <c r="L190" i="1"/>
  <c r="K190" i="1"/>
  <c r="Q189" i="1"/>
  <c r="P189" i="1"/>
  <c r="O189" i="1"/>
  <c r="M189" i="1"/>
  <c r="L189" i="1"/>
  <c r="K189" i="1"/>
  <c r="Q188" i="1"/>
  <c r="P188" i="1"/>
  <c r="O188" i="1"/>
  <c r="M188" i="1"/>
  <c r="L188" i="1"/>
  <c r="K188" i="1"/>
  <c r="Q187" i="1"/>
  <c r="P187" i="1"/>
  <c r="O187" i="1"/>
  <c r="M187" i="1"/>
  <c r="L187" i="1"/>
  <c r="K187" i="1"/>
  <c r="Q186" i="1"/>
  <c r="P186" i="1"/>
  <c r="O186" i="1"/>
  <c r="M186" i="1"/>
  <c r="L186" i="1"/>
  <c r="K186" i="1"/>
  <c r="Q185" i="1"/>
  <c r="P185" i="1"/>
  <c r="O185" i="1"/>
  <c r="M185" i="1"/>
  <c r="L185" i="1"/>
  <c r="K185" i="1"/>
  <c r="Q184" i="1"/>
  <c r="P184" i="1"/>
  <c r="M184" i="1"/>
  <c r="L184" i="1"/>
  <c r="K184" i="1"/>
  <c r="Q183" i="1"/>
  <c r="P183" i="1"/>
  <c r="O183" i="1"/>
  <c r="M183" i="1"/>
  <c r="L183" i="1"/>
  <c r="K183" i="1"/>
  <c r="Q182" i="1"/>
  <c r="P182" i="1"/>
  <c r="O182" i="1"/>
  <c r="M182" i="1"/>
  <c r="L182" i="1"/>
  <c r="K182" i="1"/>
  <c r="Q181" i="1"/>
  <c r="P181" i="1"/>
  <c r="O181" i="1"/>
  <c r="M181" i="1"/>
  <c r="L181" i="1"/>
  <c r="K181" i="1"/>
  <c r="Q180" i="1"/>
  <c r="P180" i="1"/>
  <c r="O180" i="1"/>
  <c r="M180" i="1"/>
  <c r="L180" i="1"/>
  <c r="K180" i="1"/>
  <c r="Q179" i="1"/>
  <c r="P179" i="1"/>
  <c r="O179" i="1"/>
  <c r="M179" i="1"/>
  <c r="L179" i="1"/>
  <c r="K179" i="1"/>
  <c r="Q178" i="1"/>
  <c r="P178" i="1"/>
  <c r="O178" i="1"/>
  <c r="M178" i="1"/>
  <c r="L178" i="1"/>
  <c r="K178" i="1"/>
  <c r="Q177" i="1"/>
  <c r="P177" i="1"/>
  <c r="M177" i="1"/>
  <c r="L177" i="1"/>
  <c r="K177" i="1"/>
  <c r="Q176" i="1"/>
  <c r="P176" i="1"/>
  <c r="O176" i="1"/>
  <c r="M176" i="1"/>
  <c r="L176" i="1"/>
  <c r="K176" i="1"/>
  <c r="Q175" i="1"/>
  <c r="P175" i="1"/>
  <c r="O175" i="1"/>
  <c r="M175" i="1"/>
  <c r="L175" i="1"/>
  <c r="K175" i="1"/>
  <c r="Q174" i="1"/>
  <c r="P174" i="1"/>
  <c r="O174" i="1"/>
  <c r="M174" i="1"/>
  <c r="L174" i="1"/>
  <c r="K174" i="1"/>
  <c r="Q173" i="1"/>
  <c r="P173" i="1"/>
  <c r="O173" i="1"/>
  <c r="M173" i="1"/>
  <c r="L173" i="1"/>
  <c r="K173" i="1"/>
  <c r="Q172" i="1"/>
  <c r="P172" i="1"/>
  <c r="M172" i="1"/>
  <c r="L172" i="1"/>
  <c r="K172" i="1"/>
  <c r="Q171" i="1"/>
  <c r="P171" i="1"/>
  <c r="O171" i="1"/>
  <c r="M171" i="1"/>
  <c r="L171" i="1"/>
  <c r="K171" i="1"/>
  <c r="Q170" i="1"/>
  <c r="P170" i="1"/>
  <c r="O170" i="1"/>
  <c r="M170" i="1"/>
  <c r="L170" i="1"/>
  <c r="K170" i="1"/>
  <c r="Q169" i="1"/>
  <c r="P169" i="1"/>
  <c r="O169" i="1"/>
  <c r="M169" i="1"/>
  <c r="L169" i="1"/>
  <c r="K169" i="1"/>
  <c r="Q168" i="1"/>
  <c r="P168" i="1"/>
  <c r="O168" i="1"/>
  <c r="M168" i="1"/>
  <c r="L168" i="1"/>
  <c r="K168" i="1"/>
  <c r="Q167" i="1"/>
  <c r="P167" i="1"/>
  <c r="O167" i="1"/>
  <c r="M167" i="1"/>
  <c r="L167" i="1"/>
  <c r="K167" i="1"/>
  <c r="Q166" i="1"/>
  <c r="P166" i="1"/>
  <c r="O166" i="1"/>
  <c r="M166" i="1"/>
  <c r="L166" i="1"/>
  <c r="K166" i="1"/>
  <c r="Q165" i="1"/>
  <c r="P165" i="1"/>
  <c r="O165" i="1"/>
  <c r="M165" i="1"/>
  <c r="L165" i="1"/>
  <c r="K165" i="1"/>
  <c r="Q164" i="1"/>
  <c r="P164" i="1"/>
  <c r="O164" i="1"/>
  <c r="M164" i="1"/>
  <c r="L164" i="1"/>
  <c r="K164" i="1"/>
  <c r="Q163" i="1"/>
  <c r="P163" i="1"/>
  <c r="O163" i="1"/>
  <c r="M163" i="1"/>
  <c r="L163" i="1"/>
  <c r="K163" i="1"/>
  <c r="Q162" i="1"/>
  <c r="P162" i="1"/>
  <c r="O162" i="1"/>
  <c r="M162" i="1"/>
  <c r="L162" i="1"/>
  <c r="K162" i="1"/>
  <c r="Q161" i="1"/>
  <c r="P161" i="1"/>
  <c r="O161" i="1"/>
  <c r="M161" i="1"/>
  <c r="L161" i="1"/>
  <c r="K161" i="1"/>
  <c r="Q160" i="1"/>
  <c r="P160" i="1"/>
  <c r="M160" i="1"/>
  <c r="L160" i="1"/>
  <c r="K160" i="1"/>
  <c r="Q159" i="1"/>
  <c r="P159" i="1"/>
  <c r="O159" i="1"/>
  <c r="M159" i="1"/>
  <c r="L159" i="1"/>
  <c r="K159" i="1"/>
  <c r="Q158" i="1"/>
  <c r="P158" i="1"/>
  <c r="M158" i="1"/>
  <c r="L158" i="1"/>
  <c r="K158" i="1"/>
  <c r="Q157" i="1"/>
  <c r="P157" i="1"/>
  <c r="O157" i="1"/>
  <c r="M157" i="1"/>
  <c r="L157" i="1"/>
  <c r="K157" i="1"/>
  <c r="Q156" i="1"/>
  <c r="P156" i="1"/>
  <c r="M156" i="1"/>
  <c r="L156" i="1"/>
  <c r="K156" i="1"/>
  <c r="Q155" i="1"/>
  <c r="P155" i="1"/>
  <c r="O155" i="1"/>
  <c r="M155" i="1"/>
  <c r="L155" i="1"/>
  <c r="K155" i="1"/>
  <c r="Q154" i="1"/>
  <c r="P154" i="1"/>
  <c r="M154" i="1"/>
  <c r="L154" i="1"/>
  <c r="K154" i="1"/>
  <c r="Q153" i="1"/>
  <c r="P153" i="1"/>
  <c r="M153" i="1"/>
  <c r="L153" i="1"/>
  <c r="K153" i="1"/>
  <c r="Q152" i="1"/>
  <c r="P152" i="1"/>
  <c r="O152" i="1"/>
  <c r="M152" i="1"/>
  <c r="L152" i="1"/>
  <c r="K152" i="1"/>
  <c r="Q151" i="1"/>
  <c r="P151" i="1"/>
  <c r="O151" i="1"/>
  <c r="M151" i="1"/>
  <c r="L151" i="1"/>
  <c r="K151" i="1"/>
  <c r="Q150" i="1"/>
  <c r="P150" i="1"/>
  <c r="O150" i="1"/>
  <c r="M150" i="1"/>
  <c r="L150" i="1"/>
  <c r="K150" i="1"/>
  <c r="Q149" i="1"/>
  <c r="P149" i="1"/>
  <c r="M149" i="1"/>
  <c r="L149" i="1"/>
  <c r="K149" i="1"/>
  <c r="Q148" i="1"/>
  <c r="P148" i="1"/>
  <c r="O148" i="1"/>
  <c r="M148" i="1"/>
  <c r="L148" i="1"/>
  <c r="K148" i="1"/>
  <c r="Q147" i="1"/>
  <c r="P147" i="1"/>
  <c r="O147" i="1"/>
  <c r="M147" i="1"/>
  <c r="L147" i="1"/>
  <c r="K147" i="1"/>
  <c r="Q146" i="1"/>
  <c r="P146" i="1"/>
  <c r="O146" i="1"/>
  <c r="M146" i="1"/>
  <c r="L146" i="1"/>
  <c r="K146" i="1"/>
  <c r="Q145" i="1"/>
  <c r="P145" i="1"/>
  <c r="O145" i="1"/>
  <c r="M145" i="1"/>
  <c r="L145" i="1"/>
  <c r="K145" i="1"/>
  <c r="Q144" i="1"/>
  <c r="P144" i="1"/>
  <c r="O144" i="1"/>
  <c r="M144" i="1"/>
  <c r="L144" i="1"/>
  <c r="K144" i="1"/>
  <c r="Q143" i="1"/>
  <c r="P143" i="1"/>
  <c r="M143" i="1"/>
  <c r="L143" i="1"/>
  <c r="K143" i="1"/>
  <c r="Q142" i="1"/>
  <c r="P142" i="1"/>
  <c r="O142" i="1"/>
  <c r="M142" i="1"/>
  <c r="L142" i="1"/>
  <c r="K142" i="1"/>
  <c r="Q141" i="1"/>
  <c r="P141" i="1"/>
  <c r="O141" i="1"/>
  <c r="M141" i="1"/>
  <c r="L141" i="1"/>
  <c r="K141" i="1"/>
  <c r="Q140" i="1"/>
  <c r="P140" i="1"/>
  <c r="M140" i="1"/>
  <c r="L140" i="1"/>
  <c r="K140" i="1"/>
  <c r="Q139" i="1"/>
  <c r="P139" i="1"/>
  <c r="O139" i="1"/>
  <c r="M139" i="1"/>
  <c r="L139" i="1"/>
  <c r="K139" i="1"/>
  <c r="Q138" i="1"/>
  <c r="P138" i="1"/>
  <c r="O138" i="1"/>
  <c r="M138" i="1"/>
  <c r="L138" i="1"/>
  <c r="K138" i="1"/>
  <c r="Q137" i="1"/>
  <c r="P137" i="1"/>
  <c r="O137" i="1"/>
  <c r="M137" i="1"/>
  <c r="L137" i="1"/>
  <c r="K137" i="1"/>
  <c r="Q136" i="1"/>
  <c r="P136" i="1"/>
  <c r="M136" i="1"/>
  <c r="L136" i="1"/>
  <c r="K136" i="1"/>
  <c r="Q135" i="1"/>
  <c r="P135" i="1"/>
  <c r="O135" i="1"/>
  <c r="M135" i="1"/>
  <c r="L135" i="1"/>
  <c r="K135" i="1"/>
  <c r="Q134" i="1"/>
  <c r="P134" i="1"/>
  <c r="M134" i="1"/>
  <c r="L134" i="1"/>
  <c r="K134" i="1"/>
  <c r="Q133" i="1"/>
  <c r="P133" i="1"/>
  <c r="O133" i="1"/>
  <c r="M133" i="1"/>
  <c r="L133" i="1"/>
  <c r="K133" i="1"/>
  <c r="Q132" i="1"/>
  <c r="P132" i="1"/>
  <c r="M132" i="1"/>
  <c r="L132" i="1"/>
  <c r="K132" i="1"/>
  <c r="Q131" i="1"/>
  <c r="P131" i="1"/>
  <c r="M131" i="1"/>
  <c r="L131" i="1"/>
  <c r="K131" i="1"/>
  <c r="Q130" i="1"/>
  <c r="P130" i="1"/>
  <c r="O130" i="1"/>
  <c r="M130" i="1"/>
  <c r="L130" i="1"/>
  <c r="K130" i="1"/>
  <c r="Q129" i="1"/>
  <c r="P129" i="1"/>
  <c r="M129" i="1"/>
  <c r="L129" i="1"/>
  <c r="K129" i="1"/>
  <c r="Q128" i="1"/>
  <c r="P128" i="1"/>
  <c r="O128" i="1"/>
  <c r="M128" i="1"/>
  <c r="L128" i="1"/>
  <c r="K128" i="1"/>
  <c r="Q127" i="1"/>
  <c r="P127" i="1"/>
  <c r="O127" i="1"/>
  <c r="M127" i="1"/>
  <c r="L127" i="1"/>
  <c r="K127" i="1"/>
  <c r="Q126" i="1"/>
  <c r="P126" i="1"/>
  <c r="O126" i="1"/>
  <c r="M126" i="1"/>
  <c r="L126" i="1"/>
  <c r="K126" i="1"/>
  <c r="Q125" i="1"/>
  <c r="P125" i="1"/>
  <c r="O125" i="1"/>
  <c r="M125" i="1"/>
  <c r="L125" i="1"/>
  <c r="K125" i="1"/>
  <c r="Q124" i="1"/>
  <c r="P124" i="1"/>
  <c r="O124" i="1"/>
  <c r="M124" i="1"/>
  <c r="L124" i="1"/>
  <c r="K124" i="1"/>
  <c r="Q123" i="1"/>
  <c r="P123" i="1"/>
  <c r="O123" i="1"/>
  <c r="M123" i="1"/>
  <c r="L123" i="1"/>
  <c r="K123" i="1"/>
  <c r="Q122" i="1"/>
  <c r="P122" i="1"/>
  <c r="O122" i="1"/>
  <c r="M122" i="1"/>
  <c r="L122" i="1"/>
  <c r="K122" i="1"/>
  <c r="Q121" i="1"/>
  <c r="P121" i="1"/>
  <c r="M121" i="1"/>
  <c r="L121" i="1"/>
  <c r="K121" i="1"/>
  <c r="Q120" i="1"/>
  <c r="P120" i="1"/>
  <c r="O120" i="1"/>
  <c r="M120" i="1"/>
  <c r="L120" i="1"/>
  <c r="K120" i="1"/>
  <c r="Q119" i="1"/>
  <c r="P119" i="1"/>
  <c r="O119" i="1"/>
  <c r="M119" i="1"/>
  <c r="L119" i="1"/>
  <c r="K119" i="1"/>
  <c r="Q118" i="1"/>
  <c r="P118" i="1"/>
  <c r="M118" i="1"/>
  <c r="L118" i="1"/>
  <c r="K118" i="1"/>
  <c r="Q117" i="1"/>
  <c r="P117" i="1"/>
  <c r="O117" i="1"/>
  <c r="M117" i="1"/>
  <c r="L117" i="1"/>
  <c r="K117" i="1"/>
  <c r="Q116" i="1"/>
  <c r="P116" i="1"/>
  <c r="O116" i="1"/>
  <c r="M116" i="1"/>
  <c r="L116" i="1"/>
  <c r="K116" i="1"/>
  <c r="Q115" i="1"/>
  <c r="P115" i="1"/>
  <c r="O115" i="1"/>
  <c r="M115" i="1"/>
  <c r="L115" i="1"/>
  <c r="K115" i="1"/>
  <c r="Q114" i="1"/>
  <c r="P114" i="1"/>
  <c r="O114" i="1"/>
  <c r="M114" i="1"/>
  <c r="L114" i="1"/>
  <c r="K114" i="1"/>
  <c r="Q113" i="1"/>
  <c r="P113" i="1"/>
  <c r="O113" i="1"/>
  <c r="M113" i="1"/>
  <c r="L113" i="1"/>
  <c r="K113" i="1"/>
  <c r="Q112" i="1"/>
  <c r="P112" i="1"/>
  <c r="M112" i="1"/>
  <c r="L112" i="1"/>
  <c r="K112" i="1"/>
  <c r="Q111" i="1"/>
  <c r="P111" i="1"/>
  <c r="M111" i="1"/>
  <c r="L111" i="1"/>
  <c r="K111" i="1"/>
  <c r="Q110" i="1"/>
  <c r="P110" i="1"/>
  <c r="O110" i="1"/>
  <c r="M110" i="1"/>
  <c r="L110" i="1"/>
  <c r="K110" i="1"/>
  <c r="Q109" i="1"/>
  <c r="P109" i="1"/>
  <c r="O109" i="1"/>
  <c r="M109" i="1"/>
  <c r="L109" i="1"/>
  <c r="K109" i="1"/>
  <c r="Q108" i="1"/>
  <c r="P108" i="1"/>
  <c r="O108" i="1"/>
  <c r="M108" i="1"/>
  <c r="L108" i="1"/>
  <c r="K108" i="1"/>
  <c r="Q107" i="1"/>
  <c r="P107" i="1"/>
  <c r="O107" i="1"/>
  <c r="M107" i="1"/>
  <c r="L107" i="1"/>
  <c r="K107" i="1"/>
  <c r="Q106" i="1"/>
  <c r="P106" i="1"/>
  <c r="M106" i="1"/>
  <c r="L106" i="1"/>
  <c r="K106" i="1"/>
  <c r="Q105" i="1"/>
  <c r="P105" i="1"/>
  <c r="M105" i="1"/>
  <c r="L105" i="1"/>
  <c r="K105" i="1"/>
  <c r="Q104" i="1"/>
  <c r="P104" i="1"/>
  <c r="O104" i="1"/>
  <c r="M104" i="1"/>
  <c r="L104" i="1"/>
  <c r="K104" i="1"/>
  <c r="Q103" i="1"/>
  <c r="P103" i="1"/>
  <c r="O103" i="1"/>
  <c r="M103" i="1"/>
  <c r="L103" i="1"/>
  <c r="K103" i="1"/>
  <c r="Q102" i="1"/>
  <c r="P102" i="1"/>
  <c r="O102" i="1"/>
  <c r="M102" i="1"/>
  <c r="L102" i="1"/>
  <c r="K102" i="1"/>
  <c r="Q101" i="1"/>
  <c r="P101" i="1"/>
  <c r="O101" i="1"/>
  <c r="M101" i="1"/>
  <c r="L101" i="1"/>
  <c r="K101" i="1"/>
  <c r="Q100" i="1"/>
  <c r="P100" i="1"/>
  <c r="O100" i="1"/>
  <c r="M100" i="1"/>
  <c r="L100" i="1"/>
  <c r="K100" i="1"/>
  <c r="Q99" i="1"/>
  <c r="P99" i="1"/>
  <c r="O99" i="1"/>
  <c r="M99" i="1"/>
  <c r="L99" i="1"/>
  <c r="K99" i="1"/>
  <c r="Q98" i="1"/>
  <c r="P98" i="1"/>
  <c r="O98" i="1"/>
  <c r="M98" i="1"/>
  <c r="L98" i="1"/>
  <c r="K98" i="1"/>
  <c r="Q97" i="1"/>
  <c r="P97" i="1"/>
  <c r="O97" i="1"/>
  <c r="M97" i="1"/>
  <c r="L97" i="1"/>
  <c r="K97" i="1"/>
  <c r="Q96" i="1"/>
  <c r="P96" i="1"/>
  <c r="M96" i="1"/>
  <c r="L96" i="1"/>
  <c r="K96" i="1"/>
  <c r="Q95" i="1"/>
  <c r="P95" i="1"/>
  <c r="M95" i="1"/>
  <c r="L95" i="1"/>
  <c r="K95" i="1"/>
  <c r="Q94" i="1"/>
  <c r="P94" i="1"/>
  <c r="M94" i="1"/>
  <c r="L94" i="1"/>
  <c r="K94" i="1"/>
  <c r="Q93" i="1"/>
  <c r="P93" i="1"/>
  <c r="O93" i="1"/>
  <c r="M93" i="1"/>
  <c r="L93" i="1"/>
  <c r="K93" i="1"/>
  <c r="Q92" i="1"/>
  <c r="P92" i="1"/>
  <c r="O92" i="1"/>
  <c r="M92" i="1"/>
  <c r="L92" i="1"/>
  <c r="K92" i="1"/>
  <c r="Q91" i="1"/>
  <c r="P91" i="1"/>
  <c r="O91" i="1"/>
  <c r="M91" i="1"/>
  <c r="L91" i="1"/>
  <c r="K91" i="1"/>
  <c r="Q90" i="1"/>
  <c r="P90" i="1"/>
  <c r="O90" i="1"/>
  <c r="M90" i="1"/>
  <c r="L90" i="1"/>
  <c r="K90" i="1"/>
  <c r="Q89" i="1"/>
  <c r="P89" i="1"/>
  <c r="M89" i="1"/>
  <c r="L89" i="1"/>
  <c r="K89" i="1"/>
  <c r="Q88" i="1"/>
  <c r="P88" i="1"/>
  <c r="O88" i="1"/>
  <c r="M88" i="1"/>
  <c r="L88" i="1"/>
  <c r="K88" i="1"/>
  <c r="Q87" i="1"/>
  <c r="P87" i="1"/>
  <c r="M87" i="1"/>
  <c r="L87" i="1"/>
  <c r="K87" i="1"/>
  <c r="Q86" i="1"/>
  <c r="P86" i="1"/>
  <c r="O86" i="1"/>
  <c r="M86" i="1"/>
  <c r="L86" i="1"/>
  <c r="K86" i="1"/>
  <c r="Q85" i="1"/>
  <c r="P85" i="1"/>
  <c r="O85" i="1"/>
  <c r="M85" i="1"/>
  <c r="L85" i="1"/>
  <c r="K85" i="1"/>
  <c r="Q84" i="1"/>
  <c r="P84" i="1"/>
  <c r="O84" i="1"/>
  <c r="M84" i="1"/>
  <c r="L84" i="1"/>
  <c r="K84" i="1"/>
  <c r="Q83" i="1"/>
  <c r="P83" i="1"/>
  <c r="M83" i="1"/>
  <c r="L83" i="1"/>
  <c r="K83" i="1"/>
  <c r="Q82" i="1"/>
  <c r="P82" i="1"/>
  <c r="M82" i="1"/>
  <c r="L82" i="1"/>
  <c r="K82" i="1"/>
  <c r="Q81" i="1"/>
  <c r="P81" i="1"/>
  <c r="O81" i="1"/>
  <c r="M81" i="1"/>
  <c r="L81" i="1"/>
  <c r="K81" i="1"/>
  <c r="Q80" i="1"/>
  <c r="P80" i="1"/>
  <c r="M80" i="1"/>
  <c r="L80" i="1"/>
  <c r="K80" i="1"/>
  <c r="Q79" i="1"/>
  <c r="P79" i="1"/>
  <c r="M79" i="1"/>
  <c r="L79" i="1"/>
  <c r="K79" i="1"/>
  <c r="Q78" i="1"/>
  <c r="P78" i="1"/>
  <c r="O78" i="1"/>
  <c r="M78" i="1"/>
  <c r="L78" i="1"/>
  <c r="K78" i="1"/>
  <c r="Q77" i="1"/>
  <c r="P77" i="1"/>
  <c r="O77" i="1"/>
  <c r="M77" i="1"/>
  <c r="L77" i="1"/>
  <c r="K77" i="1"/>
  <c r="Q76" i="1"/>
  <c r="P76" i="1"/>
  <c r="O76" i="1"/>
  <c r="M76" i="1"/>
  <c r="L76" i="1"/>
  <c r="K76" i="1"/>
  <c r="Q75" i="1"/>
  <c r="P75" i="1"/>
  <c r="M75" i="1"/>
  <c r="L75" i="1"/>
  <c r="K75" i="1"/>
  <c r="Q74" i="1"/>
  <c r="P74" i="1"/>
  <c r="O74" i="1"/>
  <c r="M74" i="1"/>
  <c r="L74" i="1"/>
  <c r="K74" i="1"/>
  <c r="Q73" i="1"/>
  <c r="P73" i="1"/>
  <c r="O73" i="1"/>
  <c r="M73" i="1"/>
  <c r="L73" i="1"/>
  <c r="K73" i="1"/>
  <c r="Q72" i="1"/>
  <c r="P72" i="1"/>
  <c r="O72" i="1"/>
  <c r="M72" i="1"/>
  <c r="L72" i="1"/>
  <c r="K72" i="1"/>
  <c r="Q71" i="1"/>
  <c r="P71" i="1"/>
  <c r="O71" i="1"/>
  <c r="M71" i="1"/>
  <c r="L71" i="1"/>
  <c r="K71" i="1"/>
  <c r="Q70" i="1"/>
  <c r="P70" i="1"/>
  <c r="M70" i="1"/>
  <c r="L70" i="1"/>
  <c r="K70" i="1"/>
  <c r="Q69" i="1"/>
  <c r="P69" i="1"/>
  <c r="O69" i="1"/>
  <c r="M69" i="1"/>
  <c r="L69" i="1"/>
  <c r="K69" i="1"/>
  <c r="Q68" i="1"/>
  <c r="P68" i="1"/>
  <c r="O68" i="1"/>
  <c r="M68" i="1"/>
  <c r="L68" i="1"/>
  <c r="K68" i="1"/>
  <c r="Q67" i="1"/>
  <c r="P67" i="1"/>
  <c r="O67" i="1"/>
  <c r="M67" i="1"/>
  <c r="L67" i="1"/>
  <c r="K67" i="1"/>
  <c r="Q66" i="1"/>
  <c r="P66" i="1"/>
  <c r="M66" i="1"/>
  <c r="L66" i="1"/>
  <c r="K66" i="1"/>
  <c r="Q65" i="1"/>
  <c r="P65" i="1"/>
  <c r="O65" i="1"/>
  <c r="M65" i="1"/>
  <c r="L65" i="1"/>
  <c r="K65" i="1"/>
  <c r="Q64" i="1"/>
  <c r="P64" i="1"/>
  <c r="O64" i="1"/>
  <c r="M64" i="1"/>
  <c r="L64" i="1"/>
  <c r="K64" i="1"/>
  <c r="Q63" i="1"/>
  <c r="P63" i="1"/>
  <c r="O63" i="1"/>
  <c r="M63" i="1"/>
  <c r="L63" i="1"/>
  <c r="K63" i="1"/>
  <c r="Q62" i="1"/>
  <c r="P62" i="1"/>
  <c r="O62" i="1"/>
  <c r="M62" i="1"/>
  <c r="L62" i="1"/>
  <c r="K62" i="1"/>
  <c r="Q61" i="1"/>
  <c r="P61" i="1"/>
  <c r="O61" i="1"/>
  <c r="M61" i="1"/>
  <c r="L61" i="1"/>
  <c r="K61" i="1"/>
  <c r="Q60" i="1"/>
  <c r="P60" i="1"/>
  <c r="O60" i="1"/>
  <c r="M60" i="1"/>
  <c r="L60" i="1"/>
  <c r="K60" i="1"/>
  <c r="Q59" i="1"/>
  <c r="P59" i="1"/>
  <c r="O59" i="1"/>
  <c r="M59" i="1"/>
  <c r="L59" i="1"/>
  <c r="K59" i="1"/>
  <c r="Q58" i="1"/>
  <c r="P58" i="1"/>
  <c r="O58" i="1"/>
  <c r="M58" i="1"/>
  <c r="L58" i="1"/>
  <c r="K58" i="1"/>
  <c r="Q57" i="1"/>
  <c r="P57" i="1"/>
  <c r="O57" i="1"/>
  <c r="M57" i="1"/>
  <c r="L57" i="1"/>
  <c r="K57" i="1"/>
  <c r="Q56" i="1"/>
  <c r="P56" i="1"/>
  <c r="O56" i="1"/>
  <c r="M56" i="1"/>
  <c r="L56" i="1"/>
  <c r="K56" i="1"/>
  <c r="Q55" i="1"/>
  <c r="P55" i="1"/>
  <c r="O55" i="1"/>
  <c r="M55" i="1"/>
  <c r="L55" i="1"/>
  <c r="K55" i="1"/>
  <c r="Q54" i="1"/>
  <c r="P54" i="1"/>
  <c r="O54" i="1"/>
  <c r="M54" i="1"/>
  <c r="L54" i="1"/>
  <c r="K54" i="1"/>
  <c r="Q53" i="1"/>
  <c r="P53" i="1"/>
  <c r="O53" i="1"/>
  <c r="M53" i="1"/>
  <c r="L53" i="1"/>
  <c r="K53" i="1"/>
  <c r="Q52" i="1"/>
  <c r="P52" i="1"/>
  <c r="O52" i="1"/>
  <c r="M52" i="1"/>
  <c r="L52" i="1"/>
  <c r="K52" i="1"/>
  <c r="Q51" i="1"/>
  <c r="P51" i="1"/>
  <c r="O51" i="1"/>
  <c r="M51" i="1"/>
  <c r="L51" i="1"/>
  <c r="K51" i="1"/>
  <c r="Q50" i="1"/>
  <c r="P50" i="1"/>
  <c r="O50" i="1"/>
  <c r="M50" i="1"/>
  <c r="L50" i="1"/>
  <c r="K50" i="1"/>
  <c r="Q49" i="1"/>
  <c r="P49" i="1"/>
  <c r="M49" i="1"/>
  <c r="L49" i="1"/>
  <c r="K49" i="1"/>
  <c r="Q48" i="1"/>
  <c r="P48" i="1"/>
  <c r="O48" i="1"/>
  <c r="M48" i="1"/>
  <c r="L48" i="1"/>
  <c r="K48" i="1"/>
  <c r="Q47" i="1"/>
  <c r="P47" i="1"/>
  <c r="O47" i="1"/>
  <c r="M47" i="1"/>
  <c r="L47" i="1"/>
  <c r="K47" i="1"/>
  <c r="Q46" i="1"/>
  <c r="P46" i="1"/>
  <c r="O46" i="1"/>
  <c r="M46" i="1"/>
  <c r="L46" i="1"/>
  <c r="K46" i="1"/>
  <c r="Q45" i="1"/>
  <c r="P45" i="1"/>
  <c r="M45" i="1"/>
  <c r="L45" i="1"/>
  <c r="K45" i="1"/>
  <c r="Q44" i="1"/>
  <c r="P44" i="1"/>
  <c r="O44" i="1"/>
  <c r="M44" i="1"/>
  <c r="L44" i="1"/>
  <c r="K44" i="1"/>
  <c r="Q43" i="1"/>
  <c r="P43" i="1"/>
  <c r="O43" i="1"/>
  <c r="M43" i="1"/>
  <c r="L43" i="1"/>
  <c r="K43" i="1"/>
  <c r="Q42" i="1"/>
  <c r="P42" i="1"/>
  <c r="M42" i="1"/>
  <c r="L42" i="1"/>
  <c r="K42" i="1"/>
  <c r="Q41" i="1"/>
  <c r="P41" i="1"/>
  <c r="O41" i="1"/>
  <c r="M41" i="1"/>
  <c r="L41" i="1"/>
  <c r="K41" i="1"/>
  <c r="Q40" i="1"/>
  <c r="P40" i="1"/>
  <c r="O40" i="1"/>
  <c r="M40" i="1"/>
  <c r="L40" i="1"/>
  <c r="K40" i="1"/>
  <c r="Q39" i="1"/>
  <c r="P39" i="1"/>
  <c r="O39" i="1"/>
  <c r="M39" i="1"/>
  <c r="L39" i="1"/>
  <c r="K39" i="1"/>
  <c r="Q38" i="1"/>
  <c r="P38" i="1"/>
  <c r="O38" i="1"/>
  <c r="M38" i="1"/>
  <c r="L38" i="1"/>
  <c r="K38" i="1"/>
  <c r="Q37" i="1"/>
  <c r="P37" i="1"/>
  <c r="O37" i="1"/>
  <c r="M37" i="1"/>
  <c r="L37" i="1"/>
  <c r="K37" i="1"/>
  <c r="Q36" i="1"/>
  <c r="P36" i="1"/>
  <c r="M36" i="1"/>
  <c r="L36" i="1"/>
  <c r="K36" i="1"/>
  <c r="Q35" i="1"/>
  <c r="P35" i="1"/>
  <c r="O35" i="1"/>
  <c r="M35" i="1"/>
  <c r="L35" i="1"/>
  <c r="K35" i="1"/>
  <c r="Q34" i="1"/>
  <c r="P34" i="1"/>
  <c r="O34" i="1"/>
  <c r="M34" i="1"/>
  <c r="L34" i="1"/>
  <c r="K34" i="1"/>
  <c r="Q33" i="1"/>
  <c r="P33" i="1"/>
  <c r="O33" i="1"/>
  <c r="M33" i="1"/>
  <c r="L33" i="1"/>
  <c r="K33" i="1"/>
  <c r="Q32" i="1"/>
  <c r="P32" i="1"/>
  <c r="O32" i="1"/>
  <c r="M32" i="1"/>
  <c r="L32" i="1"/>
  <c r="K32" i="1"/>
  <c r="Q31" i="1"/>
  <c r="P31" i="1"/>
  <c r="M31" i="1"/>
  <c r="L31" i="1"/>
  <c r="K31" i="1"/>
  <c r="Q30" i="1"/>
  <c r="P30" i="1"/>
  <c r="O30" i="1"/>
  <c r="M30" i="1"/>
  <c r="L30" i="1"/>
  <c r="K30" i="1"/>
  <c r="Q29" i="1"/>
  <c r="P29" i="1"/>
  <c r="O29" i="1"/>
  <c r="M29" i="1"/>
  <c r="L29" i="1"/>
  <c r="K29" i="1"/>
  <c r="Q28" i="1"/>
  <c r="P28" i="1"/>
  <c r="O28" i="1"/>
  <c r="M28" i="1"/>
  <c r="L28" i="1"/>
  <c r="K28" i="1"/>
  <c r="Q27" i="1"/>
  <c r="P27" i="1"/>
  <c r="O27" i="1"/>
  <c r="M27" i="1"/>
  <c r="L27" i="1"/>
  <c r="K27" i="1"/>
  <c r="Q26" i="1"/>
  <c r="P26" i="1"/>
  <c r="O26" i="1"/>
  <c r="M26" i="1"/>
  <c r="L26" i="1"/>
  <c r="K26" i="1"/>
  <c r="Q25" i="1"/>
  <c r="P25" i="1"/>
  <c r="O25" i="1"/>
  <c r="M25" i="1"/>
  <c r="L25" i="1"/>
  <c r="K25" i="1"/>
  <c r="Q24" i="1"/>
  <c r="P24" i="1"/>
  <c r="O24" i="1"/>
  <c r="M24" i="1"/>
  <c r="L24" i="1"/>
  <c r="K24" i="1"/>
  <c r="Q23" i="1"/>
  <c r="P23" i="1"/>
  <c r="O23" i="1"/>
  <c r="M23" i="1"/>
  <c r="L23" i="1"/>
  <c r="K23" i="1"/>
  <c r="Q22" i="1"/>
  <c r="P22" i="1"/>
  <c r="O22" i="1"/>
  <c r="M22" i="1"/>
  <c r="L22" i="1"/>
  <c r="K22" i="1"/>
  <c r="Q21" i="1"/>
  <c r="P21" i="1"/>
  <c r="O21" i="1"/>
  <c r="M21" i="1"/>
  <c r="L21" i="1"/>
  <c r="K21" i="1"/>
  <c r="Q20" i="1"/>
  <c r="P20" i="1"/>
  <c r="O20" i="1"/>
  <c r="M20" i="1"/>
  <c r="L20" i="1"/>
  <c r="K20" i="1"/>
  <c r="Q19" i="1"/>
  <c r="P19" i="1"/>
  <c r="O19" i="1"/>
  <c r="M19" i="1"/>
  <c r="L19" i="1"/>
  <c r="K19" i="1"/>
  <c r="Q18" i="1"/>
  <c r="P18" i="1"/>
  <c r="O18" i="1"/>
  <c r="M18" i="1"/>
  <c r="L18" i="1"/>
  <c r="K18" i="1"/>
  <c r="Q17" i="1"/>
  <c r="P17" i="1"/>
  <c r="O17" i="1"/>
  <c r="M17" i="1"/>
  <c r="L17" i="1"/>
  <c r="K17" i="1"/>
  <c r="Q16" i="1"/>
  <c r="P16" i="1"/>
  <c r="O16" i="1"/>
  <c r="M16" i="1"/>
  <c r="L16" i="1"/>
  <c r="K16" i="1"/>
  <c r="Q15" i="1"/>
  <c r="P15" i="1"/>
  <c r="O15" i="1"/>
  <c r="M15" i="1"/>
  <c r="L15" i="1"/>
  <c r="K15" i="1"/>
  <c r="Q14" i="1"/>
  <c r="P14" i="1"/>
  <c r="O14" i="1"/>
  <c r="M14" i="1"/>
  <c r="L14" i="1"/>
  <c r="K14" i="1"/>
  <c r="Q13" i="1"/>
  <c r="P13" i="1"/>
  <c r="O13" i="1"/>
  <c r="M13" i="1"/>
  <c r="L13" i="1"/>
  <c r="K13" i="1"/>
  <c r="Q12" i="1"/>
  <c r="P12" i="1"/>
  <c r="M12" i="1"/>
  <c r="L12" i="1"/>
  <c r="K12" i="1"/>
  <c r="Q11" i="1"/>
  <c r="P11" i="1"/>
  <c r="O11" i="1"/>
  <c r="M11" i="1"/>
  <c r="L11" i="1"/>
  <c r="K11" i="1"/>
  <c r="Q10" i="1"/>
  <c r="P10" i="1"/>
  <c r="O10" i="1"/>
  <c r="M10" i="1"/>
  <c r="L10" i="1"/>
  <c r="K10" i="1"/>
  <c r="Q9" i="1"/>
  <c r="P9" i="1"/>
  <c r="O9" i="1"/>
  <c r="M9" i="1"/>
  <c r="L9" i="1"/>
  <c r="K9" i="1"/>
  <c r="Q8" i="1"/>
  <c r="P8" i="1"/>
  <c r="O8" i="1"/>
  <c r="M8" i="1"/>
  <c r="L8" i="1"/>
  <c r="K8" i="1"/>
  <c r="Q7" i="1"/>
  <c r="P7" i="1"/>
  <c r="O7" i="1"/>
  <c r="M7" i="1"/>
  <c r="L7" i="1"/>
  <c r="K7" i="1"/>
  <c r="Q6" i="1"/>
  <c r="P6" i="1"/>
  <c r="O6" i="1"/>
  <c r="M6" i="1"/>
  <c r="L6" i="1"/>
  <c r="K6" i="1"/>
  <c r="Q5" i="1"/>
  <c r="P5" i="1"/>
  <c r="M5" i="1"/>
  <c r="L5" i="1"/>
  <c r="K5" i="1"/>
  <c r="Q4" i="1"/>
  <c r="P4" i="1"/>
  <c r="M4" i="1"/>
  <c r="L4" i="1"/>
  <c r="K4" i="1"/>
  <c r="Q3" i="1"/>
  <c r="P3" i="1"/>
  <c r="O3" i="1"/>
  <c r="M3" i="1"/>
  <c r="L3" i="1"/>
  <c r="K3" i="1"/>
  <c r="Q2" i="1"/>
  <c r="P2" i="1"/>
  <c r="O2" i="1"/>
  <c r="M2" i="1"/>
  <c r="L2" i="1"/>
  <c r="K2" i="1"/>
  <c r="E69" i="83"/>
  <c r="E50" i="83"/>
  <c r="E66" i="83"/>
  <c r="E49" i="83"/>
  <c r="E51" i="83"/>
  <c r="E48" i="83"/>
  <c r="E67" i="83"/>
  <c r="E68" i="83" l="1"/>
</calcChain>
</file>

<file path=xl/sharedStrings.xml><?xml version="1.0" encoding="utf-8"?>
<sst xmlns="http://schemas.openxmlformats.org/spreadsheetml/2006/main" count="5197" uniqueCount="1090">
  <si>
    <t>lead_id</t>
  </si>
  <si>
    <t>lead_type</t>
  </si>
  <si>
    <t>lead_date</t>
  </si>
  <si>
    <t>pre-booking_date</t>
  </si>
  <si>
    <t>booking_date</t>
  </si>
  <si>
    <t>delivery_date</t>
  </si>
  <si>
    <t>cancellation_status</t>
  </si>
  <si>
    <t>cancellation_reason</t>
  </si>
  <si>
    <t>service_follow-up_date</t>
  </si>
  <si>
    <t>tat_pre-booking_(days)</t>
  </si>
  <si>
    <t>tat_booking_(days)</t>
  </si>
  <si>
    <t>tat_delivery_(days)</t>
  </si>
  <si>
    <t>customer_rating</t>
  </si>
  <si>
    <t>L1000</t>
  </si>
  <si>
    <t>Bangalore MBC</t>
  </si>
  <si>
    <t>Warm</t>
  </si>
  <si>
    <t>No</t>
  </si>
  <si>
    <t>Nan</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</si>
  <si>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</si>
  <si>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</si>
  <si>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</si>
  <si>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</si>
  <si>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</si>
  <si>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</si>
  <si>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</si>
  <si>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</si>
  <si>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</si>
  <si>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</si>
  <si>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</si>
  <si>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</si>
  <si>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</si>
  <si>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</si>
  <si>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</si>
  <si>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</si>
  <si>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</si>
  <si>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</si>
  <si>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</si>
  <si>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</si>
  <si>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</si>
  <si>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</si>
  <si>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</si>
  <si>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</si>
  <si>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</si>
  <si>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</si>
  <si>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</si>
  <si>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</si>
  <si>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</si>
  <si>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</si>
  <si>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</si>
  <si>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</si>
  <si>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</si>
  <si>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</si>
  <si>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</si>
  <si>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</si>
  <si>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</si>
  <si>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</si>
  <si>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</si>
  <si>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</si>
  <si>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</si>
  <si>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</si>
  <si>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</si>
  <si>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</si>
  <si>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</si>
  <si>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</si>
  <si>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</si>
  <si>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</si>
  <si>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</si>
  <si>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</si>
  <si>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</si>
  <si>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</si>
  <si>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</si>
  <si>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</si>
  <si>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</si>
  <si>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</si>
  <si>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</si>
  <si>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</si>
  <si>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</si>
  <si>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</si>
  <si>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</si>
  <si>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</si>
  <si>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</si>
  <si>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</si>
  <si>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</si>
  <si>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</si>
  <si>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</si>
  <si>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</si>
  <si>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</si>
  <si>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</si>
  <si>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</si>
  <si>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</si>
  <si>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</si>
  <si>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</si>
  <si>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</si>
  <si>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</si>
  <si>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</si>
  <si>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</si>
  <si>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</si>
  <si>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</si>
  <si>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</si>
  <si>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</si>
  <si>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</si>
  <si>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</si>
  <si>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</si>
  <si>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</si>
  <si>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</si>
  <si>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</si>
  <si>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</si>
  <si>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</si>
  <si>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</si>
  <si>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</si>
  <si>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</si>
  <si>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</si>
  <si>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</si>
  <si>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</si>
  <si>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</si>
  <si>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</si>
  <si>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</si>
  <si>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</si>
  <si>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</si>
  <si>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</si>
  <si>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</si>
  <si>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</si>
  <si>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</si>
  <si>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</si>
  <si>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</si>
  <si>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</si>
  <si>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</si>
  <si>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</si>
  <si>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</si>
  <si>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</si>
  <si>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</si>
  <si>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</si>
  <si>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</si>
  <si>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</si>
  <si>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</si>
  <si>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</si>
  <si>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</si>
  <si>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</si>
  <si>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</si>
  <si>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</si>
  <si>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</si>
  <si>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</si>
  <si>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</si>
  <si>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</si>
  <si>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</si>
  <si>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</si>
  <si>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</si>
  <si>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</si>
  <si>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</si>
  <si>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</si>
  <si>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</si>
  <si>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</si>
  <si>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</si>
  <si>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</si>
  <si>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</si>
  <si>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</si>
  <si>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</si>
  <si>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</si>
  <si>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</si>
  <si>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</si>
  <si>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</si>
  <si>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</si>
  <si>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</si>
  <si>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</si>
  <si>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</si>
  <si>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</si>
  <si>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</si>
  <si>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</si>
  <si>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</si>
  <si>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</si>
  <si>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</si>
  <si>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</si>
  <si>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</si>
  <si>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</si>
  <si>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</si>
  <si>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</si>
  <si>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</si>
  <si>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</si>
  <si>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</si>
  <si>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</si>
  <si>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</si>
  <si>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</si>
  <si>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</si>
  <si>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</si>
  <si>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</si>
  <si>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</si>
  <si>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</si>
  <si>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</si>
  <si>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</si>
  <si>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</si>
  <si>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</si>
  <si>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</si>
  <si>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</si>
  <si>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</si>
  <si>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</si>
  <si>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</si>
  <si>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</si>
  <si>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</si>
  <si>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</si>
  <si>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</si>
  <si>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</si>
  <si>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</si>
  <si>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</si>
  <si>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</si>
  <si>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</si>
  <si>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</si>
  <si>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</si>
  <si>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</si>
  <si>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</si>
  <si>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</si>
  <si>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</si>
  <si>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</si>
  <si>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</si>
  <si>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</si>
  <si>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</si>
  <si>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</si>
  <si>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</si>
  <si>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</si>
  <si>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</si>
  <si>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</si>
  <si>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</si>
  <si>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</si>
  <si>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</si>
  <si>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</si>
  <si>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</si>
  <si>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</si>
  <si>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</si>
  <si>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</si>
  <si>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</si>
  <si>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</si>
  <si>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</si>
  <si>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</si>
  <si>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</si>
  <si>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</si>
  <si>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</si>
  <si>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</si>
  <si>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</si>
  <si>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</si>
  <si>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</si>
  <si>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</si>
  <si>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</si>
  <si>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</si>
  <si>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</si>
  <si>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</si>
  <si>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</si>
  <si>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</si>
  <si>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</si>
  <si>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</si>
  <si>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</si>
  <si>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</si>
  <si>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</si>
  <si>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</si>
  <si>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</si>
  <si>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</si>
  <si>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</si>
  <si>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</si>
  <si>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</si>
  <si>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</si>
  <si>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</si>
  <si>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</si>
  <si>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</si>
  <si>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</si>
  <si>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</si>
  <si>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</si>
  <si>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</si>
  <si>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</si>
  <si>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</si>
  <si>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</si>
  <si>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</si>
  <si>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</si>
  <si>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</si>
  <si>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</si>
  <si>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</si>
  <si>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</si>
  <si>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</si>
  <si>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</si>
  <si>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</si>
  <si>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</si>
  <si>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</si>
  <si>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</si>
  <si>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</si>
  <si>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</si>
  <si>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</si>
  <si>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</si>
  <si>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</si>
  <si>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</si>
  <si>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</si>
  <si>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</si>
  <si>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</si>
  <si>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</si>
  <si>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</si>
  <si>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</si>
  <si>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</si>
  <si>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</si>
  <si>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</si>
  <si>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</si>
  <si>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</si>
  <si>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</si>
  <si>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</si>
  <si>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</si>
  <si>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</si>
  <si>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</si>
  <si>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</si>
  <si>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</si>
  <si>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</si>
  <si>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</si>
  <si>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</si>
  <si>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</si>
  <si>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</si>
  <si>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</si>
  <si>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</si>
  <si>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</si>
  <si>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</si>
  <si>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</si>
  <si>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</si>
  <si>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</si>
  <si>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</si>
  <si>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</si>
  <si>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</si>
  <si>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</si>
  <si>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</si>
  <si>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</si>
  <si>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</si>
  <si>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</si>
  <si>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</si>
  <si>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</si>
  <si>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</si>
  <si>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</si>
  <si>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</si>
  <si>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</si>
  <si>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</si>
  <si>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</si>
  <si>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</si>
  <si>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</si>
  <si>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</si>
  <si>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</si>
  <si>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</si>
  <si>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</si>
  <si>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</si>
  <si>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</si>
  <si>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</si>
  <si>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</si>
  <si>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</si>
  <si>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</si>
  <si>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</si>
  <si>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</si>
  <si>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</si>
  <si>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</si>
  <si>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</si>
  <si>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</si>
  <si>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</si>
  <si>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</si>
  <si>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</si>
  <si>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</si>
  <si>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</si>
  <si>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</si>
  <si>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</si>
  <si>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</si>
  <si>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</si>
  <si>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</si>
  <si>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</si>
  <si>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</si>
  <si>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</si>
  <si>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</si>
  <si>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</si>
  <si>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</si>
  <si>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</si>
  <si>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</si>
  <si>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</si>
  <si>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</si>
  <si>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</si>
  <si>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</si>
  <si>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</si>
  <si>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</si>
  <si>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</si>
  <si>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</si>
  <si>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</si>
  <si>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</si>
  <si>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</si>
  <si>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</si>
  <si>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</si>
  <si>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</si>
  <si>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</si>
  <si>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</si>
  <si>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</si>
  <si>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</si>
  <si>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</si>
  <si>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</si>
  <si>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</si>
  <si>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</si>
  <si>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</si>
  <si>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</si>
  <si>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</si>
  <si>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</si>
  <si>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</si>
  <si>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</si>
  <si>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</si>
  <si>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</si>
  <si>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</si>
  <si>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</si>
  <si>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</si>
  <si>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</si>
  <si>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</si>
  <si>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</si>
  <si>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</si>
  <si>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</si>
  <si>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</si>
  <si>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</si>
  <si>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</si>
  <si>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</si>
  <si>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</si>
  <si>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</si>
  <si>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</si>
  <si>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</si>
  <si>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</si>
  <si>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</si>
  <si>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</si>
  <si>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</si>
  <si>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</si>
  <si>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</si>
  <si>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</si>
  <si>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</si>
  <si>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</si>
  <si>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</si>
  <si>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</si>
  <si>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</si>
  <si>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</si>
  <si>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</si>
  <si>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</si>
  <si>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</si>
  <si>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</si>
  <si>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</si>
  <si>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</si>
  <si>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</si>
  <si>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</si>
  <si>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</si>
  <si>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</si>
  <si>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</si>
  <si>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</si>
  <si>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</si>
  <si>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</si>
  <si>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</si>
  <si>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</si>
  <si>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</si>
  <si>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</si>
  <si>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</si>
  <si>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</si>
  <si>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</si>
  <si>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</si>
  <si>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</si>
  <si>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</si>
  <si>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</si>
  <si>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</si>
  <si>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</si>
  <si>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</si>
  <si>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</si>
  <si>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</si>
  <si>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</si>
  <si>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</si>
  <si>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</si>
  <si>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</si>
  <si>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</si>
  <si>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</si>
  <si>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</si>
  <si>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</si>
  <si>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</si>
  <si>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</si>
  <si>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</si>
  <si>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</si>
  <si>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</si>
  <si>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</si>
  <si>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</si>
  <si>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</si>
  <si>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</si>
  <si>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</si>
  <si>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</si>
  <si>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</si>
  <si>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</si>
  <si>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</si>
  <si>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</si>
  <si>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</si>
  <si>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</si>
  <si>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</si>
  <si>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</si>
  <si>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</si>
  <si>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</si>
  <si>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</si>
  <si>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</si>
  <si>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</si>
  <si>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</si>
  <si>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</si>
  <si>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</si>
  <si>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</si>
  <si>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</si>
  <si>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</si>
  <si>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</si>
  <si>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</si>
  <si>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</si>
  <si>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</si>
  <si>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</si>
  <si>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</si>
  <si>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</si>
  <si>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</si>
  <si>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</si>
  <si>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</si>
  <si>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</si>
  <si>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</si>
  <si>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</si>
  <si>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</si>
  <si>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</si>
  <si>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</si>
  <si>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</si>
  <si>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</si>
  <si>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</si>
  <si>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</si>
  <si>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</si>
  <si>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</si>
  <si>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</si>
  <si>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</si>
  <si>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</si>
  <si>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</si>
  <si>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</si>
  <si>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</si>
  <si>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</si>
  <si>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</si>
  <si>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</si>
  <si>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</si>
  <si>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</si>
  <si>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</si>
  <si>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</si>
  <si>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</si>
  <si>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</si>
  <si>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</si>
  <si>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</si>
  <si>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</si>
  <si>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</si>
  <si>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</si>
  <si>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</si>
  <si>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</si>
  <si>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</si>
  <si>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</si>
  <si>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</si>
  <si>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</si>
  <si>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</si>
  <si>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</si>
  <si>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</si>
  <si>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</si>
  <si>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</si>
  <si>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</si>
  <si>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</si>
  <si>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</si>
  <si>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</si>
  <si>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</si>
  <si>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</si>
  <si>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</si>
  <si>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</si>
  <si>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</si>
  <si>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</si>
  <si>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</si>
  <si>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</si>
  <si>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</si>
  <si>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</si>
  <si>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</si>
  <si>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</si>
  <si>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</si>
  <si>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</si>
  <si>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</si>
  <si>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</si>
  <si>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</si>
  <si>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</si>
  <si>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</si>
  <si>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</si>
  <si>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</si>
  <si>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</si>
  <si>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</si>
  <si>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</si>
  <si>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</si>
  <si>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</si>
  <si>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</si>
  <si>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</si>
  <si>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</si>
  <si>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</si>
  <si>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</si>
  <si>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</si>
  <si>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</si>
  <si>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</si>
  <si>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</si>
  <si>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</si>
  <si>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</si>
  <si>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</si>
  <si>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</si>
  <si>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</si>
  <si>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</si>
  <si>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</si>
  <si>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</si>
  <si>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</si>
  <si>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</si>
  <si>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</si>
  <si>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</si>
  <si>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</si>
  <si>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</si>
  <si>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</si>
  <si>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</si>
  <si>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</si>
  <si>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</si>
  <si>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</si>
  <si>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</si>
  <si>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</si>
  <si>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</si>
  <si>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</si>
  <si>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</si>
  <si>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</si>
  <si>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</si>
  <si>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</si>
  <si>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</si>
  <si>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</si>
  <si>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</si>
  <si>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</si>
  <si>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</si>
  <si>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</si>
  <si>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</si>
  <si>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</si>
  <si>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</si>
  <si>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</si>
  <si>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</si>
  <si>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</si>
  <si>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</si>
  <si>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</si>
  <si>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</si>
  <si>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</si>
  <si>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</si>
  <si>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</si>
  <si>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</si>
  <si>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</si>
  <si>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</si>
  <si>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</si>
  <si>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</si>
  <si>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</si>
  <si>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</si>
  <si>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</si>
  <si>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</si>
  <si>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</si>
  <si>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</si>
  <si>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</si>
  <si>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</si>
  <si>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</si>
  <si>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</si>
  <si>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</si>
  <si>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</si>
  <si>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</si>
  <si>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</si>
  <si>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</si>
  <si>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</si>
  <si>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</si>
  <si>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</si>
  <si>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</si>
  <si>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</si>
  <si>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</si>
  <si>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</si>
  <si>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</si>
  <si>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</si>
  <si>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</si>
  <si>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</si>
  <si>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</si>
  <si>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</si>
  <si>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</si>
  <si>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</si>
  <si>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</si>
  <si>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</si>
  <si>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</si>
  <si>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</si>
  <si>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</si>
  <si>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</si>
  <si>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</si>
  <si>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</si>
  <si>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</si>
  <si>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</si>
  <si>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</si>
  <si>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</si>
  <si>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</si>
  <si>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</si>
  <si>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</si>
  <si>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</si>
  <si>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</si>
  <si>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</si>
  <si>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</si>
  <si>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</si>
  <si>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</si>
  <si>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</si>
  <si>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</si>
  <si>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</si>
  <si>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</si>
  <si>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</si>
  <si>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</si>
  <si>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</si>
  <si>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</si>
  <si>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</si>
  <si>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</si>
  <si>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</si>
  <si>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</si>
  <si>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</si>
  <si>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</si>
  <si>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</si>
  <si>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</si>
  <si>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</si>
  <si>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</si>
  <si>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</si>
  <si>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</si>
  <si>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</si>
  <si>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</si>
  <si>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</si>
  <si>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</si>
  <si>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</si>
  <si>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</si>
  <si>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</si>
  <si>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</si>
  <si>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</si>
  <si>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</si>
  <si>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</si>
  <si>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</si>
  <si>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</si>
  <si>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</si>
  <si>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</si>
  <si>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</si>
  <si>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</si>
  <si>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</si>
  <si>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</si>
  <si>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</si>
  <si>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</si>
  <si>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</si>
  <si>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</si>
  <si>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</si>
  <si>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</si>
  <si>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</si>
  <si>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</si>
  <si>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</si>
  <si>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</si>
  <si>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</si>
  <si>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</si>
  <si>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</si>
  <si>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</si>
  <si>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</si>
  <si>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</si>
  <si>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</si>
  <si>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</si>
  <si>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</si>
  <si>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</si>
  <si>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</si>
  <si>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</si>
  <si>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</si>
  <si>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</si>
  <si>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</si>
  <si>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</si>
  <si>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</si>
  <si>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</si>
  <si>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</si>
  <si>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</si>
  <si>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</si>
  <si>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</si>
  <si>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</si>
  <si>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</si>
  <si>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</si>
  <si>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</si>
  <si>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</si>
  <si>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</si>
  <si>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</si>
  <si>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</si>
  <si>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</si>
  <si>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</si>
  <si>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</si>
  <si>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</si>
  <si>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</si>
  <si>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</si>
  <si>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</si>
  <si>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</si>
  <si>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</si>
  <si>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</si>
  <si>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</si>
  <si>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</si>
  <si>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</si>
  <si>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</si>
  <si>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</si>
  <si>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</si>
  <si>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</si>
  <si>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</si>
  <si>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</si>
  <si>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</si>
  <si>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</si>
  <si>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</si>
  <si>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</si>
  <si>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</si>
  <si>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</si>
  <si>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</si>
  <si>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</si>
  <si>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</si>
  <si>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</si>
  <si>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</si>
  <si>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</si>
  <si>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</si>
  <si>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</si>
  <si>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</si>
  <si>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</si>
  <si>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</si>
  <si>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</si>
  <si>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</si>
  <si>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</si>
  <si>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</si>
  <si>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</si>
  <si>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</si>
  <si>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</si>
  <si>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</si>
  <si>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</si>
  <si>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</si>
  <si>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</si>
  <si>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</si>
  <si>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</si>
  <si>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</si>
  <si>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</si>
  <si>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</si>
  <si>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</si>
  <si>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</si>
  <si>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</si>
  <si>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</si>
  <si>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</si>
  <si>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</si>
  <si>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</si>
  <si>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</si>
  <si>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</si>
  <si>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</si>
  <si>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</si>
  <si>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</si>
  <si>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</si>
  <si>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</si>
  <si>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</si>
  <si>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</si>
  <si>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</si>
  <si>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</si>
  <si>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</si>
  <si>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</si>
  <si>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</si>
  <si>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</si>
  <si>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</si>
  <si>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</si>
  <si>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</si>
  <si>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</si>
  <si>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</si>
  <si>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</si>
  <si>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</si>
  <si>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</si>
  <si>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</si>
  <si>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</si>
  <si>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</si>
  <si>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</si>
  <si>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</si>
  <si>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</si>
  <si>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</si>
  <si>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</si>
  <si>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</si>
  <si>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</si>
  <si>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</si>
  <si>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</si>
  <si>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</si>
  <si>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</si>
  <si>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</si>
  <si>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</si>
  <si>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</si>
  <si>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</si>
  <si>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</si>
  <si>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</si>
  <si>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</si>
  <si>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</si>
  <si>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</si>
  <si>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</si>
  <si>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</si>
  <si>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</si>
  <si>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</si>
  <si>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</si>
  <si>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</si>
  <si>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</si>
  <si>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</si>
  <si>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</si>
  <si>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</si>
  <si>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</si>
  <si>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</si>
  <si>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</si>
  <si>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</si>
  <si>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</si>
  <si>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</si>
  <si>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</si>
  <si>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</si>
  <si>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</si>
  <si>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</si>
  <si>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</si>
  <si>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</si>
  <si>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</si>
  <si>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</si>
  <si>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</si>
  <si>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</si>
  <si>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</si>
  <si>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</si>
  <si>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</si>
  <si>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</si>
  <si>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</si>
  <si>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</si>
  <si>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</si>
  <si>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</si>
  <si>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</si>
  <si>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</si>
  <si>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</si>
  <si>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</si>
  <si>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</si>
  <si>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</si>
  <si>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</si>
  <si>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</si>
  <si>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</si>
  <si>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</si>
  <si>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</si>
  <si>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</si>
  <si>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</si>
  <si>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</si>
  <si>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</si>
  <si>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</si>
  <si>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</si>
  <si>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</si>
  <si>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</si>
  <si>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</si>
  <si>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</si>
  <si>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</si>
  <si>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</si>
  <si>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</si>
  <si>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</si>
  <si>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</si>
  <si>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</si>
  <si>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</si>
  <si>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</si>
  <si>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</si>
  <si>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</si>
  <si>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</si>
  <si>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</si>
  <si>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</si>
  <si>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</si>
  <si>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</si>
  <si>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</si>
  <si>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</si>
  <si>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</si>
  <si>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</si>
  <si>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</si>
  <si>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</si>
  <si>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</si>
  <si>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</si>
  <si>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</si>
  <si>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</si>
  <si>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</si>
  <si>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</si>
  <si>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</si>
  <si>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</si>
  <si>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</si>
  <si>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</si>
  <si>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</si>
  <si>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</si>
  <si>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</si>
  <si>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</si>
  <si>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</si>
  <si>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</si>
  <si>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</si>
  <si>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</si>
  <si>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</si>
  <si>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</si>
  <si>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</si>
  <si>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</si>
  <si>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</si>
  <si>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</si>
  <si>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</si>
  <si>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</si>
  <si>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</si>
  <si>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</si>
  <si>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</si>
  <si>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</si>
  <si>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</si>
  <si>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</si>
  <si>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</si>
  <si>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</si>
  <si>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</si>
  <si>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</si>
  <si>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</si>
  <si>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</si>
  <si>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</si>
  <si>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</si>
  <si>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</si>
  <si>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</si>
  <si>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</si>
  <si>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</si>
  <si>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</si>
  <si>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</si>
  <si>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</si>
  <si>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</si>
  <si>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</si>
  <si>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</si>
  <si>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</si>
  <si>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</si>
  <si>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</si>
  <si>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</si>
  <si>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</si>
  <si>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</si>
  <si>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</si>
  <si>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</si>
  <si>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</si>
  <si>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</si>
  <si>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</si>
  <si>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</si>
  <si>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</si>
  <si>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</si>
  <si>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</si>
  <si>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</si>
  <si>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</si>
  <si>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</si>
  <si>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</si>
  <si>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</si>
  <si>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</si>
  <si>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</si>
  <si>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</si>
  <si>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</si>
  <si>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</si>
  <si>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</si>
  <si>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</si>
  <si>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</si>
  <si>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</si>
  <si>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</si>
  <si>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Others</t>
  </si>
  <si>
    <t>Row Labels</t>
  </si>
  <si>
    <t>Grand Total</t>
  </si>
  <si>
    <t>Sum of total_leads</t>
  </si>
  <si>
    <t>Sum of prebook_count</t>
  </si>
  <si>
    <t>Sum of booking_count</t>
  </si>
  <si>
    <t>Sum of delivery_count</t>
  </si>
  <si>
    <t>Sum of prebook_rate_%</t>
  </si>
  <si>
    <t>Sum of booking_rate_%</t>
  </si>
  <si>
    <t>Sum of delivery_rate_%</t>
  </si>
  <si>
    <t>Sum of count</t>
  </si>
  <si>
    <t>Sum of nps</t>
  </si>
  <si>
    <t>Sum of promoters_pct</t>
  </si>
  <si>
    <t>Sum of detractors_pct</t>
  </si>
  <si>
    <t>Sum of passives_pct</t>
  </si>
  <si>
    <t>Sum of responses</t>
  </si>
  <si>
    <t>Average of avg_days_lead_to_prebooking</t>
  </si>
  <si>
    <t>Average of avg_days_prebooking_to_booking</t>
  </si>
  <si>
    <t>Average of avg_days_booking_to_delivery</t>
  </si>
  <si>
    <t>Tat_day</t>
  </si>
  <si>
    <t>High_Potential</t>
  </si>
  <si>
    <t>Count of lead_id</t>
  </si>
  <si>
    <t>High</t>
  </si>
  <si>
    <t>(All)</t>
  </si>
  <si>
    <t>Average of customer_rating</t>
  </si>
  <si>
    <t>store_name!</t>
  </si>
  <si>
    <t>Average_tat_by_store</t>
  </si>
  <si>
    <t>Column Labels</t>
  </si>
  <si>
    <t>Total Leads</t>
  </si>
  <si>
    <t>Total Deliveries</t>
  </si>
  <si>
    <t>Lead → Delivery Conversion %</t>
  </si>
  <si>
    <t>Avg TAT (Days)</t>
  </si>
  <si>
    <t>Stage</t>
  </si>
  <si>
    <t>Count of pre-booking_date</t>
  </si>
  <si>
    <t>Count of booking_date</t>
  </si>
  <si>
    <t>Count of delivery_date</t>
  </si>
  <si>
    <t>Count of lead_date</t>
  </si>
  <si>
    <t>(blank)</t>
  </si>
  <si>
    <t>Sum of Conversion_rate_booking %</t>
  </si>
  <si>
    <t>Sum of Conversion_rate_of_delivery</t>
  </si>
  <si>
    <t>Coversion_rate_of_stores</t>
  </si>
  <si>
    <t>High_performance_by_store</t>
  </si>
  <si>
    <t>Average of tat_pre-booking_(days)</t>
  </si>
  <si>
    <t>high_performance_lead_by_store_</t>
  </si>
  <si>
    <t>Sum of customer_rating</t>
  </si>
  <si>
    <t>Count of cancellation_reason</t>
  </si>
  <si>
    <t>Cancellation_by_store</t>
  </si>
  <si>
    <t>lead_temp_by_store</t>
  </si>
  <si>
    <t>Category</t>
  </si>
  <si>
    <t>NPS score</t>
  </si>
  <si>
    <t>Helper Table</t>
  </si>
  <si>
    <t>Values</t>
  </si>
  <si>
    <t>Table</t>
  </si>
  <si>
    <t>Leads</t>
  </si>
  <si>
    <t>Pre-Booking</t>
  </si>
  <si>
    <t>Booking</t>
  </si>
  <si>
    <t>Delivery</t>
  </si>
  <si>
    <t>Average of tat_booking_(days)</t>
  </si>
  <si>
    <t>Average of tat_delivery_(days)</t>
  </si>
  <si>
    <t>Sum of Conversion_rate_delivery_date</t>
  </si>
  <si>
    <t>Count of Converion_rate_prebooking</t>
  </si>
  <si>
    <t>https://drive.google.com/drive/folders/1Wu2bhZMX2qMwsWHyDBI85psDawLXPVDF?usp=sharing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</si>
</sst>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Red]0"/>
  </numFmts>
  <fonts count="10">
    <font>
      <sz val="11"/>
      <color theme="1"/>
      <name val="Trebuchet MS"/>
      <family val="2"/>
      <scheme val="minor"/>
    </font>
    <font>
      <b/>
      <sz val="11"/>
      <name val="Calibri"/>
    </font>
    <font>
      <b/>
      <sz val="11"/>
      <name val="Calibri"/>
      <family val="2"/>
    </font>
    <font>
      <b/>
      <sz val="11"/>
      <color theme="1"/>
      <name val="Trebuchet MS"/>
      <family val="2"/>
      <scheme val="minor"/>
    </font>
    <font>
      <sz val="10"/>
      <color theme="1"/>
      <name val="Arial Unicode MS"/>
    </font>
    <font>
      <sz val="8"/>
      <name val="Trebuchet MS"/>
      <family val="2"/>
      <scheme val="minor"/>
    </font>
    <font>
      <sz val="20"/>
      <color theme="1"/>
      <name val="Trebuchet MS"/>
      <family val="2"/>
      <scheme val="minor"/>
    </font>
    <font>
      <sz val="30"/>
      <color theme="1"/>
      <name val="Trebuchet MS"/>
      <family val="2"/>
      <scheme val="minor"/>
    </font>
    <font>
      <u/>
      <sz val="11"/>
      <color theme="10"/>
      <name val="Trebuchet MS"/>
      <family val="2"/>
      <scheme val="minor"/>
    </font>
    <font>
      <sz val="9"/>
      <color theme="1"/>
      <name val="Trebuchet MS"/>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auto="1"/>
      </left>
      <right style="thin">
        <color auto="1"/>
      </right>
      <top/>
      <bottom style="thin">
        <color auto="1"/>
      </bottom>
      <diagonal/>
    </border>
    <border>
      <left/>
      <right/>
      <top/>
      <bottom style="thin">
        <color rgb="FF999999"/>
      </bottom>
      <diagonal/>
    </border>
  </borders>
  <cellStyleXfs count="2">
    <xf numFmtId="0" fontId="0" fillId="0" borderId="0"/>
    <xf numFmtId="0" fontId="8"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14" fontId="0" fillId="0" borderId="0" xfId="0" applyNumberFormat="1"/>
    <xf numFmtId="14" fontId="1" fillId="0" borderId="1" xfId="0" applyNumberFormat="1" applyFont="1" applyBorder="1" applyAlignment="1">
      <alignment horizontal="center" vertical="top"/>
    </xf>
    <xf numFmtId="14" fontId="2" fillId="0" borderId="1" xfId="0" applyNumberFormat="1" applyFont="1" applyBorder="1" applyAlignment="1">
      <alignment horizontal="center" vertical="top"/>
    </xf>
    <xf numFmtId="164" fontId="0" fillId="0" borderId="0" xfId="0" applyNumberFormat="1"/>
    <xf numFmtId="10" fontId="0" fillId="0" borderId="0" xfId="0" applyNumberFormat="1"/>
    <xf numFmtId="0" fontId="0" fillId="2" borderId="0" xfId="0" applyFill="1"/>
    <xf numFmtId="0" fontId="3" fillId="0" borderId="0" xfId="0" applyFont="1"/>
    <xf numFmtId="0" fontId="4" fillId="0" borderId="0" xfId="0" applyFont="1"/>
    <xf numFmtId="0" fontId="0" fillId="0" borderId="0" xfId="0" applyAlignment="1">
      <alignment wrapText="1"/>
    </xf>
    <xf numFmtId="165" fontId="1" fillId="0" borderId="1" xfId="0" applyNumberFormat="1" applyFont="1" applyBorder="1" applyAlignment="1">
      <alignment horizontal="center" vertical="top"/>
    </xf>
    <xf numFmtId="165" fontId="0" fillId="0" borderId="0" xfId="0" quotePrefix="1" applyNumberFormat="1"/>
    <xf numFmtId="165" fontId="0" fillId="0" borderId="0" xfId="0" applyNumberFormat="1"/>
    <xf numFmtId="2" fontId="0" fillId="0" borderId="0" xfId="0" applyNumberFormat="1"/>
    <xf numFmtId="0" fontId="8" fillId="0" borderId="0" xfId="1" applyAlignment="1">
      <alignment horizontal="center"/>
    </xf>
    <xf numFmtId="0" fontId="7" fillId="0" borderId="0" xfId="0" applyFont="1" applyAlignment="1">
      <alignment horizontal="center" vertical="top"/>
    </xf>
    <xf numFmtId="0" fontId="9"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xf>
    <xf numFmtId="0" fontId="3" fillId="0" borderId="2" xfId="0" applyFont="1" applyBorder="1" applyAlignment="1">
      <alignment horizontal="center"/>
    </xf>
    <xf numFmtId="0" fontId="0" fillId="0" borderId="2" xfId="0" applyBorder="1" applyAlignment="1">
      <alignment horizontal="center"/>
    </xf>
    <xf numFmtId="0" fontId="8" fillId="0" borderId="0" xfId="1" applyAlignment="1">
      <alignment horizontal="center"/>
    </xf>
    <xf numFmtId="0" fontId="0" fillId="0" borderId="0" xfId="0" applyNumberFormat="1"/>
  </cellXfs>
  <cellStyles count="2">
    <cellStyle name="Hyperlink" xfId="1" builtinId="8"/>
    <cellStyle name="Normal" xfId="0" builtinId="0"/>
  </cellStyles>
  <dxfs count="77">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165" formatCode="0;[Red]0"/>
    </dxf>
    <dxf>
      <numFmt numFmtId="19" formatCode="dd/mm/yyyy"/>
    </dxf>
    <dxf>
      <numFmt numFmtId="19" formatCode="dd/mm/yyyy"/>
    </dxf>
    <dxf>
      <numFmt numFmtId="19" formatCode="dd/mm/yyyy"/>
    </dxf>
    <dxf>
      <numFmt numFmtId="19" formatCode="dd/mm/yyyy"/>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5.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4.xml"/><Relationship Id="rId27"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[EPe_calculations_and_metrics_final.xlsx]Pivot_Final!PivotTable3</c:name>
    <c:fmtId val="5"/>
  </c:pivotSource>
  <c:chart>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1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
        <c:idx val="11"/>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38100" dist="25400" dir="5400000" rotWithShape="0">
              <a:srgbClr val="000000">
                <a:alpha val="35000"/>
              </a:srgbClr>
            </a:outerShdw>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670149126983324E-2"/>
          <c:y val="0.18856552163614143"/>
          <c:w val="0.4540706207821012"/>
          <c:h val="0.32676693673297458"/>
        </c:manualLayout>
      </c:layout>
      <c:bar3DChart>
        <c:barDir val="col"/>
        <c:grouping val="standard"/>
        <c:varyColors val="0"/>
        <c:ser>
          <c:idx val="0"/>
          <c:order val="0"/>
          <c:tx>
            <c:strRef>
              <c:f>Pivot_Final!$J$84:$J$85</c:f>
              <c:strCache>
                <c:ptCount val="1"/>
                <c:pt idx="0">
                  <c:v>Average of tat_pre-booking_(days)</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a:sp3d/>
          </c:spPr>
          <c:invertIfNegative val="0"/>
          <c:cat>
            <c:strRef>
              <c:f>Pivot_Final!$I$86:$I$91</c:f>
              <c:strCache>
                <c:ptCount val="5"/>
                <c:pt idx="0">
                  <c:v>Bangalore MBC</c:v>
                </c:pt>
                <c:pt idx="1">
                  <c:v>Chennai MBC</c:v>
                </c:pt>
                <c:pt idx="2">
                  <c:v>Delhi MBC</c:v>
                </c:pt>
                <c:pt idx="3">
                  <c:v>Mumbai MBC</c:v>
                </c:pt>
                <c:pt idx="4">
                  <c:v>(blank)</c:v>
                </c:pt>
              </c:strCache>
            </c:strRef>
          </c:cat>
          <c:val>
            <c:numRef>
              <c:f>Pivot_Final!$J$86:$J$91</c:f>
              <c:numCache>
                <c:formatCode>0.0</c:formatCode>
                <c:ptCount val="5"/>
                <c:pt idx="0">
                  <c:v>3.1179245283018866</c:v>
                </c:pt>
                <c:pt idx="1">
                  <c:v>3.1213872832369942</c:v>
                </c:pt>
                <c:pt idx="2">
                  <c:v>3.028436018957346</c:v>
                </c:pt>
                <c:pt idx="3">
                  <c:v>2.9767441860465116</c:v>
                </c:pt>
              </c:numCache>
            </c:numRef>
          </c:val>
          <c:extLst>
            <c:ext xmlns:c16="http://schemas.microsoft.com/office/drawing/2014/chart" uri="{C3380CC4-5D6E-409C-BE32-E72D297353CC}">
              <c16:uniqueId val="{00000004-A0F7-40CB-B931-BDB5FC5D14F1}"/>
            </c:ext>
          </c:extLst>
        </c:ser>
        <c:ser>
          <c:idx val="1"/>
          <c:order val="1"/>
          <c:tx>
            <c:strRef>
              <c:f>Pivot_Final!$K$84:$K$85</c:f>
              <c:strCache>
                <c:ptCount val="1"/>
                <c:pt idx="0">
                  <c:v>Average of tat_booking_(days)</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38100" dist="25400" dir="5400000" rotWithShape="0">
                <a:srgbClr val="000000">
                  <a:alpha val="35000"/>
                </a:srgbClr>
              </a:outerShdw>
            </a:effectLst>
            <a:sp3d/>
          </c:spPr>
          <c:invertIfNegative val="0"/>
          <c:cat>
            <c:strRef>
              <c:f>Pivot_Final!$I$86:$I$91</c:f>
              <c:strCache>
                <c:ptCount val="5"/>
                <c:pt idx="0">
                  <c:v>Bangalore MBC</c:v>
                </c:pt>
                <c:pt idx="1">
                  <c:v>Chennai MBC</c:v>
                </c:pt>
                <c:pt idx="2">
                  <c:v>Delhi MBC</c:v>
                </c:pt>
                <c:pt idx="3">
                  <c:v>Mumbai MBC</c:v>
                </c:pt>
                <c:pt idx="4">
                  <c:v>(blank)</c:v>
                </c:pt>
              </c:strCache>
            </c:strRef>
          </c:cat>
          <c:val>
            <c:numRef>
              <c:f>Pivot_Final!$K$86:$K$91</c:f>
              <c:numCache>
                <c:formatCode>0.0</c:formatCode>
                <c:ptCount val="5"/>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6-A0F7-40CB-B931-BDB5FC5D14F1}"/>
            </c:ext>
          </c:extLst>
        </c:ser>
        <c:ser>
          <c:idx val="2"/>
          <c:order val="2"/>
          <c:tx>
            <c:strRef>
              <c:f>Pivot_Final!$L$84:$L$85</c:f>
              <c:strCache>
                <c:ptCount val="1"/>
                <c:pt idx="0">
                  <c:v>Average of tat_delivery_(days)</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38100" dist="25400" dir="5400000" rotWithShape="0">
                <a:srgbClr val="000000">
                  <a:alpha val="35000"/>
                </a:srgbClr>
              </a:outerShdw>
            </a:effectLst>
            <a:sp3d/>
          </c:spPr>
          <c:invertIfNegative val="0"/>
          <c:cat>
            <c:strRef>
              <c:f>Pivot_Final!$I$86:$I$91</c:f>
              <c:strCache>
                <c:ptCount val="5"/>
                <c:pt idx="0">
                  <c:v>Bangalore MBC</c:v>
                </c:pt>
                <c:pt idx="1">
                  <c:v>Chennai MBC</c:v>
                </c:pt>
                <c:pt idx="2">
                  <c:v>Delhi MBC</c:v>
                </c:pt>
                <c:pt idx="3">
                  <c:v>Mumbai MBC</c:v>
                </c:pt>
                <c:pt idx="4">
                  <c:v>(blank)</c:v>
                </c:pt>
              </c:strCache>
            </c:strRef>
          </c:cat>
          <c:val>
            <c:numRef>
              <c:f>Pivot_Final!$L$86:$L$91</c:f>
              <c:numCache>
                <c:formatCode>0.0</c:formatCode>
                <c:ptCount val="5"/>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8-A0F7-40CB-B931-BDB5FC5D14F1}"/>
            </c:ext>
          </c:extLst>
        </c:ser>
        <c:dLbls>
          <c:showLegendKey val="0"/>
          <c:showVal val="0"/>
          <c:showCatName val="0"/>
          <c:showSerName val="0"/>
          <c:showPercent val="0"/>
          <c:showBubbleSize val="0"/>
        </c:dLbls>
        <c:gapWidth val="150"/>
        <c:shape val="box"/>
        <c:axId val="1929688575"/>
        <c:axId val="1929705375"/>
        <c:axId val="1930477727"/>
      </c:bar3DChart>
      <c:catAx>
        <c:axId val="19296885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9705375"/>
        <c:crosses val="autoZero"/>
        <c:auto val="1"/>
        <c:lblAlgn val="ctr"/>
        <c:lblOffset val="100"/>
        <c:noMultiLvlLbl val="0"/>
      </c:catAx>
      <c:valAx>
        <c:axId val="1929705375"/>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9688575"/>
        <c:crosses val="autoZero"/>
        <c:crossBetween val="between"/>
      </c:valAx>
      <c:serAx>
        <c:axId val="1930477727"/>
        <c:scaling>
          <c:orientation val="minMax"/>
        </c:scaling>
        <c:delete val="1"/>
        <c:axPos val="b"/>
        <c:majorTickMark val="none"/>
        <c:minorTickMark val="none"/>
        <c:tickLblPos val="nextTo"/>
        <c:crossAx val="1929705375"/>
        <c:crosses val="autoZero"/>
      </c:serAx>
      <c:spPr>
        <a:noFill/>
        <a:ln>
          <a:noFill/>
        </a:ln>
        <a:effectLst/>
      </c:spPr>
    </c:plotArea>
    <c:legend>
      <c:legendPos val="r"/>
      <c:layout>
        <c:manualLayout>
          <c:xMode val="edge"/>
          <c:yMode val="edge"/>
          <c:x val="0.63675954965065018"/>
          <c:y val="0.23362927368542064"/>
          <c:w val="0.27038331540517813"/>
          <c:h val="0.452741494623887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[EPe_calculations_and_metrics_final.xlsx]Pivot_Final!PivotTable63</c:name>
    <c:fmtId val="1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3"/>
          </a:solidFill>
          <a:ln w="19050">
            <a:solidFill>
              <a:schemeClr val="lt1"/>
            </a:solidFill>
          </a:ln>
          <a:effectLst/>
        </c:spPr>
      </c:pivotFmt>
      <c:pivotFmt>
        <c:idx val="33"/>
        <c:spPr>
          <a:solidFill>
            <a:schemeClr val="accent4"/>
          </a:solidFill>
          <a:ln w="19050">
            <a:solidFill>
              <a:schemeClr val="lt1"/>
            </a:solidFill>
          </a:ln>
          <a:effectLst/>
        </c:spPr>
      </c:pivotFmt>
      <c:pivotFmt>
        <c:idx val="34"/>
        <c:spPr>
          <a:solidFill>
            <a:schemeClr val="accent5"/>
          </a:solidFill>
          <a:ln w="19050">
            <a:solidFill>
              <a:schemeClr val="lt1"/>
            </a:solidFill>
          </a:ln>
          <a:effectLst/>
        </c:spPr>
      </c:pivotFmt>
      <c:pivotFmt>
        <c:idx val="35"/>
        <c:spPr>
          <a:solidFill>
            <a:schemeClr val="accent6"/>
          </a:solidFill>
          <a:ln w="19050">
            <a:solidFill>
              <a:schemeClr val="lt1"/>
            </a:solidFill>
          </a:ln>
          <a:effectLst/>
        </c:spPr>
      </c:pivotFmt>
    </c:pivotFmts>
    <c:plotArea>
      <c:layout/>
      <c:pieChart>
        <c:varyColors val="1"/>
        <c:ser>
          <c:idx val="0"/>
          <c:order val="0"/>
          <c:tx>
            <c:strRef>
              <c:f>Pivot_Final!$K$26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75B9-43C0-8CCD-08B595EC5D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75B9-43C0-8CCD-08B595EC5D6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2-75B9-43C0-8CCD-08B595EC5D67}"/>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14-75B9-43C0-8CCD-08B595EC5D67}"/>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16-75B9-43C0-8CCD-08B595EC5D67}"/>
              </c:ext>
            </c:extLst>
          </c:dPt>
          <c:dPt>
            <c:idx val="5"/>
            <c:bubble3D val="0"/>
            <c:extLst>
              <c:ext xmlns:c16="http://schemas.microsoft.com/office/drawing/2014/chart" uri="{C3380CC4-5D6E-409C-BE32-E72D297353CC}">
                <c16:uniqueId val="{00000018-75B9-43C0-8CCD-08B595EC5D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Pivot_Final!$J$27:$J$32</c:f>
              <c:strCache>
                <c:ptCount val="5"/>
                <c:pt idx="0">
                  <c:v>Changed Mind</c:v>
                </c:pt>
                <c:pt idx="1">
                  <c:v>Financing Issue</c:v>
                </c:pt>
                <c:pt idx="2">
                  <c:v>Other</c:v>
                </c:pt>
                <c:pt idx="3">
                  <c:v>Others</c:v>
                </c:pt>
                <c:pt idx="4">
                  <c:v>Price</c:v>
                </c:pt>
              </c:strCache>
            </c:strRef>
          </c:cat>
          <c:val>
            <c:numRef>
              <c:f>Pivot_Final!$K$27:$K$32</c:f>
              <c:numCache>
                <c:formatCode>General</c:formatCode>
                <c:ptCount val="5"/>
                <c:pt idx="0">
                  <c:v>51</c:v>
                </c:pt>
                <c:pt idx="1">
                  <c:v>59</c:v>
                </c:pt>
                <c:pt idx="2">
                  <c:v>57</c:v>
                </c:pt>
                <c:pt idx="3">
                  <c:v>43</c:v>
                </c:pt>
                <c:pt idx="4">
                  <c:v>61</c:v>
                </c:pt>
              </c:numCache>
            </c:numRef>
          </c:val>
          <c:extLst>
            <c:ext xmlns:c16="http://schemas.microsoft.com/office/drawing/2014/chart" uri="{C3380CC4-5D6E-409C-BE32-E72D297353CC}">
              <c16:uniqueId val="{00000019-75B9-43C0-8CCD-08B595EC5D67}"/>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[EPe_calculations_and_metrics_final.xlsx]Pivot_Final!PivotTable58</c:name>
    <c:fmtId val="2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Pivot_Final!$D$3</c:f>
              <c:strCache>
                <c:ptCount val="1"/>
                <c:pt idx="0">
                  <c:v>Count of lead_id</c:v>
                </c:pt>
              </c:strCache>
            </c:strRef>
          </c:tx>
          <c:spPr>
            <a:ln w="28575" cap="rnd">
              <a:solidFill>
                <a:schemeClr val="accent1"/>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Pivot_Final!$D$4:$D$8</c:f>
              <c:numCache>
                <c:formatCode>General</c:formatCode>
                <c:ptCount val="4"/>
                <c:pt idx="0">
                  <c:v>263</c:v>
                </c:pt>
                <c:pt idx="1">
                  <c:v>212</c:v>
                </c:pt>
                <c:pt idx="2">
                  <c:v>263</c:v>
                </c:pt>
                <c:pt idx="3">
                  <c:v>262</c:v>
                </c:pt>
              </c:numCache>
            </c:numRef>
          </c:val>
          <c:smooth val="0"/>
          <c:extLst>
            <c:ext xmlns:c16="http://schemas.microsoft.com/office/drawing/2014/chart" uri="{C3380CC4-5D6E-409C-BE32-E72D297353CC}">
              <c16:uniqueId val="{00000000-6339-4B44-8C86-7F15937BC574}"/>
            </c:ext>
          </c:extLst>
        </c:ser>
        <c:ser>
          <c:idx val="1"/>
          <c:order val="1"/>
          <c:tx>
            <c:strRef>
              <c:f>Pivot_Final!$E$3</c:f>
              <c:strCache>
                <c:ptCount val="1"/>
                <c:pt idx="0">
                  <c:v>Count of lead_date</c:v>
                </c:pt>
              </c:strCache>
            </c:strRef>
          </c:tx>
          <c:spPr>
            <a:ln w="28575" cap="rnd">
              <a:solidFill>
                <a:schemeClr val="accent2"/>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Pivot_Final!$E$4:$E$8</c:f>
              <c:numCache>
                <c:formatCode>General</c:formatCode>
                <c:ptCount val="4"/>
                <c:pt idx="0">
                  <c:v>263</c:v>
                </c:pt>
                <c:pt idx="1">
                  <c:v>212</c:v>
                </c:pt>
                <c:pt idx="2">
                  <c:v>262</c:v>
                </c:pt>
                <c:pt idx="3">
                  <c:v>262</c:v>
                </c:pt>
              </c:numCache>
            </c:numRef>
          </c:val>
          <c:smooth val="0"/>
          <c:extLst>
            <c:ext xmlns:c16="http://schemas.microsoft.com/office/drawing/2014/chart" uri="{C3380CC4-5D6E-409C-BE32-E72D297353CC}">
              <c16:uniqueId val="{00000001-6339-4B44-8C86-7F15937BC574}"/>
            </c:ext>
          </c:extLst>
        </c:ser>
        <c:ser>
          <c:idx val="2"/>
          <c:order val="2"/>
          <c:tx>
            <c:strRef>
              <c:f>Pivot_Final!$F$3</c:f>
              <c:strCache>
                <c:ptCount val="1"/>
                <c:pt idx="0">
                  <c:v>Count of pre-booking_date</c:v>
                </c:pt>
              </c:strCache>
            </c:strRef>
          </c:tx>
          <c:spPr>
            <a:ln w="28575" cap="rnd">
              <a:solidFill>
                <a:schemeClr val="accent3"/>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Pivot_Final!$F$4:$F$8</c:f>
              <c:numCache>
                <c:formatCode>General</c:formatCode>
                <c:ptCount val="4"/>
                <c:pt idx="0">
                  <c:v>212</c:v>
                </c:pt>
                <c:pt idx="1">
                  <c:v>173</c:v>
                </c:pt>
                <c:pt idx="2">
                  <c:v>212</c:v>
                </c:pt>
                <c:pt idx="3">
                  <c:v>215</c:v>
                </c:pt>
              </c:numCache>
            </c:numRef>
          </c:val>
          <c:smooth val="0"/>
          <c:extLst>
            <c:ext xmlns:c16="http://schemas.microsoft.com/office/drawing/2014/chart" uri="{C3380CC4-5D6E-409C-BE32-E72D297353CC}">
              <c16:uniqueId val="{00000002-6339-4B44-8C86-7F15937BC574}"/>
            </c:ext>
          </c:extLst>
        </c:ser>
        <c:ser>
          <c:idx val="3"/>
          <c:order val="3"/>
          <c:tx>
            <c:strRef>
              <c:f>Pivot_Final!$G$3</c:f>
              <c:strCache>
                <c:ptCount val="1"/>
                <c:pt idx="0">
                  <c:v>Count of delivery_date</c:v>
                </c:pt>
              </c:strCache>
            </c:strRef>
          </c:tx>
          <c:spPr>
            <a:ln w="28575" cap="rnd">
              <a:solidFill>
                <a:schemeClr val="accent4"/>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Pivot_Final!$G$4:$G$8</c:f>
              <c:numCache>
                <c:formatCode>General</c:formatCode>
                <c:ptCount val="4"/>
                <c:pt idx="0">
                  <c:v>212</c:v>
                </c:pt>
                <c:pt idx="1">
                  <c:v>173</c:v>
                </c:pt>
                <c:pt idx="2">
                  <c:v>212</c:v>
                </c:pt>
                <c:pt idx="3">
                  <c:v>215</c:v>
                </c:pt>
              </c:numCache>
            </c:numRef>
          </c:val>
          <c:smooth val="0"/>
          <c:extLst>
            <c:ext xmlns:c16="http://schemas.microsoft.com/office/drawing/2014/chart" uri="{C3380CC4-5D6E-409C-BE32-E72D297353CC}">
              <c16:uniqueId val="{00000003-6339-4B44-8C86-7F15937BC574}"/>
            </c:ext>
          </c:extLst>
        </c:ser>
        <c:ser>
          <c:idx val="4"/>
          <c:order val="4"/>
          <c:tx>
            <c:strRef>
              <c:f>Pivot_Final!$H$3</c:f>
              <c:strCache>
                <c:ptCount val="1"/>
                <c:pt idx="0">
                  <c:v>Count of Converion_rate_prebooking</c:v>
                </c:pt>
              </c:strCache>
            </c:strRef>
          </c:tx>
          <c:spPr>
            <a:ln w="28575" cap="rnd">
              <a:solidFill>
                <a:schemeClr val="accent5"/>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Pivot_Final!$H$4:$H$8</c:f>
              <c:numCache>
                <c:formatCode>0.0</c:formatCode>
                <c:ptCount val="4"/>
                <c:pt idx="0">
                  <c:v>80.618570385391237</c:v>
                </c:pt>
                <c:pt idx="1">
                  <c:v>81.614516157347893</c:v>
                </c:pt>
                <c:pt idx="2">
                  <c:v>80.927428649989224</c:v>
                </c:pt>
                <c:pt idx="3">
                  <c:v>82.071752300118504</c:v>
                </c:pt>
              </c:numCache>
            </c:numRef>
          </c:val>
          <c:smooth val="0"/>
          <c:extLst>
            <c:ext xmlns:c16="http://schemas.microsoft.com/office/drawing/2014/chart" uri="{C3380CC4-5D6E-409C-BE32-E72D297353CC}">
              <c16:uniqueId val="{00000004-6339-4B44-8C86-7F15937BC574}"/>
            </c:ext>
          </c:extLst>
        </c:ser>
        <c:ser>
          <c:idx val="5"/>
          <c:order val="5"/>
          <c:tx>
            <c:strRef>
              <c:f>Pivot_Final!$I$3</c:f>
              <c:strCache>
                <c:ptCount val="1"/>
                <c:pt idx="0">
                  <c:v>Count of booking_date</c:v>
                </c:pt>
              </c:strCache>
            </c:strRef>
          </c:tx>
          <c:spPr>
            <a:ln w="28575" cap="rnd">
              <a:solidFill>
                <a:schemeClr val="accent6"/>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Pivot_Final!$I$4:$I$8</c:f>
              <c:numCache>
                <c:formatCode>General</c:formatCode>
                <c:ptCount val="4"/>
                <c:pt idx="0">
                  <c:v>212</c:v>
                </c:pt>
                <c:pt idx="1">
                  <c:v>173</c:v>
                </c:pt>
                <c:pt idx="2">
                  <c:v>212</c:v>
                </c:pt>
                <c:pt idx="3">
                  <c:v>215</c:v>
                </c:pt>
              </c:numCache>
            </c:numRef>
          </c:val>
          <c:smooth val="0"/>
          <c:extLst>
            <c:ext xmlns:c16="http://schemas.microsoft.com/office/drawing/2014/chart" uri="{C3380CC4-5D6E-409C-BE32-E72D297353CC}">
              <c16:uniqueId val="{00000000-E7FD-4700-A693-7870685B8C93}"/>
            </c:ext>
          </c:extLst>
        </c:ser>
        <c:ser>
          <c:idx val="6"/>
          <c:order val="6"/>
          <c:tx>
            <c:strRef>
              <c:f>Pivot_Final!$J$3</c:f>
              <c:strCache>
                <c:ptCount val="1"/>
                <c:pt idx="0">
                  <c:v>Sum of Conversion_rate_of_delivery</c:v>
                </c:pt>
              </c:strCache>
            </c:strRef>
          </c:tx>
          <c:spPr>
            <a:ln w="28575" cap="rnd">
              <a:solidFill>
                <a:schemeClr val="accent1">
                  <a:lumMod val="60000"/>
                </a:schemeClr>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Pivot_Final!$J$4:$J$8</c:f>
              <c:numCache>
                <c:formatCode>0.0</c:formatCode>
                <c:ptCount val="4"/>
                <c:pt idx="0">
                  <c:v>80.626489995637186</c:v>
                </c:pt>
                <c:pt idx="1">
                  <c:v>81.62230842193911</c:v>
                </c:pt>
                <c:pt idx="2">
                  <c:v>80.934971421783402</c:v>
                </c:pt>
                <c:pt idx="3">
                  <c:v>82.080017890225989</c:v>
                </c:pt>
              </c:numCache>
            </c:numRef>
          </c:val>
          <c:smooth val="0"/>
          <c:extLst>
            <c:ext xmlns:c16="http://schemas.microsoft.com/office/drawing/2014/chart" uri="{C3380CC4-5D6E-409C-BE32-E72D297353CC}">
              <c16:uniqueId val="{00000001-E7FD-4700-A693-7870685B8C93}"/>
            </c:ext>
          </c:extLst>
        </c:ser>
        <c:ser>
          <c:idx val="7"/>
          <c:order val="7"/>
          <c:tx>
            <c:strRef>
              <c:f>Pivot_Final!$K$3</c:f>
              <c:strCache>
                <c:ptCount val="1"/>
                <c:pt idx="0">
                  <c:v>Sum of Conversion_rate_booking %</c:v>
                </c:pt>
              </c:strCache>
            </c:strRef>
          </c:tx>
          <c:spPr>
            <a:ln w="28575" cap="rnd">
              <a:solidFill>
                <a:schemeClr val="accent2">
                  <a:lumMod val="60000"/>
                </a:schemeClr>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Pivot_Final!$K$4:$K$8</c:f>
              <c:numCache>
                <c:formatCode>0.0</c:formatCode>
                <c:ptCount val="4"/>
                <c:pt idx="0">
                  <c:v>80.618570385391237</c:v>
                </c:pt>
                <c:pt idx="1">
                  <c:v>81.614516157347893</c:v>
                </c:pt>
                <c:pt idx="2">
                  <c:v>80.927428649989224</c:v>
                </c:pt>
                <c:pt idx="3">
                  <c:v>82.071752300118504</c:v>
                </c:pt>
              </c:numCache>
            </c:numRef>
          </c:val>
          <c:smooth val="0"/>
          <c:extLst>
            <c:ext xmlns:c16="http://schemas.microsoft.com/office/drawing/2014/chart" uri="{C3380CC4-5D6E-409C-BE32-E72D297353CC}">
              <c16:uniqueId val="{00000005-E7FD-4700-A693-7870685B8C93}"/>
            </c:ext>
          </c:extLst>
        </c:ser>
        <c:ser>
          <c:idx val="8"/>
          <c:order val="8"/>
          <c:tx>
            <c:strRef>
              <c:f>Pivot_Final!$L$3</c:f>
              <c:strCache>
                <c:ptCount val="1"/>
                <c:pt idx="0">
                  <c:v>Sum of Conversion_rate_delivery_date</c:v>
                </c:pt>
              </c:strCache>
            </c:strRef>
          </c:tx>
          <c:spPr>
            <a:ln w="28575" cap="rnd">
              <a:solidFill>
                <a:schemeClr val="accent3">
                  <a:lumMod val="60000"/>
                </a:schemeClr>
              </a:solidFill>
              <a:round/>
            </a:ln>
            <a:effectLst/>
          </c:spPr>
          <c:marker>
            <c:symbol val="none"/>
          </c:marker>
          <c:cat>
            <c:strRef>
              <c:f>Pivot_Final!$C$4:$C$8</c:f>
              <c:strCache>
                <c:ptCount val="4"/>
                <c:pt idx="0">
                  <c:v>Bangalore MBC</c:v>
                </c:pt>
                <c:pt idx="1">
                  <c:v>Chennai MBC</c:v>
                </c:pt>
                <c:pt idx="2">
                  <c:v>Delhi MBC</c:v>
                </c:pt>
                <c:pt idx="3">
                  <c:v>Mumbai MBC</c:v>
                </c:pt>
              </c:strCache>
            </c:strRef>
          </c:cat>
          <c:val>
            <c:numRef>
              <c:f>Pivot_Final!$L$4:$L$8</c:f>
              <c:numCache>
                <c:formatCode>General</c:formatCode>
                <c:ptCount val="4"/>
                <c:pt idx="0">
                  <c:v>80.626489995637186</c:v>
                </c:pt>
                <c:pt idx="1">
                  <c:v>81.62230842193911</c:v>
                </c:pt>
                <c:pt idx="2">
                  <c:v>80.934971421783402</c:v>
                </c:pt>
                <c:pt idx="3">
                  <c:v>82.080017890225989</c:v>
                </c:pt>
              </c:numCache>
            </c:numRef>
          </c:val>
          <c:smooth val="0"/>
          <c:extLst>
            <c:ext xmlns:c16="http://schemas.microsoft.com/office/drawing/2014/chart" uri="{C3380CC4-5D6E-409C-BE32-E72D297353CC}">
              <c16:uniqueId val="{00000006-E7FD-4700-A693-7870685B8C93}"/>
            </c:ext>
          </c:extLst>
        </c:ser>
        <c:dLbls>
          <c:showLegendKey val="0"/>
          <c:showVal val="0"/>
          <c:showCatName val="0"/>
          <c:showSerName val="0"/>
          <c:showPercent val="0"/>
          <c:showBubbleSize val="0"/>
        </c:dLbls>
        <c:smooth val="0"/>
        <c:axId val="1923498303"/>
        <c:axId val="1923495903"/>
      </c:lineChart>
      <c:catAx>
        <c:axId val="192349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495903"/>
        <c:crosses val="autoZero"/>
        <c:auto val="1"/>
        <c:lblAlgn val="ctr"/>
        <c:lblOffset val="100"/>
        <c:noMultiLvlLbl val="0"/>
      </c:catAx>
      <c:valAx>
        <c:axId val="192349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49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[EPe_calculations_and_metrics_final.xlsx]Pivot_Final!PivotTable76</c:name>
    <c:fmtId val="6"/>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lumMod val="60000"/>
            </a:schemeClr>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2">
              <a:lumMod val="60000"/>
            </a:schemeClr>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3">
              <a:lumMod val="60000"/>
            </a:schemeClr>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4">
              <a:lumMod val="60000"/>
            </a:schemeClr>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5">
              <a:lumMod val="60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Pivot_Final!$K$59:$K$60</c:f>
              <c:strCache>
                <c:ptCount val="1"/>
                <c:pt idx="0">
                  <c:v>0</c:v>
                </c:pt>
              </c:strCache>
            </c:strRef>
          </c:tx>
          <c:spPr>
            <a:solidFill>
              <a:schemeClr val="accent1"/>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Pivot_Final!$K$61:$K$65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C-BBB4-47A8-A3E7-31012222ADC4}"/>
            </c:ext>
          </c:extLst>
        </c:ser>
        <c:ser>
          <c:idx val="1"/>
          <c:order val="1"/>
          <c:tx>
            <c:strRef>
              <c:f>Pivot_Final!$L$59:$L$60</c:f>
              <c:strCache>
                <c:ptCount val="1"/>
                <c:pt idx="0">
                  <c:v>1</c:v>
                </c:pt>
              </c:strCache>
            </c:strRef>
          </c:tx>
          <c:spPr>
            <a:solidFill>
              <a:schemeClr val="accent2"/>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Pivot_Final!$L$61:$L$65</c:f>
              <c:numCache>
                <c:formatCode>General</c:formatCode>
                <c:ptCount val="4"/>
                <c:pt idx="0">
                  <c:v>20</c:v>
                </c:pt>
                <c:pt idx="1">
                  <c:v>18</c:v>
                </c:pt>
                <c:pt idx="2">
                  <c:v>21</c:v>
                </c:pt>
                <c:pt idx="3">
                  <c:v>17</c:v>
                </c:pt>
              </c:numCache>
            </c:numRef>
          </c:val>
          <c:extLst>
            <c:ext xmlns:c16="http://schemas.microsoft.com/office/drawing/2014/chart" uri="{C3380CC4-5D6E-409C-BE32-E72D297353CC}">
              <c16:uniqueId val="{0000000E-BBB4-47A8-A3E7-31012222ADC4}"/>
            </c:ext>
          </c:extLst>
        </c:ser>
        <c:ser>
          <c:idx val="2"/>
          <c:order val="2"/>
          <c:tx>
            <c:strRef>
              <c:f>Pivot_Final!$M$59:$M$60</c:f>
              <c:strCache>
                <c:ptCount val="1"/>
                <c:pt idx="0">
                  <c:v>2</c:v>
                </c:pt>
              </c:strCache>
            </c:strRef>
          </c:tx>
          <c:spPr>
            <a:solidFill>
              <a:schemeClr val="accent3"/>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Pivot_Final!$M$61:$M$65</c:f>
              <c:numCache>
                <c:formatCode>General</c:formatCode>
                <c:ptCount val="4"/>
                <c:pt idx="0">
                  <c:v>52</c:v>
                </c:pt>
                <c:pt idx="1">
                  <c:v>22</c:v>
                </c:pt>
                <c:pt idx="2">
                  <c:v>42</c:v>
                </c:pt>
                <c:pt idx="3">
                  <c:v>50</c:v>
                </c:pt>
              </c:numCache>
            </c:numRef>
          </c:val>
          <c:extLst>
            <c:ext xmlns:c16="http://schemas.microsoft.com/office/drawing/2014/chart" uri="{C3380CC4-5D6E-409C-BE32-E72D297353CC}">
              <c16:uniqueId val="{00000010-BBB4-47A8-A3E7-31012222ADC4}"/>
            </c:ext>
          </c:extLst>
        </c:ser>
        <c:ser>
          <c:idx val="3"/>
          <c:order val="3"/>
          <c:tx>
            <c:strRef>
              <c:f>Pivot_Final!$N$59:$N$60</c:f>
              <c:strCache>
                <c:ptCount val="1"/>
                <c:pt idx="0">
                  <c:v>3</c:v>
                </c:pt>
              </c:strCache>
            </c:strRef>
          </c:tx>
          <c:spPr>
            <a:solidFill>
              <a:schemeClr val="accent4"/>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Pivot_Final!$N$61:$N$65</c:f>
              <c:numCache>
                <c:formatCode>General</c:formatCode>
                <c:ptCount val="4"/>
                <c:pt idx="0">
                  <c:v>75</c:v>
                </c:pt>
                <c:pt idx="1">
                  <c:v>48</c:v>
                </c:pt>
                <c:pt idx="2">
                  <c:v>48</c:v>
                </c:pt>
                <c:pt idx="3">
                  <c:v>60</c:v>
                </c:pt>
              </c:numCache>
            </c:numRef>
          </c:val>
          <c:extLst>
            <c:ext xmlns:c16="http://schemas.microsoft.com/office/drawing/2014/chart" uri="{C3380CC4-5D6E-409C-BE32-E72D297353CC}">
              <c16:uniqueId val="{00000012-BBB4-47A8-A3E7-31012222ADC4}"/>
            </c:ext>
          </c:extLst>
        </c:ser>
        <c:ser>
          <c:idx val="4"/>
          <c:order val="4"/>
          <c:tx>
            <c:strRef>
              <c:f>Pivot_Final!$O$59:$O$60</c:f>
              <c:strCache>
                <c:ptCount val="1"/>
                <c:pt idx="0">
                  <c:v>4</c:v>
                </c:pt>
              </c:strCache>
            </c:strRef>
          </c:tx>
          <c:spPr>
            <a:solidFill>
              <a:schemeClr val="accent5"/>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Pivot_Final!$O$61:$O$65</c:f>
              <c:numCache>
                <c:formatCode>General</c:formatCode>
                <c:ptCount val="4"/>
                <c:pt idx="0">
                  <c:v>68</c:v>
                </c:pt>
                <c:pt idx="1">
                  <c:v>64</c:v>
                </c:pt>
                <c:pt idx="2">
                  <c:v>92</c:v>
                </c:pt>
                <c:pt idx="3">
                  <c:v>96</c:v>
                </c:pt>
              </c:numCache>
            </c:numRef>
          </c:val>
          <c:extLst>
            <c:ext xmlns:c16="http://schemas.microsoft.com/office/drawing/2014/chart" uri="{C3380CC4-5D6E-409C-BE32-E72D297353CC}">
              <c16:uniqueId val="{00000003-221A-4A67-8E64-CFF51B48ED75}"/>
            </c:ext>
          </c:extLst>
        </c:ser>
        <c:ser>
          <c:idx val="5"/>
          <c:order val="5"/>
          <c:tx>
            <c:strRef>
              <c:f>Pivot_Final!$P$59:$P$60</c:f>
              <c:strCache>
                <c:ptCount val="1"/>
                <c:pt idx="0">
                  <c:v>5</c:v>
                </c:pt>
              </c:strCache>
            </c:strRef>
          </c:tx>
          <c:spPr>
            <a:solidFill>
              <a:schemeClr val="accent6"/>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Pivot_Final!$P$61:$P$65</c:f>
              <c:numCache>
                <c:formatCode>General</c:formatCode>
                <c:ptCount val="4"/>
                <c:pt idx="0">
                  <c:v>90</c:v>
                </c:pt>
                <c:pt idx="1">
                  <c:v>65</c:v>
                </c:pt>
                <c:pt idx="2">
                  <c:v>50</c:v>
                </c:pt>
                <c:pt idx="3">
                  <c:v>105</c:v>
                </c:pt>
              </c:numCache>
            </c:numRef>
          </c:val>
          <c:extLst>
            <c:ext xmlns:c16="http://schemas.microsoft.com/office/drawing/2014/chart" uri="{C3380CC4-5D6E-409C-BE32-E72D297353CC}">
              <c16:uniqueId val="{00000004-221A-4A67-8E64-CFF51B48ED75}"/>
            </c:ext>
          </c:extLst>
        </c:ser>
        <c:ser>
          <c:idx val="6"/>
          <c:order val="6"/>
          <c:tx>
            <c:strRef>
              <c:f>Pivot_Final!$Q$59:$Q$60</c:f>
              <c:strCache>
                <c:ptCount val="1"/>
                <c:pt idx="0">
                  <c:v>6</c:v>
                </c:pt>
              </c:strCache>
            </c:strRef>
          </c:tx>
          <c:spPr>
            <a:solidFill>
              <a:schemeClr val="accent1">
                <a:lumMod val="60000"/>
              </a:schemeClr>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Pivot_Final!$Q$61:$Q$65</c:f>
              <c:numCache>
                <c:formatCode>General</c:formatCode>
                <c:ptCount val="4"/>
                <c:pt idx="0">
                  <c:v>114</c:v>
                </c:pt>
                <c:pt idx="1">
                  <c:v>96</c:v>
                </c:pt>
                <c:pt idx="2">
                  <c:v>132</c:v>
                </c:pt>
                <c:pt idx="3">
                  <c:v>138</c:v>
                </c:pt>
              </c:numCache>
            </c:numRef>
          </c:val>
          <c:extLst>
            <c:ext xmlns:c16="http://schemas.microsoft.com/office/drawing/2014/chart" uri="{C3380CC4-5D6E-409C-BE32-E72D297353CC}">
              <c16:uniqueId val="{00000005-221A-4A67-8E64-CFF51B48ED75}"/>
            </c:ext>
          </c:extLst>
        </c:ser>
        <c:ser>
          <c:idx val="7"/>
          <c:order val="7"/>
          <c:tx>
            <c:strRef>
              <c:f>Pivot_Final!$R$59:$R$60</c:f>
              <c:strCache>
                <c:ptCount val="1"/>
                <c:pt idx="0">
                  <c:v>7</c:v>
                </c:pt>
              </c:strCache>
            </c:strRef>
          </c:tx>
          <c:spPr>
            <a:solidFill>
              <a:schemeClr val="accent2">
                <a:lumMod val="60000"/>
              </a:schemeClr>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Pivot_Final!$R$61:$R$65</c:f>
              <c:numCache>
                <c:formatCode>General</c:formatCode>
                <c:ptCount val="4"/>
                <c:pt idx="0">
                  <c:v>98</c:v>
                </c:pt>
                <c:pt idx="1">
                  <c:v>112</c:v>
                </c:pt>
                <c:pt idx="2">
                  <c:v>133</c:v>
                </c:pt>
                <c:pt idx="3">
                  <c:v>140</c:v>
                </c:pt>
              </c:numCache>
            </c:numRef>
          </c:val>
          <c:extLst>
            <c:ext xmlns:c16="http://schemas.microsoft.com/office/drawing/2014/chart" uri="{C3380CC4-5D6E-409C-BE32-E72D297353CC}">
              <c16:uniqueId val="{00000006-221A-4A67-8E64-CFF51B48ED75}"/>
            </c:ext>
          </c:extLst>
        </c:ser>
        <c:ser>
          <c:idx val="8"/>
          <c:order val="8"/>
          <c:tx>
            <c:strRef>
              <c:f>Pivot_Final!$S$59:$S$60</c:f>
              <c:strCache>
                <c:ptCount val="1"/>
                <c:pt idx="0">
                  <c:v>8</c:v>
                </c:pt>
              </c:strCache>
            </c:strRef>
          </c:tx>
          <c:spPr>
            <a:solidFill>
              <a:schemeClr val="accent3">
                <a:lumMod val="60000"/>
              </a:schemeClr>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Pivot_Final!$S$61:$S$65</c:f>
              <c:numCache>
                <c:formatCode>General</c:formatCode>
                <c:ptCount val="4"/>
                <c:pt idx="0">
                  <c:v>160</c:v>
                </c:pt>
                <c:pt idx="1">
                  <c:v>80</c:v>
                </c:pt>
                <c:pt idx="2">
                  <c:v>112</c:v>
                </c:pt>
                <c:pt idx="3">
                  <c:v>144</c:v>
                </c:pt>
              </c:numCache>
            </c:numRef>
          </c:val>
          <c:extLst>
            <c:ext xmlns:c16="http://schemas.microsoft.com/office/drawing/2014/chart" uri="{C3380CC4-5D6E-409C-BE32-E72D297353CC}">
              <c16:uniqueId val="{00000007-221A-4A67-8E64-CFF51B48ED75}"/>
            </c:ext>
          </c:extLst>
        </c:ser>
        <c:ser>
          <c:idx val="9"/>
          <c:order val="9"/>
          <c:tx>
            <c:strRef>
              <c:f>Pivot_Final!$T$59:$T$60</c:f>
              <c:strCache>
                <c:ptCount val="1"/>
                <c:pt idx="0">
                  <c:v>9</c:v>
                </c:pt>
              </c:strCache>
            </c:strRef>
          </c:tx>
          <c:spPr>
            <a:solidFill>
              <a:schemeClr val="accent4">
                <a:lumMod val="60000"/>
              </a:schemeClr>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Pivot_Final!$T$61:$T$65</c:f>
              <c:numCache>
                <c:formatCode>General</c:formatCode>
                <c:ptCount val="4"/>
                <c:pt idx="0">
                  <c:v>135</c:v>
                </c:pt>
                <c:pt idx="1">
                  <c:v>162</c:v>
                </c:pt>
                <c:pt idx="2">
                  <c:v>171</c:v>
                </c:pt>
                <c:pt idx="3">
                  <c:v>126</c:v>
                </c:pt>
              </c:numCache>
            </c:numRef>
          </c:val>
          <c:extLst>
            <c:ext xmlns:c16="http://schemas.microsoft.com/office/drawing/2014/chart" uri="{C3380CC4-5D6E-409C-BE32-E72D297353CC}">
              <c16:uniqueId val="{00000008-221A-4A67-8E64-CFF51B48ED75}"/>
            </c:ext>
          </c:extLst>
        </c:ser>
        <c:ser>
          <c:idx val="10"/>
          <c:order val="10"/>
          <c:tx>
            <c:strRef>
              <c:f>Pivot_Final!$U$59:$U$60</c:f>
              <c:strCache>
                <c:ptCount val="1"/>
                <c:pt idx="0">
                  <c:v>10</c:v>
                </c:pt>
              </c:strCache>
            </c:strRef>
          </c:tx>
          <c:spPr>
            <a:solidFill>
              <a:schemeClr val="accent5">
                <a:lumMod val="60000"/>
              </a:schemeClr>
            </a:solidFill>
            <a:ln>
              <a:noFill/>
            </a:ln>
            <a:effectLst/>
          </c:spPr>
          <c:invertIfNegative val="0"/>
          <c:cat>
            <c:strRef>
              <c:f>Pivot_Final!$J$61:$J$65</c:f>
              <c:strCache>
                <c:ptCount val="4"/>
                <c:pt idx="0">
                  <c:v>Bangalore MBC</c:v>
                </c:pt>
                <c:pt idx="1">
                  <c:v>Chennai MBC</c:v>
                </c:pt>
                <c:pt idx="2">
                  <c:v>Delhi MBC</c:v>
                </c:pt>
                <c:pt idx="3">
                  <c:v>Mumbai MBC</c:v>
                </c:pt>
              </c:strCache>
            </c:strRef>
          </c:cat>
          <c:val>
            <c:numRef>
              <c:f>Pivot_Final!$U$61:$U$65</c:f>
              <c:numCache>
                <c:formatCode>General</c:formatCode>
                <c:ptCount val="4"/>
                <c:pt idx="0">
                  <c:v>80</c:v>
                </c:pt>
                <c:pt idx="1">
                  <c:v>100</c:v>
                </c:pt>
                <c:pt idx="2">
                  <c:v>110</c:v>
                </c:pt>
                <c:pt idx="3">
                  <c:v>90</c:v>
                </c:pt>
              </c:numCache>
            </c:numRef>
          </c:val>
          <c:extLst>
            <c:ext xmlns:c16="http://schemas.microsoft.com/office/drawing/2014/chart" uri="{C3380CC4-5D6E-409C-BE32-E72D297353CC}">
              <c16:uniqueId val="{00000009-221A-4A67-8E64-CFF51B48ED75}"/>
            </c:ext>
          </c:extLst>
        </c:ser>
        <c:dLbls>
          <c:showLegendKey val="0"/>
          <c:showVal val="0"/>
          <c:showCatName val="0"/>
          <c:showSerName val="0"/>
          <c:showPercent val="0"/>
          <c:showBubbleSize val="0"/>
        </c:dLbls>
        <c:gapWidth val="182"/>
        <c:axId val="938490080"/>
        <c:axId val="938484800"/>
      </c:barChart>
      <c:catAx>
        <c:axId val="93849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484800"/>
        <c:crosses val="autoZero"/>
        <c:auto val="1"/>
        <c:lblAlgn val="ctr"/>
        <c:lblOffset val="100"/>
        <c:noMultiLvlLbl val="0"/>
      </c:catAx>
      <c:valAx>
        <c:axId val="93848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49008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[EPe_calculations_and_metrics_final.xlsx]Pivot_Final!PivotTable59</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Pivot_Final!$F$12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08-4BA5-9FAA-F753E8A649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08-4BA5-9FAA-F753E8A6497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08-4BA5-9FAA-F753E8A64974}"/>
              </c:ext>
            </c:extLst>
          </c:dPt>
          <c:cat>
            <c:strRef>
              <c:f>Pivot_Final!$E$13:$E$16</c:f>
              <c:strCache>
                <c:ptCount val="3"/>
                <c:pt idx="0">
                  <c:v>Cold</c:v>
                </c:pt>
                <c:pt idx="1">
                  <c:v>Hot</c:v>
                </c:pt>
                <c:pt idx="2">
                  <c:v>Warm</c:v>
                </c:pt>
              </c:strCache>
            </c:strRef>
          </c:cat>
          <c:val>
            <c:numRef>
              <c:f>Pivot_Final!$F$13:$F$16</c:f>
              <c:numCache>
                <c:formatCode>General</c:formatCode>
                <c:ptCount val="3"/>
                <c:pt idx="0">
                  <c:v>188</c:v>
                </c:pt>
                <c:pt idx="1">
                  <c:v>303</c:v>
                </c:pt>
                <c:pt idx="2">
                  <c:v>509</c:v>
                </c:pt>
              </c:numCache>
            </c:numRef>
          </c:val>
          <c:extLst>
            <c:ext xmlns:c16="http://schemas.microsoft.com/office/drawing/2014/chart" uri="{C3380CC4-5D6E-409C-BE32-E72D297353CC}">
              <c16:uniqueId val="{00000006-FC08-4BA5-9FAA-F753E8A649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IN"/>
              <a:t>Lead conversion funnel by store </a:t>
            </a:r>
            <a:endParaRPr lang="en-US" sz="2000" b="0" i="0" u="none" strike="noStrike" baseline="0">
              <a:solidFill>
                <a:sysClr val="windowText" lastClr="000000">
                  <a:lumMod val="65000"/>
                  <a:lumOff val="35000"/>
                </a:sysClr>
              </a:solidFill>
              <a:latin typeface="Cambria"/>
            </a:endParaRPr>
          </a:p>
        </cx:rich>
      </cx:tx>
    </cx:title>
    <cx:plotArea>
      <cx:plotAreaRegion>
        <cx:series layoutId="funnel" uniqueId="{E4178E00-737B-4E60-9B3A-14711F0E3450}">
          <cx:dataLabels>
            <cx:visibility seriesName="0" categoryName="0" value="1"/>
          </cx:dataLabels>
          <cx:dataId val="0"/>
        </cx:series>
      </cx:plotAreaRegion>
      <cx:axis id="0">
        <cx:catScaling gapWidth="0.0599999987"/>
        <cx:tickLabels/>
      </cx:axis>
    </cx:plotArea>
  </cx:chart>
  <cx:spPr>
    <a:ln>
      <a:solidFill>
        <a:schemeClr val="accent1">
          <a:shade val="15000"/>
        </a:schemeClr>
      </a:solidFill>
    </a:ln>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8">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chart" Target="../charts/chart4.xml"/><Relationship Id="rId2"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2.emf"/><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9</xdr:col>
      <xdr:colOff>117963</xdr:colOff>
      <xdr:row>9</xdr:row>
      <xdr:rowOff>133057</xdr:rowOff>
    </xdr:from>
    <xdr:to>
      <xdr:col>12</xdr:col>
      <xdr:colOff>120161</xdr:colOff>
      <xdr:row>23</xdr:row>
      <xdr:rowOff>143315</xdr:rowOff>
    </xdr:to>
    <mc:AlternateContent xmlns:mc="http://schemas.openxmlformats.org/markup-compatibility/2006" xmlns:a14="http://schemas.microsoft.com/office/drawing/2010/main">
      <mc:Choice Requires="a14">
        <xdr:graphicFrame macro="">
          <xdr:nvGraphicFramePr>
            <xdr:cNvPr id="4" name="store 1">
              <a:extLst>
                <a:ext uri="{FF2B5EF4-FFF2-40B4-BE49-F238E27FC236}">
                  <a16:creationId xmlns:a16="http://schemas.microsoft.com/office/drawing/2014/main" id="{60DBC760-CB43-27EA-8948-5AC61FD2F05B}"/>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12471888" y="1761832"/>
              <a:ext cx="1830998" cy="2543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2</xdr:row>
      <xdr:rowOff>79376</xdr:rowOff>
    </xdr:from>
    <xdr:to>
      <xdr:col>27</xdr:col>
      <xdr:colOff>152400</xdr:colOff>
      <xdr:row>40</xdr:row>
      <xdr:rowOff>0</xdr:rowOff>
    </xdr:to>
    <xdr:sp macro="" textlink="">
      <xdr:nvSpPr>
        <xdr:cNvPr id="2" name="Rectangle: Rounded Corners 1">
          <a:extLst>
            <a:ext uri="{FF2B5EF4-FFF2-40B4-BE49-F238E27FC236}">
              <a16:creationId xmlns:a16="http://schemas.microsoft.com/office/drawing/2014/main" id="{663AD260-C145-A3C6-627C-A69EC6A039BC}"/>
            </a:ext>
          </a:extLst>
        </xdr:cNvPr>
        <xdr:cNvSpPr/>
      </xdr:nvSpPr>
      <xdr:spPr>
        <a:xfrm>
          <a:off x="171450" y="441326"/>
          <a:ext cx="16440150" cy="6797674"/>
        </a:xfrm>
        <a:prstGeom prst="roundRect">
          <a:avLst/>
        </a:prstGeom>
        <a:solidFill>
          <a:schemeClr val="accent1">
            <a:lumMod val="20000"/>
            <a:lumOff val="8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370528</xdr:colOff>
      <xdr:row>4</xdr:row>
      <xdr:rowOff>15240</xdr:rowOff>
    </xdr:from>
    <xdr:to>
      <xdr:col>4</xdr:col>
      <xdr:colOff>9067</xdr:colOff>
      <xdr:row>38</xdr:row>
      <xdr:rowOff>53340</xdr:rowOff>
    </xdr:to>
    <xdr:sp macro="" textlink="">
      <xdr:nvSpPr>
        <xdr:cNvPr id="25" name="Rectangle: Rounded Corners 24">
          <a:extLst>
            <a:ext uri="{FF2B5EF4-FFF2-40B4-BE49-F238E27FC236}">
              <a16:creationId xmlns:a16="http://schemas.microsoft.com/office/drawing/2014/main" id="{72CA86DF-B61E-6147-CB64-22009573CD89}"/>
            </a:ext>
          </a:extLst>
        </xdr:cNvPr>
        <xdr:cNvSpPr/>
      </xdr:nvSpPr>
      <xdr:spPr>
        <a:xfrm>
          <a:off x="370528" y="746760"/>
          <a:ext cx="2076939" cy="62560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100"/>
        </a:p>
      </xdr:txBody>
    </xdr:sp>
    <xdr:clientData/>
  </xdr:twoCellAnchor>
  <xdr:twoCellAnchor>
    <xdr:from>
      <xdr:col>4</xdr:col>
      <xdr:colOff>93711</xdr:colOff>
      <xdr:row>2</xdr:row>
      <xdr:rowOff>97496</xdr:rowOff>
    </xdr:from>
    <xdr:to>
      <xdr:col>15</xdr:col>
      <xdr:colOff>146362</xdr:colOff>
      <xdr:row>5</xdr:row>
      <xdr:rowOff>142988</xdr:rowOff>
    </xdr:to>
    <xdr:sp macro="" textlink="">
      <xdr:nvSpPr>
        <xdr:cNvPr id="3" name="Rectangle: Rounded Corners 2">
          <a:extLst>
            <a:ext uri="{FF2B5EF4-FFF2-40B4-BE49-F238E27FC236}">
              <a16:creationId xmlns:a16="http://schemas.microsoft.com/office/drawing/2014/main" id="{AC067427-D9F0-F80D-7259-118CAB2EE7DC}"/>
            </a:ext>
          </a:extLst>
        </xdr:cNvPr>
        <xdr:cNvSpPr/>
      </xdr:nvSpPr>
      <xdr:spPr>
        <a:xfrm>
          <a:off x="2540697" y="462397"/>
          <a:ext cx="6781862" cy="5928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tx1"/>
              </a:solidFill>
            </a:rPr>
            <a:t>Lead -to-DeliveryFunnel</a:t>
          </a:r>
          <a:r>
            <a:rPr lang="en-IN" sz="1600" baseline="0">
              <a:solidFill>
                <a:schemeClr val="tx1"/>
              </a:solidFill>
            </a:rPr>
            <a:t> Analysis</a:t>
          </a:r>
          <a:endParaRPr lang="en-IN" sz="1600">
            <a:solidFill>
              <a:schemeClr val="tx1"/>
            </a:solidFill>
          </a:endParaRPr>
        </a:p>
      </xdr:txBody>
    </xdr:sp>
    <xdr:clientData/>
  </xdr:twoCellAnchor>
  <xdr:twoCellAnchor editAs="oneCell">
    <xdr:from>
      <xdr:col>21</xdr:col>
      <xdr:colOff>324236</xdr:colOff>
      <xdr:row>2</xdr:row>
      <xdr:rowOff>120342</xdr:rowOff>
    </xdr:from>
    <xdr:to>
      <xdr:col>25</xdr:col>
      <xdr:colOff>315522</xdr:colOff>
      <xdr:row>5</xdr:row>
      <xdr:rowOff>131715</xdr:rowOff>
    </xdr:to>
    <xdr:pic>
      <xdr:nvPicPr>
        <xdr:cNvPr id="16" name="Picture 15">
          <a:extLst>
            <a:ext uri="{FF2B5EF4-FFF2-40B4-BE49-F238E27FC236}">
              <a16:creationId xmlns:a16="http://schemas.microsoft.com/office/drawing/2014/main" id="{F19DEDA6-E1BE-93C2-C746-D30610EF7C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125836" y="482292"/>
          <a:ext cx="2429686" cy="554298"/>
        </a:xfrm>
        <a:prstGeom prst="rect">
          <a:avLst/>
        </a:prstGeom>
        <a:effectLst>
          <a:softEdge rad="12700"/>
        </a:effectLst>
      </xdr:spPr>
    </xdr:pic>
    <xdr:clientData/>
  </xdr:twoCellAnchor>
  <xdr:twoCellAnchor>
    <xdr:from>
      <xdr:col>4</xdr:col>
      <xdr:colOff>87920</xdr:colOff>
      <xdr:row>6</xdr:row>
      <xdr:rowOff>13922</xdr:rowOff>
    </xdr:from>
    <xdr:to>
      <xdr:col>8</xdr:col>
      <xdr:colOff>438149</xdr:colOff>
      <xdr:row>10</xdr:row>
      <xdr:rowOff>48358</xdr:rowOff>
    </xdr:to>
    <xdr:sp macro="" textlink="Pivot_Final!E66">
      <xdr:nvSpPr>
        <xdr:cNvPr id="8" name="Rectangle: Rounded Corners 7">
          <a:extLst>
            <a:ext uri="{FF2B5EF4-FFF2-40B4-BE49-F238E27FC236}">
              <a16:creationId xmlns:a16="http://schemas.microsoft.com/office/drawing/2014/main" id="{97C73187-0B62-4737-B4FA-584CA31DD131}"/>
            </a:ext>
          </a:extLst>
        </xdr:cNvPr>
        <xdr:cNvSpPr/>
      </xdr:nvSpPr>
      <xdr:spPr>
        <a:xfrm>
          <a:off x="2526320" y="1099772"/>
          <a:ext cx="2788629" cy="7583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b="0" i="0" u="none" strike="noStrike">
              <a:solidFill>
                <a:srgbClr val="000000"/>
              </a:solidFill>
              <a:latin typeface="Calibri"/>
              <a:ea typeface="Calibri"/>
              <a:cs typeface="Calibri"/>
            </a:rPr>
            <a:t> </a:t>
          </a:r>
          <a:fld id="{F604205A-8E05-4BB4-95FA-76CB0CB0D0A6}" type="TxLink">
            <a:rPr lang="en-US" sz="1100" b="0" i="0" u="none" strike="noStrike">
              <a:solidFill>
                <a:srgbClr val="000000"/>
              </a:solidFill>
              <a:latin typeface="Calibri"/>
              <a:ea typeface="Calibri"/>
              <a:cs typeface="Calibri"/>
            </a:rPr>
            <a:pPr algn="ctr"/>
            <a:t>1000</a:t>
          </a:fld>
          <a:endParaRPr lang="en-IN" sz="1100"/>
        </a:p>
      </xdr:txBody>
    </xdr:sp>
    <xdr:clientData/>
  </xdr:twoCellAnchor>
  <xdr:twoCellAnchor>
    <xdr:from>
      <xdr:col>8</xdr:col>
      <xdr:colOff>561975</xdr:colOff>
      <xdr:row>6</xdr:row>
      <xdr:rowOff>21948</xdr:rowOff>
    </xdr:from>
    <xdr:to>
      <xdr:col>13</xdr:col>
      <xdr:colOff>190500</xdr:colOff>
      <xdr:row>10</xdr:row>
      <xdr:rowOff>38833</xdr:rowOff>
    </xdr:to>
    <xdr:sp macro="" textlink="#REF!">
      <xdr:nvSpPr>
        <xdr:cNvPr id="15" name="Rectangle: Rounded Corners 14">
          <a:extLst>
            <a:ext uri="{FF2B5EF4-FFF2-40B4-BE49-F238E27FC236}">
              <a16:creationId xmlns:a16="http://schemas.microsoft.com/office/drawing/2014/main" id="{5F34034C-AD00-4872-8671-8154EF865934}"/>
            </a:ext>
          </a:extLst>
        </xdr:cNvPr>
        <xdr:cNvSpPr/>
      </xdr:nvSpPr>
      <xdr:spPr>
        <a:xfrm>
          <a:off x="5438775" y="1107798"/>
          <a:ext cx="2676525" cy="7407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312A79B-1F8E-42CE-967B-7DC73B513991}" type="TxLink">
            <a:rPr lang="en-US" sz="1100" b="0" i="0" u="none" strike="noStrike">
              <a:solidFill>
                <a:srgbClr val="000000"/>
              </a:solidFill>
              <a:latin typeface="Calibri"/>
              <a:ea typeface="Calibri"/>
              <a:cs typeface="Calibri"/>
            </a:rPr>
            <a:pPr algn="ctr"/>
            <a:t>812</a:t>
          </a:fld>
          <a:endParaRPr lang="en-IN" sz="1100"/>
        </a:p>
      </xdr:txBody>
    </xdr:sp>
    <xdr:clientData/>
  </xdr:twoCellAnchor>
  <xdr:twoCellAnchor>
    <xdr:from>
      <xdr:col>13</xdr:col>
      <xdr:colOff>495300</xdr:colOff>
      <xdr:row>6</xdr:row>
      <xdr:rowOff>38101</xdr:rowOff>
    </xdr:from>
    <xdr:to>
      <xdr:col>20</xdr:col>
      <xdr:colOff>152399</xdr:colOff>
      <xdr:row>10</xdr:row>
      <xdr:rowOff>20321</xdr:rowOff>
    </xdr:to>
    <xdr:sp macro="" textlink="Pivot_Final!E68">
      <xdr:nvSpPr>
        <xdr:cNvPr id="17" name="Rectangle: Rounded Corners 16">
          <a:extLst>
            <a:ext uri="{FF2B5EF4-FFF2-40B4-BE49-F238E27FC236}">
              <a16:creationId xmlns:a16="http://schemas.microsoft.com/office/drawing/2014/main" id="{93ECB5EC-743A-411D-80C5-48C6B92C87FD}"/>
            </a:ext>
          </a:extLst>
        </xdr:cNvPr>
        <xdr:cNvSpPr/>
      </xdr:nvSpPr>
      <xdr:spPr>
        <a:xfrm>
          <a:off x="8420100" y="1123951"/>
          <a:ext cx="3924299" cy="706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36CA607-8D94-4A5F-A561-3C0ADBBCEB06}" type="TxLink">
            <a:rPr lang="en-US" sz="1100" b="0" i="0" u="none" strike="noStrike">
              <a:solidFill>
                <a:srgbClr val="000000"/>
              </a:solidFill>
              <a:latin typeface="Calibri"/>
              <a:ea typeface="Calibri"/>
              <a:cs typeface="Calibri"/>
            </a:rPr>
            <a:pPr algn="ctr"/>
            <a:t>81.28128128</a:t>
          </a:fld>
          <a:endParaRPr lang="en-IN" sz="1100"/>
        </a:p>
      </xdr:txBody>
    </xdr:sp>
    <xdr:clientData/>
  </xdr:twoCellAnchor>
  <xdr:twoCellAnchor>
    <xdr:from>
      <xdr:col>20</xdr:col>
      <xdr:colOff>358328</xdr:colOff>
      <xdr:row>6</xdr:row>
      <xdr:rowOff>49190</xdr:rowOff>
    </xdr:from>
    <xdr:to>
      <xdr:col>26</xdr:col>
      <xdr:colOff>514782</xdr:colOff>
      <xdr:row>10</xdr:row>
      <xdr:rowOff>635</xdr:rowOff>
    </xdr:to>
    <xdr:sp macro="" textlink="#REF!">
      <xdr:nvSpPr>
        <xdr:cNvPr id="18" name="Rectangle: Rounded Corners 17">
          <a:extLst>
            <a:ext uri="{FF2B5EF4-FFF2-40B4-BE49-F238E27FC236}">
              <a16:creationId xmlns:a16="http://schemas.microsoft.com/office/drawing/2014/main" id="{F23677CD-72EA-4F2E-A2F9-37AEAA32D622}"/>
            </a:ext>
          </a:extLst>
        </xdr:cNvPr>
        <xdr:cNvSpPr/>
      </xdr:nvSpPr>
      <xdr:spPr>
        <a:xfrm>
          <a:off x="12593258" y="1143894"/>
          <a:ext cx="3826932" cy="6812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29FE61D-31B5-4026-A5DC-8AA46F7730D1}" type="TxLink">
            <a:rPr lang="en-US" sz="1100" b="0" i="0" u="none" strike="noStrike">
              <a:solidFill>
                <a:srgbClr val="000000"/>
              </a:solidFill>
              <a:latin typeface="Calibri"/>
              <a:ea typeface="Calibri"/>
              <a:cs typeface="Calibri"/>
            </a:rPr>
            <a:pPr algn="ctr"/>
            <a:t>10.59</a:t>
          </a:fld>
          <a:endParaRPr lang="en-IN" sz="1100"/>
        </a:p>
      </xdr:txBody>
    </xdr:sp>
    <xdr:clientData/>
  </xdr:twoCellAnchor>
  <xdr:twoCellAnchor editAs="oneCell">
    <xdr:from>
      <xdr:col>0</xdr:col>
      <xdr:colOff>451711</xdr:colOff>
      <xdr:row>5</xdr:row>
      <xdr:rowOff>127243</xdr:rowOff>
    </xdr:from>
    <xdr:to>
      <xdr:col>4</xdr:col>
      <xdr:colOff>3256</xdr:colOff>
      <xdr:row>11</xdr:row>
      <xdr:rowOff>44875</xdr:rowOff>
    </xdr:to>
    <mc:AlternateContent xmlns:mc="http://schemas.openxmlformats.org/markup-compatibility/2006" xmlns:a14="http://schemas.microsoft.com/office/drawing/2010/main">
      <mc:Choice Requires="a14">
        <xdr:graphicFrame macro="">
          <xdr:nvGraphicFramePr>
            <xdr:cNvPr id="10" name="store_name!">
              <a:extLst>
                <a:ext uri="{FF2B5EF4-FFF2-40B4-BE49-F238E27FC236}">
                  <a16:creationId xmlns:a16="http://schemas.microsoft.com/office/drawing/2014/main" id="{0843AC6B-3204-416E-ACE5-D3BD55FB89A3}"/>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451711" y="1032118"/>
              <a:ext cx="1989945" cy="1003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107462</xdr:colOff>
      <xdr:row>10</xdr:row>
      <xdr:rowOff>137386</xdr:rowOff>
    </xdr:from>
    <xdr:to>
      <xdr:col>10</xdr:col>
      <xdr:colOff>520854</xdr:colOff>
      <xdr:row>22</xdr:row>
      <xdr:rowOff>175260</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77A119A6-3578-46E0-BE54-C9F4925145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45862" y="1966186"/>
              <a:ext cx="4070992" cy="22324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571500</xdr:colOff>
      <xdr:row>10</xdr:row>
      <xdr:rowOff>107950</xdr:rowOff>
    </xdr:from>
    <xdr:to>
      <xdr:col>19</xdr:col>
      <xdr:colOff>378460</xdr:colOff>
      <xdr:row>22</xdr:row>
      <xdr:rowOff>125730</xdr:rowOff>
    </xdr:to>
    <xdr:graphicFrame macro="">
      <xdr:nvGraphicFramePr>
        <xdr:cNvPr id="4" name="Chart 3">
          <a:extLst>
            <a:ext uri="{FF2B5EF4-FFF2-40B4-BE49-F238E27FC236}">
              <a16:creationId xmlns:a16="http://schemas.microsoft.com/office/drawing/2014/main" id="{31CCCEC3-0C32-4FE3-B0F8-BC467F4DC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468922</xdr:colOff>
      <xdr:row>11</xdr:row>
      <xdr:rowOff>107463</xdr:rowOff>
    </xdr:from>
    <xdr:to>
      <xdr:col>3</xdr:col>
      <xdr:colOff>595922</xdr:colOff>
      <xdr:row>15</xdr:row>
      <xdr:rowOff>19539</xdr:rowOff>
    </xdr:to>
    <mc:AlternateContent xmlns:mc="http://schemas.openxmlformats.org/markup-compatibility/2006" xmlns:a14="http://schemas.microsoft.com/office/drawing/2010/main">
      <mc:Choice Requires="a14">
        <xdr:graphicFrame macro="">
          <xdr:nvGraphicFramePr>
            <xdr:cNvPr id="5" name="lead_type">
              <a:extLst>
                <a:ext uri="{FF2B5EF4-FFF2-40B4-BE49-F238E27FC236}">
                  <a16:creationId xmlns:a16="http://schemas.microsoft.com/office/drawing/2014/main" id="{2AA3BF4B-8DA6-4172-AF66-2CB6D15D02CF}"/>
                </a:ext>
              </a:extLst>
            </xdr:cNvPr>
            <xdr:cNvGraphicFramePr/>
          </xdr:nvGraphicFramePr>
          <xdr:xfrm>
            <a:off x="0" y="0"/>
            <a:ext cx="0" cy="0"/>
          </xdr:xfrm>
          <a:graphic>
            <a:graphicData uri="http://schemas.microsoft.com/office/drawing/2010/slicer">
              <sle:slicer xmlns:sle="http://schemas.microsoft.com/office/drawing/2010/slicer" name="lead_type"/>
            </a:graphicData>
          </a:graphic>
        </xdr:graphicFrame>
      </mc:Choice>
      <mc:Fallback xmlns="">
        <xdr:sp macro="" textlink="">
          <xdr:nvSpPr>
            <xdr:cNvPr id="0" name=""/>
            <xdr:cNvSpPr>
              <a:spLocks noTextEdit="1"/>
            </xdr:cNvSpPr>
          </xdr:nvSpPr>
          <xdr:spPr>
            <a:xfrm>
              <a:off x="468922" y="2111854"/>
              <a:ext cx="1965739" cy="640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110783</xdr:colOff>
      <xdr:row>23</xdr:row>
      <xdr:rowOff>43179</xdr:rowOff>
    </xdr:from>
    <xdr:to>
      <xdr:col>11</xdr:col>
      <xdr:colOff>137160</xdr:colOff>
      <xdr:row>38</xdr:row>
      <xdr:rowOff>144780</xdr:rowOff>
    </xdr:to>
    <xdr:graphicFrame macro="">
      <xdr:nvGraphicFramePr>
        <xdr:cNvPr id="6" name="Chart 5">
          <a:extLst>
            <a:ext uri="{FF2B5EF4-FFF2-40B4-BE49-F238E27FC236}">
              <a16:creationId xmlns:a16="http://schemas.microsoft.com/office/drawing/2014/main" id="{AAA55F98-D8B4-4395-846D-642B0F62F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478692</xdr:colOff>
      <xdr:row>15</xdr:row>
      <xdr:rowOff>97692</xdr:rowOff>
    </xdr:from>
    <xdr:to>
      <xdr:col>3</xdr:col>
      <xdr:colOff>556846</xdr:colOff>
      <xdr:row>27</xdr:row>
      <xdr:rowOff>121920</xdr:rowOff>
    </xdr:to>
    <mc:AlternateContent xmlns:mc="http://schemas.openxmlformats.org/markup-compatibility/2006" xmlns:a14="http://schemas.microsoft.com/office/drawing/2010/main">
      <mc:Choice Requires="a14">
        <xdr:graphicFrame macro="">
          <xdr:nvGraphicFramePr>
            <xdr:cNvPr id="7" name="lead_date 1">
              <a:extLst>
                <a:ext uri="{FF2B5EF4-FFF2-40B4-BE49-F238E27FC236}">
                  <a16:creationId xmlns:a16="http://schemas.microsoft.com/office/drawing/2014/main" id="{E77ED1B0-929A-4116-B8DA-9B3C12608727}"/>
                </a:ext>
              </a:extLst>
            </xdr:cNvPr>
            <xdr:cNvGraphicFramePr/>
          </xdr:nvGraphicFramePr>
          <xdr:xfrm>
            <a:off x="0" y="0"/>
            <a:ext cx="0" cy="0"/>
          </xdr:xfrm>
          <a:graphic>
            <a:graphicData uri="http://schemas.microsoft.com/office/drawing/2010/slicer">
              <sle:slicer xmlns:sle="http://schemas.microsoft.com/office/drawing/2010/slicer" name="lead_date 1"/>
            </a:graphicData>
          </a:graphic>
        </xdr:graphicFrame>
      </mc:Choice>
      <mc:Fallback xmlns="">
        <xdr:sp macro="" textlink="">
          <xdr:nvSpPr>
            <xdr:cNvPr id="0" name=""/>
            <xdr:cNvSpPr>
              <a:spLocks noTextEdit="1"/>
            </xdr:cNvSpPr>
          </xdr:nvSpPr>
          <xdr:spPr>
            <a:xfrm>
              <a:off x="478692" y="2830953"/>
              <a:ext cx="1916893" cy="2210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439586</xdr:colOff>
      <xdr:row>28</xdr:row>
      <xdr:rowOff>52493</xdr:rowOff>
    </xdr:from>
    <xdr:to>
      <xdr:col>3</xdr:col>
      <xdr:colOff>565064</xdr:colOff>
      <xdr:row>34</xdr:row>
      <xdr:rowOff>161463</xdr:rowOff>
    </xdr:to>
    <mc:AlternateContent xmlns:mc="http://schemas.openxmlformats.org/markup-compatibility/2006" xmlns:a14="http://schemas.microsoft.com/office/drawing/2010/main">
      <mc:Choice Requires="a14">
        <xdr:graphicFrame macro="">
          <xdr:nvGraphicFramePr>
            <xdr:cNvPr id="13" name="cancellation_status 4">
              <a:extLst>
                <a:ext uri="{FF2B5EF4-FFF2-40B4-BE49-F238E27FC236}">
                  <a16:creationId xmlns:a16="http://schemas.microsoft.com/office/drawing/2014/main" id="{38FB5E44-4421-443C-A674-E342F90B562E}"/>
                </a:ext>
              </a:extLst>
            </xdr:cNvPr>
            <xdr:cNvGraphicFramePr/>
          </xdr:nvGraphicFramePr>
          <xdr:xfrm>
            <a:off x="0" y="0"/>
            <a:ext cx="0" cy="0"/>
          </xdr:xfrm>
          <a:graphic>
            <a:graphicData uri="http://schemas.microsoft.com/office/drawing/2010/slicer">
              <sle:slicer xmlns:sle="http://schemas.microsoft.com/office/drawing/2010/slicer" name="cancellation_status 4"/>
            </a:graphicData>
          </a:graphic>
        </xdr:graphicFrame>
      </mc:Choice>
      <mc:Fallback xmlns="">
        <xdr:sp macro="" textlink="">
          <xdr:nvSpPr>
            <xdr:cNvPr id="0" name=""/>
            <xdr:cNvSpPr>
              <a:spLocks noTextEdit="1"/>
            </xdr:cNvSpPr>
          </xdr:nvSpPr>
          <xdr:spPr>
            <a:xfrm>
              <a:off x="439586" y="5119793"/>
              <a:ext cx="1954278" cy="1194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216466</xdr:colOff>
      <xdr:row>23</xdr:row>
      <xdr:rowOff>57533</xdr:rowOff>
    </xdr:from>
    <xdr:to>
      <xdr:col>19</xdr:col>
      <xdr:colOff>296841</xdr:colOff>
      <xdr:row>39</xdr:row>
      <xdr:rowOff>19050</xdr:rowOff>
    </xdr:to>
    <xdr:graphicFrame macro="">
      <xdr:nvGraphicFramePr>
        <xdr:cNvPr id="21" name="Chart 20">
          <a:extLst>
            <a:ext uri="{FF2B5EF4-FFF2-40B4-BE49-F238E27FC236}">
              <a16:creationId xmlns:a16="http://schemas.microsoft.com/office/drawing/2014/main" id="{E1A8E573-C787-48E9-B54C-84D1DB644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552450</xdr:colOff>
      <xdr:row>6</xdr:row>
      <xdr:rowOff>66674</xdr:rowOff>
    </xdr:from>
    <xdr:to>
      <xdr:col>12</xdr:col>
      <xdr:colOff>304800</xdr:colOff>
      <xdr:row>8</xdr:row>
      <xdr:rowOff>76199</xdr:rowOff>
    </xdr:to>
    <xdr:sp macro="" textlink="">
      <xdr:nvSpPr>
        <xdr:cNvPr id="9" name="TextBox 8">
          <a:extLst>
            <a:ext uri="{FF2B5EF4-FFF2-40B4-BE49-F238E27FC236}">
              <a16:creationId xmlns:a16="http://schemas.microsoft.com/office/drawing/2014/main" id="{51CD4E21-C8E1-7158-0F8A-75ACDEBAA55E}"/>
            </a:ext>
          </a:extLst>
        </xdr:cNvPr>
        <xdr:cNvSpPr txBox="1"/>
      </xdr:nvSpPr>
      <xdr:spPr>
        <a:xfrm>
          <a:off x="6038850" y="1152524"/>
          <a:ext cx="1581150" cy="371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u="none"/>
            <a:t>Total</a:t>
          </a:r>
          <a:r>
            <a:rPr lang="en-IN" sz="1400" b="1" u="none" baseline="0"/>
            <a:t> Deliveries</a:t>
          </a:r>
          <a:endParaRPr lang="en-IN" sz="1400" b="1" u="none"/>
        </a:p>
      </xdr:txBody>
    </xdr:sp>
    <xdr:clientData/>
  </xdr:twoCellAnchor>
  <xdr:oneCellAnchor>
    <xdr:from>
      <xdr:col>5</xdr:col>
      <xdr:colOff>295275</xdr:colOff>
      <xdr:row>6</xdr:row>
      <xdr:rowOff>104775</xdr:rowOff>
    </xdr:from>
    <xdr:ext cx="1285875" cy="315727"/>
    <xdr:sp macro="" textlink="">
      <xdr:nvSpPr>
        <xdr:cNvPr id="11" name="TextBox 10">
          <a:extLst>
            <a:ext uri="{FF2B5EF4-FFF2-40B4-BE49-F238E27FC236}">
              <a16:creationId xmlns:a16="http://schemas.microsoft.com/office/drawing/2014/main" id="{40CDD8BA-E215-5B53-DC40-30B4D4B161DF}"/>
            </a:ext>
          </a:extLst>
        </xdr:cNvPr>
        <xdr:cNvSpPr txBox="1"/>
      </xdr:nvSpPr>
      <xdr:spPr>
        <a:xfrm>
          <a:off x="3343275" y="1190625"/>
          <a:ext cx="1285875" cy="31572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500" b="1">
              <a:solidFill>
                <a:schemeClr val="tx1"/>
              </a:solidFill>
            </a:rPr>
            <a:t>Total Leads</a:t>
          </a:r>
        </a:p>
      </xdr:txBody>
    </xdr:sp>
    <xdr:clientData/>
  </xdr:oneCellAnchor>
  <xdr:twoCellAnchor>
    <xdr:from>
      <xdr:col>22</xdr:col>
      <xdr:colOff>209550</xdr:colOff>
      <xdr:row>6</xdr:row>
      <xdr:rowOff>85725</xdr:rowOff>
    </xdr:from>
    <xdr:to>
      <xdr:col>25</xdr:col>
      <xdr:colOff>28574</xdr:colOff>
      <xdr:row>8</xdr:row>
      <xdr:rowOff>76201</xdr:rowOff>
    </xdr:to>
    <xdr:sp macro="" textlink="">
      <xdr:nvSpPr>
        <xdr:cNvPr id="12" name="TextBox 11">
          <a:extLst>
            <a:ext uri="{FF2B5EF4-FFF2-40B4-BE49-F238E27FC236}">
              <a16:creationId xmlns:a16="http://schemas.microsoft.com/office/drawing/2014/main" id="{D9CE579F-C26C-4FB8-9093-0B81A465CF31}"/>
            </a:ext>
          </a:extLst>
        </xdr:cNvPr>
        <xdr:cNvSpPr txBox="1"/>
      </xdr:nvSpPr>
      <xdr:spPr>
        <a:xfrm>
          <a:off x="13620750" y="1171575"/>
          <a:ext cx="1647824" cy="352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u="none"/>
            <a:t>Avg</a:t>
          </a:r>
          <a:r>
            <a:rPr lang="en-IN" sz="1400" b="1" u="none" baseline="0"/>
            <a:t> Tat</a:t>
          </a:r>
          <a:endParaRPr lang="en-IN" sz="1400" b="1" u="none"/>
        </a:p>
      </xdr:txBody>
    </xdr:sp>
    <xdr:clientData/>
  </xdr:twoCellAnchor>
  <xdr:twoCellAnchor>
    <xdr:from>
      <xdr:col>14</xdr:col>
      <xdr:colOff>440028</xdr:colOff>
      <xdr:row>6</xdr:row>
      <xdr:rowOff>85725</xdr:rowOff>
    </xdr:from>
    <xdr:to>
      <xdr:col>19</xdr:col>
      <xdr:colOff>150253</xdr:colOff>
      <xdr:row>8</xdr:row>
      <xdr:rowOff>96591</xdr:rowOff>
    </xdr:to>
    <xdr:sp macro="" textlink="">
      <xdr:nvSpPr>
        <xdr:cNvPr id="14" name="TextBox 13">
          <a:extLst>
            <a:ext uri="{FF2B5EF4-FFF2-40B4-BE49-F238E27FC236}">
              <a16:creationId xmlns:a16="http://schemas.microsoft.com/office/drawing/2014/main" id="{B188ABBB-BDA5-4993-A5EA-6EECAB763E03}"/>
            </a:ext>
          </a:extLst>
        </xdr:cNvPr>
        <xdr:cNvSpPr txBox="1"/>
      </xdr:nvSpPr>
      <xdr:spPr>
        <a:xfrm>
          <a:off x="9004479" y="1180429"/>
          <a:ext cx="2768957" cy="3757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u="none"/>
            <a:t>Lead-&gt;</a:t>
          </a:r>
          <a:r>
            <a:rPr lang="en-IN" sz="1400" b="1" u="none" baseline="0"/>
            <a:t> Delivery conversion%</a:t>
          </a:r>
          <a:endParaRPr lang="en-IN" sz="1400" b="1" u="none"/>
        </a:p>
      </xdr:txBody>
    </xdr:sp>
    <xdr:clientData/>
  </xdr:twoCellAnchor>
  <xdr:twoCellAnchor>
    <xdr:from>
      <xdr:col>10</xdr:col>
      <xdr:colOff>571499</xdr:colOff>
      <xdr:row>20</xdr:row>
      <xdr:rowOff>133350</xdr:rowOff>
    </xdr:from>
    <xdr:to>
      <xdr:col>19</xdr:col>
      <xdr:colOff>371475</xdr:colOff>
      <xdr:row>22</xdr:row>
      <xdr:rowOff>123826</xdr:rowOff>
    </xdr:to>
    <xdr:sp macro="" textlink="">
      <xdr:nvSpPr>
        <xdr:cNvPr id="22" name="TextBox 21">
          <a:extLst>
            <a:ext uri="{FF2B5EF4-FFF2-40B4-BE49-F238E27FC236}">
              <a16:creationId xmlns:a16="http://schemas.microsoft.com/office/drawing/2014/main" id="{976B3258-9DF8-4BED-8602-8059EA9A3E15}"/>
            </a:ext>
          </a:extLst>
        </xdr:cNvPr>
        <xdr:cNvSpPr txBox="1"/>
      </xdr:nvSpPr>
      <xdr:spPr>
        <a:xfrm>
          <a:off x="6667499" y="3752850"/>
          <a:ext cx="5286376" cy="352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TAT performance by stage</a:t>
          </a:r>
          <a:endParaRPr lang="en-IN" sz="1400" b="1" u="none"/>
        </a:p>
      </xdr:txBody>
    </xdr:sp>
    <xdr:clientData/>
  </xdr:twoCellAnchor>
  <xdr:twoCellAnchor editAs="oneCell">
    <xdr:from>
      <xdr:col>27</xdr:col>
      <xdr:colOff>447675</xdr:colOff>
      <xdr:row>16</xdr:row>
      <xdr:rowOff>19050</xdr:rowOff>
    </xdr:from>
    <xdr:to>
      <xdr:col>28</xdr:col>
      <xdr:colOff>554355</xdr:colOff>
      <xdr:row>17</xdr:row>
      <xdr:rowOff>26670</xdr:rowOff>
    </xdr:to>
    <xdr:pic>
      <xdr:nvPicPr>
        <xdr:cNvPr id="24" name="Picture 23">
          <a:extLst>
            <a:ext uri="{FF2B5EF4-FFF2-40B4-BE49-F238E27FC236}">
              <a16:creationId xmlns:a16="http://schemas.microsoft.com/office/drawing/2014/main" id="{A376F711-1082-600F-602C-884D138BEBC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906875" y="2914650"/>
          <a:ext cx="716280" cy="188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571500</xdr:colOff>
      <xdr:row>10</xdr:row>
      <xdr:rowOff>117476</xdr:rowOff>
    </xdr:from>
    <xdr:to>
      <xdr:col>26</xdr:col>
      <xdr:colOff>590550</xdr:colOff>
      <xdr:row>23</xdr:row>
      <xdr:rowOff>123825</xdr:rowOff>
    </xdr:to>
    <xdr:graphicFrame macro="">
      <xdr:nvGraphicFramePr>
        <xdr:cNvPr id="26" name="Chart 25">
          <a:extLst>
            <a:ext uri="{FF2B5EF4-FFF2-40B4-BE49-F238E27FC236}">
              <a16:creationId xmlns:a16="http://schemas.microsoft.com/office/drawing/2014/main" id="{62C57057-F3DD-4058-BE59-B33E9D66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171450</xdr:colOff>
      <xdr:row>23</xdr:row>
      <xdr:rowOff>114301</xdr:rowOff>
    </xdr:from>
    <xdr:ext cx="4048125" cy="256160"/>
    <xdr:sp macro="" textlink="">
      <xdr:nvSpPr>
        <xdr:cNvPr id="19" name="TextBox 18">
          <a:extLst>
            <a:ext uri="{FF2B5EF4-FFF2-40B4-BE49-F238E27FC236}">
              <a16:creationId xmlns:a16="http://schemas.microsoft.com/office/drawing/2014/main" id="{A4B3B3E8-268E-5D37-478E-110FF223E8EC}"/>
            </a:ext>
          </a:extLst>
        </xdr:cNvPr>
        <xdr:cNvSpPr txBox="1"/>
      </xdr:nvSpPr>
      <xdr:spPr>
        <a:xfrm>
          <a:off x="2609850" y="4276726"/>
          <a:ext cx="4048125" cy="2561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t>Cancellation</a:t>
          </a:r>
          <a:r>
            <a:rPr lang="en-IN" sz="1100" b="1" baseline="0"/>
            <a:t> Reason</a:t>
          </a:r>
          <a:endParaRPr lang="en-IN" sz="1100" b="1"/>
        </a:p>
      </xdr:txBody>
    </xdr:sp>
    <xdr:clientData/>
  </xdr:oneCellAnchor>
  <xdr:twoCellAnchor>
    <xdr:from>
      <xdr:col>20</xdr:col>
      <xdr:colOff>19050</xdr:colOff>
      <xdr:row>24</xdr:row>
      <xdr:rowOff>22226</xdr:rowOff>
    </xdr:from>
    <xdr:to>
      <xdr:col>26</xdr:col>
      <xdr:colOff>47625</xdr:colOff>
      <xdr:row>38</xdr:row>
      <xdr:rowOff>171450</xdr:rowOff>
    </xdr:to>
    <xdr:graphicFrame macro="">
      <xdr:nvGraphicFramePr>
        <xdr:cNvPr id="23" name="Chart 22">
          <a:extLst>
            <a:ext uri="{FF2B5EF4-FFF2-40B4-BE49-F238E27FC236}">
              <a16:creationId xmlns:a16="http://schemas.microsoft.com/office/drawing/2014/main" id="{AAD07F60-A3DA-4AD7-A7D9-4C57CE447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20</xdr:col>
      <xdr:colOff>28576</xdr:colOff>
      <xdr:row>24</xdr:row>
      <xdr:rowOff>76199</xdr:rowOff>
    </xdr:from>
    <xdr:ext cx="3638550" cy="542926"/>
    <xdr:sp macro="" textlink="">
      <xdr:nvSpPr>
        <xdr:cNvPr id="27" name="TextBox 26">
          <a:extLst>
            <a:ext uri="{FF2B5EF4-FFF2-40B4-BE49-F238E27FC236}">
              <a16:creationId xmlns:a16="http://schemas.microsoft.com/office/drawing/2014/main" id="{636A11E7-D5B0-B951-DB43-1EDCEE9C7C03}"/>
            </a:ext>
          </a:extLst>
        </xdr:cNvPr>
        <xdr:cNvSpPr txBox="1"/>
      </xdr:nvSpPr>
      <xdr:spPr>
        <a:xfrm>
          <a:off x="12220576" y="4419599"/>
          <a:ext cx="3638550" cy="54292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500"/>
            <a:t>Lead Distibution</a:t>
          </a:r>
          <a:r>
            <a:rPr lang="en-IN" sz="1500" baseline="0"/>
            <a:t> Pie Chart</a:t>
          </a:r>
        </a:p>
        <a:p>
          <a:pPr algn="ctr"/>
          <a:endParaRPr lang="en-IN" sz="1100"/>
        </a:p>
      </xdr:txBody>
    </xdr:sp>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ishabh%20sharma/AppData/Roaming/Microsoft/Excel/EPe_calculations_and_metrics%20(version%201).xlsb"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Rishabh%20sharma/AppData/Roaming/Microsoft/Excel/EPe_calculations_and_metrics%20(version%201).xlsb"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Users/Rishabh%20sharma/AppData/Roaming/Microsoft/Excel/EPe_calculations_and_metrics%20(version%201).xlsb"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Users/Rishabh%20sharma/AppData/Roaming/Microsoft/Excel/EPe_calculations_and_metrics%20(version%201).xlsb"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Rishabh%20sharma/AppData/Roaming/Microsoft/Excel/EPe_calculations_and_metrics%20(version%201).xlsb"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5961.040191203705" createdVersion="8" refreshedVersion="8" minRefreshableVersion="3" recordCount="4" xr:uid="{122F848C-5F30-4CD8-BC69-0D3F821E384D}">
  <cacheSource type="worksheet">
    <worksheetSource ref="A1:H5" sheet="conversion_rates_by_store" r:id="rId2"/>
  </cacheSource>
  <cacheFields count="8">
    <cacheField name="store" numFmtId="0">
      <sharedItems count="4">
        <s v="Bangalore MBC"/>
        <s v="Chennai MBC"/>
        <s v="Delhi MBC"/>
        <s v="Mumbai MBC"/>
      </sharedItems>
    </cacheField>
    <cacheField name="total_leads" numFmtId="0">
      <sharedItems containsSemiMixedTypes="0" containsString="0" containsNumber="1" containsInteger="1" minValue="212" maxValue="263"/>
    </cacheField>
    <cacheField name="prebook_count" numFmtId="0">
      <sharedItems containsSemiMixedTypes="0" containsString="0" containsNumber="1" containsInteger="1" minValue="173" maxValue="215" count="3">
        <n v="212"/>
        <n v="173"/>
        <n v="215"/>
      </sharedItems>
    </cacheField>
    <cacheField name="booking_count" numFmtId="0">
      <sharedItems containsSemiMixedTypes="0" containsString="0" containsNumber="1" containsInteger="1" minValue="173" maxValue="215"/>
    </cacheField>
    <cacheField name="delivery_count" numFmtId="0">
      <sharedItems containsSemiMixedTypes="0" containsString="0" containsNumber="1" containsInteger="1" minValue="173" maxValue="215"/>
    </cacheField>
    <cacheField name="prebook_rate_%" numFmtId="0">
      <sharedItems containsSemiMixedTypes="0" containsString="0" containsNumber="1" minValue="80.61" maxValue="82.06"/>
    </cacheField>
    <cacheField name="booking_rate_%" numFmtId="0">
      <sharedItems containsSemiMixedTypes="0" containsString="0" containsNumber="1" minValue="80.61" maxValue="82.06"/>
    </cacheField>
    <cacheField name="delivery_rate_%" numFmtId="0">
      <sharedItems containsSemiMixedTypes="0" containsString="0" containsNumber="1" minValue="80.61" maxValue="82.06"/>
    </cacheField>
  </cacheFields>
  <extLst>
    <ext xmlns:x14="http://schemas.microsoft.com/office/spreadsheetml/2009/9/main" uri="{725AE2AE-9491-48be-B2B4-4EB974FC3084}">
      <x14:pivotCacheDefinition pivotCacheId="5264239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5961.041263541665" createdVersion="8" refreshedVersion="8" minRefreshableVersion="3" recordCount="4" xr:uid="{C3D7A478-FD2C-481D-8C4B-8FDC2F7A24A2}">
  <cacheSource type="worksheet">
    <worksheetSource ref="A1:D5" sheet="average_tat_by_store" r:id="rId2"/>
  </cacheSource>
  <cacheFields count="4">
    <cacheField name="store" numFmtId="0">
      <sharedItems count="4">
        <s v="Bangalore MBC"/>
        <s v="Chennai MBC"/>
        <s v="Delhi MBC"/>
        <s v="Mumbai MBC"/>
      </sharedItems>
    </cacheField>
    <cacheField name="avg_days_lead_to_prebooking" numFmtId="0">
      <sharedItems containsSemiMixedTypes="0" containsString="0" containsNumber="1" minValue="2.98" maxValue="3.12"/>
    </cacheField>
    <cacheField name="avg_days_prebooking_to_booking" numFmtId="0">
      <sharedItems containsSemiMixedTypes="0" containsString="0" containsNumber="1" minValue="3.02" maxValue="3.2"/>
    </cacheField>
    <cacheField name="avg_days_booking_to_delivery" numFmtId="0">
      <sharedItems containsSemiMixedTypes="0" containsString="0" containsNumber="1" minValue="4.28" maxValue="4.6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5961.042107291665" createdVersion="8" refreshedVersion="8" minRefreshableVersion="3" recordCount="24" xr:uid="{17214B7D-D029-498F-AF71-E8F0CFD7E89A}">
  <cacheSource type="worksheet">
    <worksheetSource ref="A1:C25" sheet="cancellations_by_store_reason" r:id="rId2"/>
  </cacheSource>
  <cacheFields count="3">
    <cacheField name="store_name" numFmtId="0">
      <sharedItems count="4">
        <s v="Bangalore MBC"/>
        <s v="Chennai MBC"/>
        <s v="Delhi MBC"/>
        <s v="Mumbai MBC"/>
      </sharedItems>
    </cacheField>
    <cacheField name="cancellation_reason" numFmtId="0">
      <sharedItems count="6">
        <s v="Nan"/>
        <s v="Other"/>
        <s v="Financing Issue"/>
        <s v="Changed Mind"/>
        <s v="Model Unavailable"/>
        <s v="Price"/>
      </sharedItems>
    </cacheField>
    <cacheField name="count" numFmtId="0">
      <sharedItems containsSemiMixedTypes="0" containsString="0" containsNumber="1" containsInteger="1" minValue="8" maxValue="199" count="15">
        <n v="191"/>
        <n v="22"/>
        <n v="14"/>
        <n v="13"/>
        <n v="10"/>
        <n v="153"/>
        <n v="18"/>
        <n v="15"/>
        <n v="8"/>
        <n v="186"/>
        <n v="21"/>
        <n v="16"/>
        <n v="199"/>
        <n v="17"/>
        <n v="9"/>
      </sharedItems>
    </cacheField>
  </cacheFields>
  <extLst>
    <ext xmlns:x14="http://schemas.microsoft.com/office/spreadsheetml/2009/9/main" uri="{725AE2AE-9491-48be-B2B4-4EB974FC3084}">
      <x14:pivotCacheDefinition pivotCacheId="82196357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5961.043894212962" createdVersion="8" refreshedVersion="8" minRefreshableVersion="3" recordCount="3" xr:uid="{51A72100-5823-4A79-95B6-CDF153243877}">
  <cacheSource type="worksheet">
    <worksheetSource ref="A1:B4" sheet="lead_temp_overall" r:id="rId2"/>
  </cacheSource>
  <cacheFields count="2">
    <cacheField name="lead_type" numFmtId="0">
      <sharedItems count="3">
        <s v="Warm"/>
        <s v="Hot"/>
        <s v="Cold"/>
      </sharedItems>
    </cacheField>
    <cacheField name="count" numFmtId="0">
      <sharedItems containsSemiMixedTypes="0" containsString="0" containsNumber="1" containsInteger="1" minValue="188" maxValue="509"/>
    </cacheField>
  </cacheFields>
  <extLst>
    <ext xmlns:x14="http://schemas.microsoft.com/office/spreadsheetml/2009/9/main" uri="{725AE2AE-9491-48be-B2B4-4EB974FC3084}">
      <x14:pivotCacheDefinition pivotCacheId="197967721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5961.045507754628" createdVersion="8" refreshedVersion="8" minRefreshableVersion="3" recordCount="4" xr:uid="{C19FA012-41DC-45F3-9DFD-AA1B121172CC}">
  <cacheSource type="worksheet">
    <worksheetSource ref="A1:F5" sheet="nps_by_store" r:id="rId2"/>
  </cacheSource>
  <cacheFields count="6">
    <cacheField name="store" numFmtId="0">
      <sharedItems count="4">
        <s v="Bangalore MBC"/>
        <s v="Delhi MBC"/>
        <s v="Mumbai MBC"/>
        <s v="Chennai MBC"/>
      </sharedItems>
    </cacheField>
    <cacheField name="nps" numFmtId="0">
      <sharedItems containsSemiMixedTypes="0" containsString="0" containsNumber="1" minValue="-58.12" maxValue="-46.41" count="4">
        <n v="-58.12"/>
        <n v="-50"/>
        <n v="-57.79"/>
        <n v="-46.41"/>
      </sharedItems>
    </cacheField>
    <cacheField name="promoters_pct" numFmtId="0">
      <sharedItems containsSemiMixedTypes="0" containsString="0" containsNumber="1" minValue="11.56" maxValue="18.3" count="4">
        <n v="12.04"/>
        <n v="16.13"/>
        <n v="11.56"/>
        <n v="18.3"/>
      </sharedItems>
    </cacheField>
    <cacheField name="detractors_pct" numFmtId="0">
      <sharedItems containsSemiMixedTypes="0" containsString="0" containsNumber="1" minValue="64.709999999999994" maxValue="70.16"/>
    </cacheField>
    <cacheField name="passives_pct" numFmtId="0">
      <sharedItems containsSemiMixedTypes="0" containsString="0" containsNumber="1" minValue="16.989999999999998" maxValue="19.100000000000001"/>
    </cacheField>
    <cacheField name="responses" numFmtId="0">
      <sharedItems containsSemiMixedTypes="0" containsString="0" containsNumber="1" containsInteger="1" minValue="153" maxValue="1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5962.973246990739" createdVersion="8" refreshedVersion="8" minRefreshableVersion="3" recordCount="1001" xr:uid="{95525CD1-489A-47FB-9634-4DA4203D8270}">
  <cacheSource type="worksheet">
    <worksheetSource ref="A1:R1048576" sheet="cleaned_data"/>
  </cacheSource>
  <cacheFields count="18">
    <cacheField name="lead_id" numFmtId="0">
      <sharedItems containsBlank="1"/>
    </cacheField>
    <cacheField name="store_name!" numFmtId="0">
      <sharedItems containsBlank="1" count="5">
        <s v="Bangalore MBC"/>
        <s v="Delhi MBC"/>
        <s v="Mumbai MBC"/>
        <s v="Chennai MBC"/>
        <m/>
      </sharedItems>
    </cacheField>
    <cacheField name="lead_type" numFmtId="0">
      <sharedItems containsBlank="1"/>
    </cacheField>
    <cacheField name="lead_date" numFmtId="14">
      <sharedItems containsNonDate="0" containsDate="1" containsString="0" containsBlank="1" minDate="2025-10-01T00:00:00" maxDate="2025-11-01T00:00:00"/>
    </cacheField>
    <cacheField name="pre-booking_date" numFmtId="14">
      <sharedItems containsNonDate="0" containsDate="1" containsString="0" containsBlank="1" minDate="2025-10-02T00:00:00" maxDate="2025-11-06T00:00:00"/>
    </cacheField>
    <cacheField name="booking_date" numFmtId="14">
      <sharedItems containsNonDate="0" containsDate="1" containsString="0" containsBlank="1" minDate="2025-10-03T00:00:00" maxDate="2025-11-11T00:00:00"/>
    </cacheField>
    <cacheField name="delivery_date" numFmtId="14">
      <sharedItems containsNonDate="0" containsDate="1" containsString="0" containsBlank="1" minDate="2025-10-06T00:00:00" maxDate="2025-11-18T00:00:00"/>
    </cacheField>
    <cacheField name="cancellation_status" numFmtId="0">
      <sharedItems containsBlank="1"/>
    </cacheField>
    <cacheField name="cancellation_reason" numFmtId="0">
      <sharedItems containsBlank="1"/>
    </cacheField>
    <cacheField name="service_follow-up_date" numFmtId="14">
      <sharedItems containsNonDate="0" containsDate="1" containsString="0" containsBlank="1" minDate="2025-10-19T00:00:00" maxDate="2025-12-16T00:00:00"/>
    </cacheField>
    <cacheField name="tat_pre-booking_(days)" numFmtId="165">
      <sharedItems containsBlank="1" containsMixedTypes="1" containsNumber="1" containsInteger="1" minValue="1" maxValue="5"/>
    </cacheField>
    <cacheField name="tat_booking_(days)" numFmtId="0">
      <sharedItems containsBlank="1" containsMixedTypes="1" containsNumber="1" containsInteger="1" minValue="1" maxValue="5" count="7">
        <n v="4"/>
        <n v="5"/>
        <s v=""/>
        <n v="3"/>
        <n v="1"/>
        <n v="2"/>
        <m/>
      </sharedItems>
    </cacheField>
    <cacheField name="tat_delivery_(days)" numFmtId="0">
      <sharedItems containsBlank="1" containsMixedTypes="1" containsNumber="1" containsInteger="1" minValue="2" maxValue="7"/>
    </cacheField>
    <cacheField name="customer_rating" numFmtId="0">
      <sharedItems containsString="0" containsBlank="1" containsNumber="1" containsInteger="1" minValue="0" maxValue="10"/>
    </cacheField>
    <cacheField name="Tat_day" numFmtId="0">
      <sharedItems containsString="0" containsBlank="1" containsNumber="1" containsInteger="1" minValue="4" maxValue="45974"/>
    </cacheField>
    <cacheField name="High_Potential" numFmtId="0">
      <sharedItems containsBlank="1"/>
    </cacheField>
    <cacheField name="Category" numFmtId="0">
      <sharedItems containsBlank="1"/>
    </cacheField>
    <cacheField name="NPS scor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sharma" refreshedDate="45963.503428587966" createdVersion="8" refreshedVersion="8" minRefreshableVersion="3" recordCount="1000" xr:uid="{EFE2061C-DD7A-48CD-A21E-88BC1E6FB9E0}">
  <cacheSource type="worksheet">
    <worksheetSource name="Table1"/>
  </cacheSource>
  <cacheFields count="33">
    <cacheField name="lead_id" numFmtId="0">
      <sharedItems count="1000">
        <s v="L1000"/>
        <s v="L1001"/>
        <s v="L1002"/>
        <s v="L1003"/>
        <s v="L1004"/>
        <s v="L1005"/>
        <s v="L1006"/>
        <s v="L1007"/>
        <s v="L1008"/>
        <s v="L1009"/>
        <s v="L1010"/>
        <s v="L1011"/>
        <s v="L1012"/>
        <s v="L1013"/>
        <s v="L1014"/>
        <s v="L1015"/>
        <s v="L1016"/>
        <s v="L1017"/>
        <s v="L1018"/>
        <s v="L1019"/>
        <s v="L1020"/>
        <s v="L1021"/>
        <s v="L1022"/>
        <s v="L1023"/>
        <s v="L1024"/>
        <s v="L1025"/>
        <s v="L1026"/>
        <s v="L1027"/>
        <s v="L1028"/>
        <s v="L1029"/>
        <s v="L1030"/>
        <s v="L1031"/>
        <s v="L1032"/>
        <s v="L1033"/>
        <s v="L1034"/>
        <s v="L1035"/>
        <s v="L1036"/>
        <s v="L1037"/>
        <s v="L1038"/>
        <s v="L1039"/>
        <s v="L1040"/>
        <s v="L1041"/>
        <s v="L1042"/>
        <s v="L1043"/>
        <s v="L1044"/>
        <s v="L1045"/>
        <s v="L1046"/>
        <s v="L1047"/>
        <s v="L1048"/>
        <s v="L1049"/>
        <s v="L1050"/>
        <s v="L1051"/>
        <s v="L1052"/>
        <s v="L1053"/>
        <s v="L1054"/>
        <s v="L1055"/>
        <s v="L1056"/>
        <s v="L1057"/>
        <s v="L1058"/>
        <s v="L1059"/>
        <s v="L1060"/>
        <s v="L1061"/>
        <s v="L1062"/>
        <s v="L1063"/>
        <s v="L1064"/>
        <s v="L1065"/>
        <s v="L1066"/>
        <s v="L1067"/>
        <s v="L1068"/>
        <s v="L1069"/>
        <s v="L1070"/>
        <s v="L1071"/>
        <s v="L1072"/>
        <s v="L1073"/>
        <s v="L1074"/>
        <s v="L1075"/>
        <s v="L1076"/>
        <s v="L1077"/>
        <s v="L1078"/>
        <s v="L1079"/>
        <s v="L1080"/>
        <s v="L1081"/>
        <s v="L1082"/>
        <s v="L1083"/>
        <s v="L1084"/>
        <s v="L1085"/>
        <s v="L1086"/>
        <s v="L1087"/>
        <s v="L1088"/>
        <s v="L1089"/>
        <s v="L1090"/>
        <s v="L1091"/>
        <s v="L1092"/>
        <s v="L1093"/>
        <s v="L1094"/>
        <s v="L1095"/>
        <s v="L1096"/>
        <s v="L1097"/>
        <s v="L1098"/>
        <s v="L1099"/>
        <s v="L1100"/>
        <s v="L1101"/>
        <s v="L1102"/>
        <s v="L1103"/>
        <s v="L1104"/>
        <s v="L1105"/>
        <s v="L1106"/>
        <s v="L1107"/>
        <s v="L1108"/>
        <s v="L1109"/>
        <s v="L1110"/>
        <s v="L1111"/>
        <s v="L1112"/>
        <s v="L1113"/>
        <s v="L1114"/>
        <s v="L1115"/>
        <s v="L1116"/>
        <s v="L1117"/>
        <s v="L1118"/>
        <s v="L1119"/>
        <s v="L1120"/>
        <s v="L1121"/>
        <s v="L1122"/>
        <s v="L1123"/>
        <s v="L1124"/>
        <s v="L1125"/>
        <s v="L1126"/>
        <s v="L1127"/>
        <s v="L1128"/>
        <s v="L1129"/>
        <s v="L1130"/>
        <s v="L1131"/>
        <s v="L1132"/>
        <s v="L1133"/>
        <s v="L1134"/>
        <s v="L1135"/>
        <s v="L1136"/>
        <s v="L1137"/>
        <s v="L1138"/>
        <s v="L1139"/>
        <s v="L1140"/>
        <s v="L1141"/>
        <s v="L1142"/>
        <s v="L1143"/>
        <s v="L1144"/>
        <s v="L1145"/>
        <s v="L1146"/>
        <s v="L1147"/>
        <s v="L1148"/>
        <s v="L1149"/>
        <s v="L1150"/>
        <s v="L1151"/>
        <s v="L1152"/>
        <s v="L1153"/>
        <s v="L1154"/>
        <s v="L1155"/>
        <s v="L1156"/>
        <s v="L1157"/>
        <s v="L1158"/>
        <s v="L1159"/>
        <s v="L1160"/>
        <s v="L1161"/>
        <s v="L1162"/>
        <s v="L1163"/>
        <s v="L1164"/>
        <s v="L1165"/>
        <s v="L1166"/>
        <s v="L1167"/>
        <s v="L1168"/>
        <s v="L1169"/>
        <s v="L1170"/>
        <s v="L1171"/>
        <s v="L1172"/>
        <s v="L1173"/>
        <s v="L1174"/>
        <s v="L1175"/>
        <s v="L1176"/>
        <s v="L1177"/>
        <s v="L1178"/>
        <s v="L1179"/>
        <s v="L1180"/>
        <s v="L1181"/>
        <s v="L1182"/>
        <s v="L1183"/>
        <s v="L1184"/>
        <s v="L1185"/>
        <s v="L1186"/>
        <s v="L1187"/>
        <s v="L1188"/>
        <s v="L1189"/>
        <s v="L1190"/>
        <s v="L1191"/>
        <s v="L1192"/>
        <s v="L1193"/>
        <s v="L1194"/>
        <s v="L1195"/>
        <s v="L1196"/>
        <s v="L1197"/>
        <s v="L1198"/>
        <s v="L1199"/>
        <s v="L1200"/>
        <s v="L1201"/>
        <s v="L1202"/>
        <s v="L1203"/>
        <s v="L1204"/>
        <s v="L1205"/>
        <s v="L1206"/>
        <s v="L1207"/>
        <s v="L1208"/>
        <s v="L1209"/>
        <s v="L1210"/>
        <s v="L1211"/>
        <s v="L1212"/>
        <s v="L1213"/>
        <s v="L1214"/>
        <s v="L1215"/>
        <s v="L1216"/>
        <s v="L1217"/>
        <s v="L1218"/>
        <s v="L1219"/>
        <s v="L1220"/>
        <s v="L1221"/>
        <s v="L1222"/>
        <s v="L1223"/>
        <s v="L1224"/>
        <s v="L1225"/>
        <s v="L1226"/>
        <s v="L1227"/>
        <s v="L1228"/>
        <s v="L1229"/>
        <s v="L1230"/>
        <s v="L1231"/>
        <s v="L1232"/>
        <s v="L1233"/>
        <s v="L1234"/>
        <s v="L1235"/>
        <s v="L1236"/>
        <s v="L1237"/>
        <s v="L1238"/>
        <s v="L1239"/>
        <s v="L1240"/>
        <s v="L1241"/>
        <s v="L1242"/>
        <s v="L1243"/>
        <s v="L1244"/>
        <s v="L1245"/>
        <s v="L1246"/>
        <s v="L1247"/>
        <s v="L1248"/>
        <s v="L1249"/>
        <s v="L1250"/>
        <s v="L1251"/>
        <s v="L1252"/>
        <s v="L1253"/>
        <s v="L1254"/>
        <s v="L1255"/>
        <s v="L1256"/>
        <s v="L1257"/>
        <s v="L1258"/>
        <s v="L1259"/>
        <s v="L1260"/>
        <s v="L1261"/>
        <s v="L1262"/>
        <s v="L1263"/>
        <s v="L1264"/>
        <s v="L1265"/>
        <s v="L1266"/>
        <s v="L1267"/>
        <s v="L1268"/>
        <s v="L1269"/>
        <s v="L1270"/>
        <s v="L1271"/>
        <s v="L1272"/>
        <s v="L1273"/>
        <s v="L1274"/>
        <s v="L1275"/>
        <s v="L1276"/>
        <s v="L1277"/>
        <s v="L1278"/>
        <s v="L1279"/>
        <s v="L1280"/>
        <s v="L1281"/>
        <s v="L1282"/>
        <s v="L1283"/>
        <s v="L1284"/>
        <s v="L1285"/>
        <s v="L1286"/>
        <s v="L1287"/>
        <s v="L1288"/>
        <s v="L1289"/>
        <s v="L1290"/>
        <s v="L1291"/>
        <s v="L1292"/>
        <s v="L1293"/>
        <s v="L1294"/>
        <s v="L1295"/>
        <s v="L1296"/>
        <s v="L1297"/>
        <s v="L1298"/>
        <s v="L1299"/>
        <s v="L1300"/>
        <s v="L1301"/>
        <s v="L1302"/>
        <s v="L1303"/>
        <s v="L1304"/>
        <s v="L1305"/>
        <s v="L1306"/>
        <s v="L1307"/>
        <s v="L1308"/>
        <s v="L1309"/>
        <s v="L1310"/>
        <s v="L1311"/>
        <s v="L1312"/>
        <s v="L1313"/>
        <s v="L1314"/>
        <s v="L1315"/>
        <s v="L1316"/>
        <s v="L1317"/>
        <s v="L1318"/>
        <s v="L1319"/>
        <s v="L1320"/>
        <s v="L1321"/>
        <s v="L1322"/>
        <s v="L1323"/>
        <s v="L1324"/>
        <s v="L1325"/>
        <s v="L1326"/>
        <s v="L1327"/>
        <s v="L1328"/>
        <s v="L1329"/>
        <s v="L1330"/>
        <s v="L1331"/>
        <s v="L1332"/>
        <s v="L1333"/>
        <s v="L1334"/>
        <s v="L1335"/>
        <s v="L1336"/>
        <s v="L1337"/>
        <s v="L1338"/>
        <s v="L1339"/>
        <s v="L1340"/>
        <s v="L1341"/>
        <s v="L1342"/>
        <s v="L1343"/>
        <s v="L1344"/>
        <s v="L1345"/>
        <s v="L1346"/>
        <s v="L1347"/>
        <s v="L1348"/>
        <s v="L1349"/>
        <s v="L1350"/>
        <s v="L1351"/>
        <s v="L1352"/>
        <s v="L1353"/>
        <s v="L1354"/>
        <s v="L1355"/>
        <s v="L1356"/>
        <s v="L1357"/>
        <s v="L1358"/>
        <s v="L1359"/>
        <s v="L1360"/>
        <s v="L1361"/>
        <s v="L1362"/>
        <s v="L1363"/>
        <s v="L1364"/>
        <s v="L1365"/>
        <s v="L1366"/>
        <s v="L1367"/>
        <s v="L1368"/>
        <s v="L1369"/>
        <s v="L1370"/>
        <s v="L1371"/>
        <s v="L1372"/>
        <s v="L1373"/>
        <s v="L1374"/>
        <s v="L1375"/>
        <s v="L1376"/>
        <s v="L1377"/>
        <s v="L1378"/>
        <s v="L1379"/>
        <s v="L1380"/>
        <s v="L1381"/>
        <s v="L1382"/>
        <s v="L1383"/>
        <s v="L1384"/>
        <s v="L1385"/>
        <s v="L1386"/>
        <s v="L1387"/>
        <s v="L1388"/>
        <s v="L1389"/>
        <s v="L1390"/>
        <s v="L1391"/>
        <s v="L1392"/>
        <s v="L1393"/>
        <s v="L1394"/>
        <s v="L1395"/>
        <s v="L1396"/>
        <s v="L1397"/>
        <s v="L1398"/>
        <s v="L1399"/>
        <s v="L1400"/>
        <s v="L1401"/>
        <s v="L1402"/>
        <s v="L1403"/>
        <s v="L1404"/>
        <s v="L1405"/>
        <s v="L1406"/>
        <s v="L1407"/>
        <s v="L1408"/>
        <s v="L1409"/>
        <s v="L1410"/>
        <s v="L1411"/>
        <s v="L1412"/>
        <s v="L1413"/>
        <s v="L1414"/>
        <s v="L1415"/>
        <s v="L1416"/>
        <s v="L1417"/>
        <s v="L1418"/>
        <s v="L1419"/>
        <s v="L1420"/>
        <s v="L1421"/>
        <s v="L1422"/>
        <s v="L1423"/>
        <s v="L1424"/>
        <s v="L1425"/>
        <s v="L1426"/>
        <s v="L1427"/>
        <s v="L1428"/>
        <s v="L1429"/>
        <s v="L1430"/>
        <s v="L1431"/>
        <s v="L1432"/>
        <s v="L1433"/>
        <s v="L1434"/>
        <s v="L1435"/>
        <s v="L1436"/>
        <s v="L1437"/>
        <s v="L1438"/>
        <s v="L1439"/>
        <s v="L1440"/>
        <s v="L1441"/>
        <s v="L1442"/>
        <s v="L1443"/>
        <s v="L1444"/>
        <s v="L1445"/>
        <s v="L1446"/>
        <s v="L1447"/>
        <s v="L1448"/>
        <s v="L1449"/>
        <s v="L1450"/>
        <s v="L1451"/>
        <s v="L1452"/>
        <s v="L1453"/>
        <s v="L1454"/>
        <s v="L1455"/>
        <s v="L1456"/>
        <s v="L1457"/>
        <s v="L1458"/>
        <s v="L1459"/>
        <s v="L1460"/>
        <s v="L1461"/>
        <s v="L1462"/>
        <s v="L1463"/>
        <s v="L1464"/>
        <s v="L1465"/>
        <s v="L1466"/>
        <s v="L1467"/>
        <s v="L1468"/>
        <s v="L1469"/>
        <s v="L1470"/>
        <s v="L1471"/>
        <s v="L1472"/>
        <s v="L1473"/>
        <s v="L1474"/>
        <s v="L1475"/>
        <s v="L1476"/>
        <s v="L1477"/>
        <s v="L1478"/>
        <s v="L1479"/>
        <s v="L1480"/>
        <s v="L1481"/>
        <s v="L1482"/>
        <s v="L1483"/>
        <s v="L1484"/>
        <s v="L1485"/>
        <s v="L1486"/>
        <s v="L1487"/>
        <s v="L1488"/>
        <s v="L1489"/>
        <s v="L1490"/>
        <s v="L1491"/>
        <s v="L1492"/>
        <s v="L1493"/>
        <s v="L1494"/>
        <s v="L1495"/>
        <s v="L1496"/>
        <s v="L1497"/>
        <s v="L1498"/>
        <s v="L1499"/>
        <s v="L1500"/>
        <s v="L1501"/>
        <s v="L1502"/>
        <s v="L1503"/>
        <s v="L1504"/>
        <s v="L1505"/>
        <s v="L1506"/>
        <s v="L1507"/>
        <s v="L1508"/>
        <s v="L1509"/>
        <s v="L1510"/>
        <s v="L1511"/>
        <s v="L1512"/>
        <s v="L1513"/>
        <s v="L1514"/>
        <s v="L1515"/>
        <s v="L1516"/>
        <s v="L1517"/>
        <s v="L1518"/>
        <s v="L1519"/>
        <s v="L1520"/>
        <s v="L1521"/>
        <s v="L1522"/>
        <s v="L1523"/>
        <s v="L1524"/>
        <s v="L1525"/>
        <s v="L1526"/>
        <s v="L1527"/>
        <s v="L1528"/>
        <s v="L1529"/>
        <s v="L1530"/>
        <s v="L1531"/>
        <s v="L1532"/>
        <s v="L1533"/>
        <s v="L1534"/>
        <s v="L1535"/>
        <s v="L1536"/>
        <s v="L1537"/>
        <s v="L1538"/>
        <s v="L1539"/>
        <s v="L1540"/>
        <s v="L1541"/>
        <s v="L1542"/>
        <s v="L1543"/>
        <s v="L1544"/>
        <s v="L1545"/>
        <s v="L1546"/>
        <s v="L1547"/>
        <s v="L1548"/>
        <s v="L1549"/>
        <s v="L1550"/>
        <s v="L1551"/>
        <s v="L1552"/>
        <s v="L1553"/>
        <s v="L1554"/>
        <s v="L1555"/>
        <s v="L1556"/>
        <s v="L1557"/>
        <s v="L1558"/>
        <s v="L1559"/>
        <s v="L1560"/>
        <s v="L1561"/>
        <s v="L1562"/>
        <s v="L1563"/>
        <s v="L1564"/>
        <s v="L1565"/>
        <s v="L1566"/>
        <s v="L1567"/>
        <s v="L1568"/>
        <s v="L1569"/>
        <s v="L1570"/>
        <s v="L1571"/>
        <s v="L1572"/>
        <s v="L1573"/>
        <s v="L1574"/>
        <s v="L1575"/>
        <s v="L1576"/>
        <s v="L1577"/>
        <s v="L1578"/>
        <s v="L1579"/>
        <s v="L1580"/>
        <s v="L1581"/>
        <s v="L1582"/>
        <s v="L1583"/>
        <s v="L1584"/>
        <s v="L1585"/>
        <s v="L1586"/>
        <s v="L1587"/>
        <s v="L1588"/>
        <s v="L1589"/>
        <s v="L1590"/>
        <s v="L1591"/>
        <s v="L1592"/>
        <s v="L1593"/>
        <s v="L1594"/>
        <s v="L1595"/>
        <s v="L1596"/>
        <s v="L1597"/>
        <s v="L1598"/>
        <s v="L1599"/>
        <s v="L1600"/>
        <s v="L1601"/>
        <s v="L1602"/>
        <s v="L1603"/>
        <s v="L1604"/>
        <s v="L1605"/>
        <s v="L1606"/>
        <s v="L1607"/>
        <s v="L1608"/>
        <s v="L1609"/>
        <s v="L1610"/>
        <s v="L1611"/>
        <s v="L1612"/>
        <s v="L1613"/>
        <s v="L1614"/>
        <s v="L1615"/>
        <s v="L1616"/>
        <s v="L1617"/>
        <s v="L1618"/>
        <s v="L1619"/>
        <s v="L1620"/>
        <s v="L1621"/>
        <s v="L1622"/>
        <s v="L1623"/>
        <s v="L1624"/>
        <s v="L1625"/>
        <s v="L1626"/>
        <s v="L1627"/>
        <s v="L1628"/>
        <s v="L1629"/>
        <s v="L1630"/>
        <s v="L1631"/>
        <s v="L1632"/>
        <s v="L1633"/>
        <s v="L1634"/>
        <s v="L1635"/>
        <s v="L1636"/>
        <s v="L1637"/>
        <s v="L1638"/>
        <s v="L1639"/>
        <s v="L1640"/>
        <s v="L1641"/>
        <s v="L1642"/>
        <s v="L1643"/>
        <s v="L1644"/>
        <s v="L1645"/>
        <s v="L1646"/>
        <s v="L1647"/>
        <s v="L1648"/>
        <s v="L1649"/>
        <s v="L1650"/>
        <s v="L1651"/>
        <s v="L1652"/>
        <s v="L1653"/>
        <s v="L1654"/>
        <s v="L1655"/>
        <s v="L1656"/>
        <s v="L1657"/>
        <s v="L1658"/>
        <s v="L1659"/>
        <s v="L1660"/>
        <s v="L1661"/>
        <s v="L1662"/>
        <s v="L1663"/>
        <s v="L1664"/>
        <s v="L1665"/>
        <s v="L1666"/>
        <s v="L1667"/>
        <s v="L1668"/>
        <s v="L1669"/>
        <s v="L1670"/>
        <s v="L1671"/>
        <s v="L1672"/>
        <s v="L1673"/>
        <s v="L1674"/>
        <s v="L1675"/>
        <s v="L1676"/>
        <s v="L1677"/>
        <s v="L1678"/>
        <s v="L1679"/>
        <s v="L1680"/>
        <s v="L1681"/>
        <s v="L1682"/>
        <s v="L1683"/>
        <s v="L1684"/>
        <s v="L1685"/>
        <s v="L1686"/>
        <s v="L1687"/>
        <s v="L1688"/>
        <s v="L1689"/>
        <s v="L1690"/>
        <s v="L1691"/>
        <s v="L1692"/>
        <s v="L1693"/>
        <s v="L1694"/>
        <s v="L1695"/>
        <s v="L1696"/>
        <s v="L1697"/>
        <s v="L1698"/>
        <s v="L1699"/>
        <s v="L1700"/>
        <s v="L1701"/>
        <s v="L1702"/>
        <s v="L1703"/>
        <s v="L1704"/>
        <s v="L1705"/>
        <s v="L1706"/>
        <s v="L1707"/>
        <s v="L1708"/>
        <s v="L1709"/>
        <s v="L1710"/>
        <s v="L1711"/>
        <s v="L1712"/>
        <s v="L1713"/>
        <s v="L1714"/>
        <s v="L1715"/>
        <s v="L1716"/>
        <s v="L1717"/>
        <s v="L1718"/>
        <s v="L1719"/>
        <s v="L1720"/>
        <s v="L1721"/>
        <s v="L1722"/>
        <s v="L1723"/>
        <s v="L1724"/>
        <s v="L1725"/>
        <s v="L1726"/>
        <s v="L1727"/>
        <s v="L1728"/>
        <s v="L1729"/>
        <s v="L1730"/>
        <s v="L1731"/>
        <s v="L1732"/>
        <s v="L1733"/>
        <s v="L1734"/>
        <s v="L1735"/>
        <s v="L1736"/>
        <s v="L1737"/>
        <s v="L1738"/>
        <s v="L1739"/>
        <s v="L1740"/>
        <s v="L1741"/>
        <s v="L1742"/>
        <s v="L1743"/>
        <s v="L1744"/>
        <s v="L1745"/>
        <s v="L1746"/>
        <s v="L1747"/>
        <s v="L1748"/>
        <s v="L1749"/>
        <s v="L1750"/>
        <s v="L1751"/>
        <s v="L1752"/>
        <s v="L1753"/>
        <s v="L1754"/>
        <s v="L1755"/>
        <s v="L1756"/>
        <s v="L1757"/>
        <s v="L1758"/>
        <s v="L1759"/>
        <s v="L1760"/>
        <s v="L1761"/>
        <s v="L1762"/>
        <s v="L1763"/>
        <s v="L1764"/>
        <s v="L1765"/>
        <s v="L1766"/>
        <s v="L1767"/>
        <s v="L1768"/>
        <s v="L1769"/>
        <s v="L1770"/>
        <s v="L1771"/>
        <s v="L1772"/>
        <s v="L1773"/>
        <s v="L1774"/>
        <s v="L1775"/>
        <s v="L1776"/>
        <s v="L1777"/>
        <s v="L1778"/>
        <s v="L1779"/>
        <s v="L1780"/>
        <s v="L1781"/>
        <s v="L1782"/>
        <s v="L1783"/>
        <s v="L1784"/>
        <s v="L1785"/>
        <s v="L1786"/>
        <s v="L1787"/>
        <s v="L1788"/>
        <s v="L1789"/>
        <s v="L1790"/>
        <s v="L1791"/>
        <s v="L1792"/>
        <s v="L1793"/>
        <s v="L1794"/>
        <s v="L1795"/>
        <s v="L1796"/>
        <s v="L1797"/>
        <s v="L1798"/>
        <s v="L1799"/>
        <s v="L1800"/>
        <s v="L1801"/>
        <s v="L1802"/>
        <s v="L1803"/>
        <s v="L1804"/>
        <s v="L1805"/>
        <s v="L1806"/>
        <s v="L1807"/>
        <s v="L1808"/>
        <s v="L1809"/>
        <s v="L1810"/>
        <s v="L1811"/>
        <s v="L1812"/>
        <s v="L1813"/>
        <s v="L1814"/>
        <s v="L1815"/>
        <s v="L1816"/>
        <s v="L1817"/>
        <s v="L1818"/>
        <s v="L1819"/>
        <s v="L1820"/>
        <s v="L1821"/>
        <s v="L1822"/>
        <s v="L1823"/>
        <s v="L1824"/>
        <s v="L1825"/>
        <s v="L1826"/>
        <s v="L1827"/>
        <s v="L1828"/>
        <s v="L1829"/>
        <s v="L1830"/>
        <s v="L1831"/>
        <s v="L1832"/>
        <s v="L1833"/>
        <s v="L1834"/>
        <s v="L1835"/>
        <s v="L1836"/>
        <s v="L1837"/>
        <s v="L1838"/>
        <s v="L1839"/>
        <s v="L1840"/>
        <s v="L1841"/>
        <s v="L1842"/>
        <s v="L1843"/>
        <s v="L1844"/>
        <s v="L1845"/>
        <s v="L1846"/>
        <s v="L1847"/>
        <s v="L1848"/>
        <s v="L1849"/>
        <s v="L1850"/>
        <s v="L1851"/>
        <s v="L1852"/>
        <s v="L1853"/>
        <s v="L1854"/>
        <s v="L1855"/>
        <s v="L1856"/>
        <s v="L1857"/>
        <s v="L1858"/>
        <s v="L1859"/>
        <s v="L1860"/>
        <s v="L1861"/>
        <s v="L1862"/>
        <s v="L1863"/>
        <s v="L1864"/>
        <s v="L1865"/>
        <s v="L1866"/>
        <s v="L1867"/>
        <s v="L1868"/>
        <s v="L1869"/>
        <s v="L1870"/>
        <s v="L1871"/>
        <s v="L1872"/>
        <s v="L1873"/>
        <s v="L1874"/>
        <s v="L1875"/>
        <s v="L1876"/>
        <s v="L1877"/>
        <s v="L1878"/>
        <s v="L1879"/>
        <s v="L1880"/>
        <s v="L1881"/>
        <s v="L1882"/>
        <s v="L1883"/>
        <s v="L1884"/>
        <s v="L1885"/>
        <s v="L1886"/>
        <s v="L1887"/>
        <s v="L1888"/>
        <s v="L1889"/>
        <s v="L1890"/>
        <s v="L1891"/>
        <s v="L1892"/>
        <s v="L1893"/>
        <s v="L1894"/>
        <s v="L1895"/>
        <s v="L1896"/>
        <s v="L1897"/>
        <s v="L1898"/>
        <s v="L1899"/>
        <s v="L1900"/>
        <s v="L1901"/>
        <s v="L1902"/>
        <s v="L1903"/>
        <s v="L1904"/>
        <s v="L1905"/>
        <s v="L1906"/>
        <s v="L1907"/>
        <s v="L1908"/>
        <s v="L1909"/>
        <s v="L1910"/>
        <s v="L1911"/>
        <s v="L1912"/>
        <s v="L1913"/>
        <s v="L1914"/>
        <s v="L1915"/>
        <s v="L1916"/>
        <s v="L1917"/>
        <s v="L1918"/>
        <s v="L1919"/>
        <s v="L1920"/>
        <s v="L1921"/>
        <s v="L1922"/>
        <s v="L1923"/>
        <s v="L1924"/>
        <s v="L1925"/>
        <s v="L1926"/>
        <s v="L1927"/>
        <s v="L1928"/>
        <s v="L1929"/>
        <s v="L1930"/>
        <s v="L1931"/>
        <s v="L1932"/>
        <s v="L1933"/>
        <s v="L1934"/>
        <s v="L1935"/>
        <s v="L1936"/>
        <s v="L1937"/>
        <s v="L1938"/>
        <s v="L1939"/>
        <s v="L1940"/>
        <s v="L1941"/>
        <s v="L1942"/>
        <s v="L1943"/>
        <s v="L1944"/>
        <s v="L1945"/>
        <s v="L1946"/>
        <s v="L1947"/>
        <s v="L1948"/>
        <s v="L1949"/>
        <s v="L1950"/>
        <s v="L1951"/>
        <s v="L1952"/>
        <s v="L1953"/>
        <s v="L1954"/>
        <s v="L1955"/>
        <s v="L1956"/>
        <s v="L1957"/>
        <s v="L1958"/>
        <s v="L1959"/>
        <s v="L1960"/>
        <s v="L1961"/>
        <s v="L1962"/>
        <s v="L1963"/>
        <s v="L1964"/>
        <s v="L1965"/>
        <s v="L1966"/>
        <s v="L1967"/>
        <s v="L1968"/>
        <s v="L1969"/>
        <s v="L1970"/>
        <s v="L1971"/>
        <s v="L1972"/>
        <s v="L1973"/>
        <s v="L1974"/>
        <s v="L1975"/>
        <s v="L1976"/>
        <s v="L1977"/>
        <s v="L1978"/>
        <s v="L1979"/>
        <s v="L1980"/>
        <s v="L1981"/>
        <s v="L1982"/>
        <s v="L1983"/>
        <s v="L1984"/>
        <s v="L1985"/>
        <s v="L1986"/>
        <s v="L1987"/>
        <s v="L1988"/>
        <s v="L1989"/>
        <s v="L1990"/>
        <s v="L1991"/>
        <s v="L1992"/>
        <s v="L1993"/>
        <s v="L1994"/>
        <s v="L1995"/>
        <s v="L1996"/>
        <s v="L1997"/>
        <s v="L1998"/>
        <s v="L1999"/>
      </sharedItems>
    </cacheField>
    <cacheField name="store_name!" numFmtId="0">
      <sharedItems count="4">
        <s v="Bangalore MBC"/>
        <s v="Delhi MBC"/>
        <s v="Mumbai MBC"/>
        <s v="Chennai MBC"/>
      </sharedItems>
    </cacheField>
    <cacheField name="lead_type" numFmtId="0">
      <sharedItems count="3">
        <s v="Warm"/>
        <s v="Cold"/>
        <s v="Hot"/>
      </sharedItems>
    </cacheField>
    <cacheField name="lead_date" numFmtId="14">
      <sharedItems containsNonDate="0" containsDate="1" containsString="0" containsBlank="1" minDate="2025-10-01T00:00:00" maxDate="2025-11-01T00:00:00" count="32">
        <d v="2025-10-21T00:00:00"/>
        <d v="2025-10-11T00:00:00"/>
        <d v="2025-10-01T00:00:00"/>
        <d v="2025-10-28T00:00:00"/>
        <d v="2025-10-14T00:00:00"/>
        <d v="2025-10-27T00:00:00"/>
        <d v="2025-10-16T00:00:00"/>
        <d v="2025-10-04T00:00:00"/>
        <d v="2025-10-31T00:00:00"/>
        <d v="2025-10-12T00:00:00"/>
        <m/>
        <d v="2025-10-15T00:00:00"/>
        <d v="2025-10-23T00:00:00"/>
        <d v="2025-10-05T00:00:00"/>
        <d v="2025-10-06T00:00:00"/>
        <d v="2025-10-24T00:00:00"/>
        <d v="2025-10-17T00:00:00"/>
        <d v="2025-10-09T00:00:00"/>
        <d v="2025-10-20T00:00:00"/>
        <d v="2025-10-26T00:00:00"/>
        <d v="2025-10-30T00:00:00"/>
        <d v="2025-10-18T00:00:00"/>
        <d v="2025-10-25T00:00:00"/>
        <d v="2025-10-19T00:00:00"/>
        <d v="2025-10-08T00:00:00"/>
        <d v="2025-10-03T00:00:00"/>
        <d v="2025-10-29T00:00:00"/>
        <d v="2025-10-22T00:00:00"/>
        <d v="2025-10-13T00:00:00"/>
        <d v="2025-10-07T00:00:00"/>
        <d v="2025-10-10T00:00:00"/>
        <d v="2025-10-02T00:00:00"/>
      </sharedItems>
    </cacheField>
    <cacheField name="pre-booking_date" numFmtId="14">
      <sharedItems containsNonDate="0" containsDate="1" containsString="0" containsBlank="1" minDate="2025-10-02T00:00:00" maxDate="2025-11-06T00:00:00" count="36">
        <d v="2025-10-25T00:00:00"/>
        <d v="2025-10-14T00:00:00"/>
        <m/>
        <d v="2025-10-18T00:00:00"/>
        <d v="2025-10-31T00:00:00"/>
        <d v="2025-10-20T00:00:00"/>
        <d v="2025-10-05T00:00:00"/>
        <d v="2025-10-17T00:00:00"/>
        <d v="2025-11-04T00:00:00"/>
        <d v="2025-10-24T00:00:00"/>
        <d v="2025-11-01T00:00:00"/>
        <d v="2025-10-30T00:00:00"/>
        <d v="2025-10-27T00:00:00"/>
        <d v="2025-10-06T00:00:00"/>
        <d v="2025-10-15T00:00:00"/>
        <d v="2025-10-07T00:00:00"/>
        <d v="2025-10-21T00:00:00"/>
        <d v="2025-10-11T00:00:00"/>
        <d v="2025-10-23T00:00:00"/>
        <d v="2025-10-13T00:00:00"/>
        <d v="2025-10-12T00:00:00"/>
        <d v="2025-10-10T00:00:00"/>
        <d v="2025-10-19T00:00:00"/>
        <d v="2025-10-29T00:00:00"/>
        <d v="2025-10-16T00:00:00"/>
        <d v="2025-10-26T00:00:00"/>
        <d v="2025-10-04T00:00:00"/>
        <d v="2025-10-09T00:00:00"/>
        <d v="2025-10-28T00:00:00"/>
        <d v="2025-10-02T00:00:00"/>
        <d v="2025-10-08T00:00:00"/>
        <d v="2025-10-22T00:00:00"/>
        <d v="2025-11-05T00:00:00"/>
        <d v="2025-10-03T00:00:00"/>
        <d v="2025-11-02T00:00:00"/>
        <d v="2025-11-03T00:00:00"/>
      </sharedItems>
      <fieldGroup par="19"/>
    </cacheField>
    <cacheField name="booking_date" numFmtId="14">
      <sharedItems containsNonDate="0" containsDate="1" containsString="0" containsBlank="1" minDate="2025-10-03T00:00:00" maxDate="2025-11-11T00:00:00" count="40">
        <d v="2025-10-29T00:00:00"/>
        <d v="2025-10-19T00:00:00"/>
        <m/>
        <d v="2025-10-21T00:00:00"/>
        <d v="2025-11-04T00:00:00"/>
        <d v="2025-10-08T00:00:00"/>
        <d v="2025-10-20T00:00:00"/>
        <d v="2025-11-05T00:00:00"/>
        <d v="2025-10-28T00:00:00"/>
        <d v="2025-11-06T00:00:00"/>
        <d v="2025-11-02T00:00:00"/>
        <d v="2025-10-18T00:00:00"/>
        <d v="2025-11-01T00:00:00"/>
        <d v="2025-10-10T00:00:00"/>
        <d v="2025-10-12T00:00:00"/>
        <d v="2025-10-30T00:00:00"/>
        <d v="2025-10-23T00:00:00"/>
        <d v="2025-10-15T00:00:00"/>
        <d v="2025-10-27T00:00:00"/>
        <d v="2025-11-09T00:00:00"/>
        <d v="2025-10-16T00:00:00"/>
        <d v="2025-10-13T00:00:00"/>
        <d v="2025-11-03T00:00:00"/>
        <d v="2025-10-14T00:00:00"/>
        <d v="2025-10-22T00:00:00"/>
        <d v="2025-10-17T00:00:00"/>
        <d v="2025-10-26T00:00:00"/>
        <d v="2025-10-25T00:00:00"/>
        <d v="2025-10-24T00:00:00"/>
        <d v="2025-10-06T00:00:00"/>
        <d v="2025-10-11T00:00:00"/>
        <d v="2025-10-31T00:00:00"/>
        <d v="2025-10-05T00:00:00"/>
        <d v="2025-11-08T00:00:00"/>
        <d v="2025-10-04T00:00:00"/>
        <d v="2025-10-03T00:00:00"/>
        <d v="2025-10-07T00:00:00"/>
        <d v="2025-10-09T00:00:00"/>
        <d v="2025-11-07T00:00:00"/>
        <d v="2025-11-10T00:00:00"/>
      </sharedItems>
      <fieldGroup par="21"/>
    </cacheField>
    <cacheField name="delivery_date" numFmtId="14">
      <sharedItems containsNonDate="0" containsDate="1" containsString="0" containsBlank="1" minDate="2025-10-06T00:00:00" maxDate="2025-11-18T00:00:00" count="44">
        <d v="2025-11-03T00:00:00"/>
        <d v="2025-10-26T00:00:00"/>
        <m/>
        <d v="2025-10-24T00:00:00"/>
        <d v="2025-11-07T00:00:00"/>
        <d v="2025-10-28T00:00:00"/>
        <d v="2025-10-15T00:00:00"/>
        <d v="2025-10-25T00:00:00"/>
        <d v="2025-11-10T00:00:00"/>
        <d v="2025-10-30T00:00:00"/>
        <d v="2025-11-13T00:00:00"/>
        <d v="2025-11-08T00:00:00"/>
        <d v="2025-10-21T00:00:00"/>
        <d v="2025-11-06T00:00:00"/>
        <d v="2025-10-16T00:00:00"/>
        <d v="2025-10-23T00:00:00"/>
        <d v="2025-10-17T00:00:00"/>
        <d v="2025-11-01T00:00:00"/>
        <d v="2025-11-05T00:00:00"/>
        <d v="2025-10-19T00:00:00"/>
        <d v="2025-11-15T00:00:00"/>
        <d v="2025-10-29T00:00:00"/>
        <d v="2025-10-20T00:00:00"/>
        <d v="2025-11-09T00:00:00"/>
        <d v="2025-10-31T00:00:00"/>
        <d v="2025-10-14T00:00:00"/>
        <d v="2025-11-02T00:00:00"/>
        <d v="2025-10-18T00:00:00"/>
        <d v="2025-10-12T00:00:00"/>
        <d v="2025-10-08T00:00:00"/>
        <d v="2025-10-10T00:00:00"/>
        <d v="2025-10-22T00:00:00"/>
        <d v="2025-10-27T00:00:00"/>
        <d v="2025-11-14T00:00:00"/>
        <d v="2025-11-04T00:00:00"/>
        <d v="2025-10-09T00:00:00"/>
        <d v="2025-11-11T00:00:00"/>
        <d v="2025-10-07T00:00:00"/>
        <d v="2025-10-13T00:00:00"/>
        <d v="2025-11-12T00:00:00"/>
        <d v="2025-11-17T00:00:00"/>
        <d v="2025-10-06T00:00:00"/>
        <d v="2025-10-11T00:00:00"/>
        <d v="2025-11-16T00:00:00"/>
      </sharedItems>
      <fieldGroup par="23"/>
    </cacheField>
    <cacheField name="cancellation_status" numFmtId="0">
      <sharedItems count="2">
        <s v="No"/>
        <s v="Yes"/>
      </sharedItems>
    </cacheField>
    <cacheField name="cancellation_reason" numFmtId="0">
      <sharedItems count="6">
        <s v="Nan"/>
        <s v="Other"/>
        <s v="Others"/>
        <s v="Changed Mind"/>
        <s v="Financing Issue"/>
        <s v="Price"/>
      </sharedItems>
    </cacheField>
    <cacheField name="service_follow-up_date" numFmtId="14">
      <sharedItems containsNonDate="0" containsDate="1" containsString="0" containsBlank="1" minDate="2025-10-19T00:00:00" maxDate="2025-12-16T00:00:00" count="57">
        <d v="2025-11-28T00:00:00"/>
        <d v="2025-11-22T00:00:00"/>
        <m/>
        <d v="2025-11-12T00:00:00"/>
        <d v="2025-11-05T00:00:00"/>
        <d v="2025-11-10T00:00:00"/>
        <d v="2025-11-30T00:00:00"/>
        <d v="2025-12-07T00:00:00"/>
        <d v="2025-11-23T00:00:00"/>
        <d v="2025-10-26T00:00:00"/>
        <d v="2025-11-18T00:00:00"/>
        <d v="2025-11-11T00:00:00"/>
        <d v="2025-11-19T00:00:00"/>
        <d v="2025-12-04T00:00:00"/>
        <d v="2025-11-17T00:00:00"/>
        <d v="2025-11-02T00:00:00"/>
        <d v="2025-12-05T00:00:00"/>
        <d v="2025-11-09T00:00:00"/>
        <d v="2025-11-06T00:00:00"/>
        <d v="2025-11-13T00:00:00"/>
        <d v="2025-11-15T00:00:00"/>
        <d v="2025-11-29T00:00:00"/>
        <d v="2025-11-04T00:00:00"/>
        <d v="2025-11-26T00:00:00"/>
        <d v="2025-11-20T00:00:00"/>
        <d v="2025-11-14T00:00:00"/>
        <d v="2025-11-07T00:00:00"/>
        <d v="2025-12-01T00:00:00"/>
        <d v="2025-10-23T00:00:00"/>
        <d v="2025-10-29T00:00:00"/>
        <d v="2025-11-24T00:00:00"/>
        <d v="2025-11-21T00:00:00"/>
        <d v="2025-11-08T00:00:00"/>
        <d v="2025-11-01T00:00:00"/>
        <d v="2025-10-30T00:00:00"/>
        <d v="2025-10-21T00:00:00"/>
        <d v="2025-10-25T00:00:00"/>
        <d v="2025-10-27T00:00:00"/>
        <d v="2025-10-31T00:00:00"/>
        <d v="2025-11-03T00:00:00"/>
        <d v="2025-12-08T00:00:00"/>
        <d v="2025-10-24T00:00:00"/>
        <d v="2025-11-16T00:00:00"/>
        <d v="2025-11-27T00:00:00"/>
        <d v="2025-12-02T00:00:00"/>
        <d v="2025-10-22T00:00:00"/>
        <d v="2025-10-28T00:00:00"/>
        <d v="2025-12-09T00:00:00"/>
        <d v="2025-12-12T00:00:00"/>
        <d v="2025-11-25T00:00:00"/>
        <d v="2025-12-11T00:00:00"/>
        <d v="2025-12-03T00:00:00"/>
        <d v="2025-12-06T00:00:00"/>
        <d v="2025-12-10T00:00:00"/>
        <d v="2025-12-14T00:00:00"/>
        <d v="2025-10-19T00:00:00"/>
        <d v="2025-12-15T00:00:00"/>
      </sharedItems>
      <fieldGroup par="32"/>
    </cacheField>
    <cacheField name="tat_pre-booking_(days)" numFmtId="165">
      <sharedItems containsMixedTypes="1" containsNumber="1" containsInteger="1" minValue="1" maxValue="5"/>
    </cacheField>
    <cacheField name="tat_booking_(days)" numFmtId="0">
      <sharedItems containsMixedTypes="1" containsNumber="1" containsInteger="1" minValue="1" maxValue="5"/>
    </cacheField>
    <cacheField name="tat_delivery_(days)" numFmtId="0">
      <sharedItems containsMixedTypes="1" containsNumber="1" containsInteger="1" minValue="2" maxValue="7"/>
    </cacheField>
    <cacheField name="customer_rating" numFmtId="0">
      <sharedItems containsString="0" containsBlank="1" containsNumber="1" containsInteger="1" minValue="0" maxValue="10" count="12">
        <n v="2"/>
        <n v="8"/>
        <m/>
        <n v="9"/>
        <n v="10"/>
        <n v="6"/>
        <n v="0"/>
        <n v="5"/>
        <n v="4"/>
        <n v="3"/>
        <n v="1"/>
        <n v="7"/>
      </sharedItems>
    </cacheField>
    <cacheField name="Tat_day" numFmtId="0">
      <sharedItems containsString="0" containsBlank="1" containsNumber="1" containsInteger="1" minValue="4" maxValue="45974"/>
    </cacheField>
    <cacheField name="High_Potential" numFmtId="0">
      <sharedItems count="2">
        <s v="Normal"/>
        <s v="High"/>
      </sharedItems>
    </cacheField>
    <cacheField name="Category" numFmtId="14">
      <sharedItems/>
    </cacheField>
    <cacheField name="NPS score" numFmtId="0">
      <sharedItems containsNonDate="0" containsString="0" containsBlank="1"/>
    </cacheField>
    <cacheField name="Days (pre-booking_date)" numFmtId="0" databaseField="0">
      <fieldGroup base="4">
        <rangePr groupBy="days" startDate="2025-10-02T00:00:00" endDate="2025-11-06T00:00:00"/>
        <groupItems count="368">
          <s v="&lt;02-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11-2025"/>
        </groupItems>
      </fieldGroup>
    </cacheField>
    <cacheField name="Months (pre-booking_date)" numFmtId="0" databaseField="0">
      <fieldGroup base="4">
        <rangePr groupBy="months" startDate="2025-10-02T00:00:00" endDate="2025-11-06T00:00:00"/>
        <groupItems count="14">
          <s v="&lt;02-10-2025"/>
          <s v="Jan"/>
          <s v="Feb"/>
          <s v="Mar"/>
          <s v="Apr"/>
          <s v="May"/>
          <s v="Jun"/>
          <s v="Jul"/>
          <s v="Aug"/>
          <s v="Sep"/>
          <s v="Oct"/>
          <s v="Nov"/>
          <s v="Dec"/>
          <s v="&gt;06-11-2025"/>
        </groupItems>
      </fieldGroup>
    </cacheField>
    <cacheField name="Days (booking_date)" numFmtId="0" databaseField="0">
      <fieldGroup base="5">
        <rangePr groupBy="days" startDate="2025-10-03T00:00:00" endDate="2025-11-11T00:00:00"/>
        <groupItems count="368">
          <s v="&lt;03-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1-2025"/>
        </groupItems>
      </fieldGroup>
    </cacheField>
    <cacheField name="Months (booking_date)" numFmtId="0" databaseField="0">
      <fieldGroup base="5">
        <rangePr groupBy="months" startDate="2025-10-03T00:00:00" endDate="2025-11-11T00:00:00"/>
        <groupItems count="14">
          <s v="&lt;03-10-2025"/>
          <s v="Jan"/>
          <s v="Feb"/>
          <s v="Mar"/>
          <s v="Apr"/>
          <s v="May"/>
          <s v="Jun"/>
          <s v="Jul"/>
          <s v="Aug"/>
          <s v="Sep"/>
          <s v="Oct"/>
          <s v="Nov"/>
          <s v="Dec"/>
          <s v="&gt;11-11-2025"/>
        </groupItems>
      </fieldGroup>
    </cacheField>
    <cacheField name="Days (delivery_date)" numFmtId="0" databaseField="0">
      <fieldGroup base="6">
        <rangePr groupBy="days" startDate="2025-10-06T00:00:00" endDate="2025-11-18T00:00:00"/>
        <groupItems count="368">
          <s v="&lt;06-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11-2025"/>
        </groupItems>
      </fieldGroup>
    </cacheField>
    <cacheField name="Months (delivery_date)" numFmtId="0" databaseField="0">
      <fieldGroup base="6">
        <rangePr groupBy="months" startDate="2025-10-06T00:00:00" endDate="2025-11-18T00:00:00"/>
        <groupItems count="14">
          <s v="&lt;06-10-2025"/>
          <s v="Jan"/>
          <s v="Feb"/>
          <s v="Mar"/>
          <s v="Apr"/>
          <s v="May"/>
          <s v="Jun"/>
          <s v="Jul"/>
          <s v="Aug"/>
          <s v="Sep"/>
          <s v="Oct"/>
          <s v="Nov"/>
          <s v="Dec"/>
          <s v="&gt;18-11-2025"/>
        </groupItems>
      </fieldGroup>
    </cacheField>
    <cacheField name="Field1" numFmtId="0" formula=" ('pre-booking_date'/lead_date) * 100" databaseField="0"/>
    <cacheField name="Conversion_rate_prebooking" numFmtId="0" formula=" ('pre-booking_date'/lead_date) * 100" databaseField="0"/>
    <cacheField name="Converion_rate_booking_date" numFmtId="0" formula="(booking_date/lead_date) * 100" databaseField="0"/>
    <cacheField name="Conversion_rate_delivery_date" numFmtId="0" formula="(delivery_date/lead_date) * 100" databaseField="0"/>
    <cacheField name="Converion_rate_prebooking" numFmtId="0" formula="(booking_date/lead_date) * 100" databaseField="0"/>
    <cacheField name="Conversion_rate_booking %" numFmtId="0" formula=" (booking_date/lead_date) * 100" databaseField="0"/>
    <cacheField name="Conversion_rate_of_delivery" numFmtId="0" formula=" (delivery_date/lead_date) * 100" databaseField="0"/>
    <cacheField name="Days (service_follow-up_date)" numFmtId="0" databaseField="0">
      <fieldGroup base="9">
        <rangePr groupBy="days" startDate="2025-10-19T00:00:00" endDate="2025-12-16T00:00:00"/>
        <groupItems count="368">
          <s v="&lt;19-10-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2-2025"/>
        </groupItems>
      </fieldGroup>
    </cacheField>
    <cacheField name="Months (service_follow-up_date)" numFmtId="0" databaseField="0">
      <fieldGroup base="9">
        <rangePr groupBy="months" startDate="2025-10-19T00:00:00" endDate="2025-12-16T00:00:00"/>
        <groupItems count="14">
          <s v="&lt;19-10-2025"/>
          <s v="Jan"/>
          <s v="Feb"/>
          <s v="Mar"/>
          <s v="Apr"/>
          <s v="May"/>
          <s v="Jun"/>
          <s v="Jul"/>
          <s v="Aug"/>
          <s v="Sep"/>
          <s v="Oct"/>
          <s v="Nov"/>
          <s v="Dec"/>
          <s v="&gt;16-12-2025"/>
        </groupItems>
      </fieldGroup>
    </cacheField>
  </cacheFields>
  <extLst>
    <ext xmlns:x14="http://schemas.microsoft.com/office/spreadsheetml/2009/9/main" uri="{725AE2AE-9491-48be-B2B4-4EB974FC3084}">
      <x14:pivotCacheDefinition pivotCacheId="1196880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63"/>
    <x v="0"/>
    <n v="212"/>
    <n v="212"/>
    <n v="80.61"/>
    <n v="80.61"/>
    <n v="80.61"/>
  </r>
  <r>
    <x v="1"/>
    <n v="212"/>
    <x v="1"/>
    <n v="173"/>
    <n v="173"/>
    <n v="81.599999999999994"/>
    <n v="81.599999999999994"/>
    <n v="81.599999999999994"/>
  </r>
  <r>
    <x v="2"/>
    <n v="263"/>
    <x v="0"/>
    <n v="212"/>
    <n v="212"/>
    <n v="80.61"/>
    <n v="80.61"/>
    <n v="80.61"/>
  </r>
  <r>
    <x v="3"/>
    <n v="262"/>
    <x v="2"/>
    <n v="215"/>
    <n v="215"/>
    <n v="82.06"/>
    <n v="82.06"/>
    <n v="82.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12"/>
    <n v="3.03"/>
    <n v="4.51"/>
  </r>
  <r>
    <x v="1"/>
    <n v="3.12"/>
    <n v="3.2"/>
    <n v="4.3899999999999997"/>
  </r>
  <r>
    <x v="2"/>
    <n v="3.03"/>
    <n v="3.02"/>
    <n v="4.28"/>
  </r>
  <r>
    <x v="3"/>
    <n v="2.98"/>
    <n v="3.05"/>
    <n v="4.6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r>
  <r>
    <x v="0"/>
    <x v="1"/>
    <x v="1"/>
  </r>
  <r>
    <x v="0"/>
    <x v="2"/>
    <x v="2"/>
  </r>
  <r>
    <x v="0"/>
    <x v="3"/>
    <x v="3"/>
  </r>
  <r>
    <x v="0"/>
    <x v="4"/>
    <x v="3"/>
  </r>
  <r>
    <x v="0"/>
    <x v="5"/>
    <x v="4"/>
  </r>
  <r>
    <x v="1"/>
    <x v="0"/>
    <x v="5"/>
  </r>
  <r>
    <x v="1"/>
    <x v="5"/>
    <x v="6"/>
  </r>
  <r>
    <x v="1"/>
    <x v="3"/>
    <x v="7"/>
  </r>
  <r>
    <x v="1"/>
    <x v="2"/>
    <x v="4"/>
  </r>
  <r>
    <x v="1"/>
    <x v="4"/>
    <x v="8"/>
  </r>
  <r>
    <x v="1"/>
    <x v="1"/>
    <x v="8"/>
  </r>
  <r>
    <x v="2"/>
    <x v="0"/>
    <x v="9"/>
  </r>
  <r>
    <x v="2"/>
    <x v="2"/>
    <x v="10"/>
  </r>
  <r>
    <x v="2"/>
    <x v="5"/>
    <x v="11"/>
  </r>
  <r>
    <x v="2"/>
    <x v="3"/>
    <x v="2"/>
  </r>
  <r>
    <x v="2"/>
    <x v="4"/>
    <x v="3"/>
  </r>
  <r>
    <x v="2"/>
    <x v="1"/>
    <x v="3"/>
  </r>
  <r>
    <x v="3"/>
    <x v="0"/>
    <x v="12"/>
  </r>
  <r>
    <x v="3"/>
    <x v="5"/>
    <x v="13"/>
  </r>
  <r>
    <x v="3"/>
    <x v="2"/>
    <x v="2"/>
  </r>
  <r>
    <x v="3"/>
    <x v="1"/>
    <x v="2"/>
  </r>
  <r>
    <x v="3"/>
    <x v="3"/>
    <x v="14"/>
  </r>
  <r>
    <x v="3"/>
    <x v="4"/>
    <x v="1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509"/>
  </r>
  <r>
    <x v="1"/>
    <n v="303"/>
  </r>
  <r>
    <x v="2"/>
    <n v="188"/>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n v="70.16"/>
    <n v="17.8"/>
    <n v="191"/>
  </r>
  <r>
    <x v="1"/>
    <x v="1"/>
    <x v="1"/>
    <n v="66.13"/>
    <n v="17.739999999999998"/>
    <n v="186"/>
  </r>
  <r>
    <x v="2"/>
    <x v="2"/>
    <x v="2"/>
    <n v="69.349999999999994"/>
    <n v="19.100000000000001"/>
    <n v="199"/>
  </r>
  <r>
    <x v="3"/>
    <x v="3"/>
    <x v="3"/>
    <n v="64.709999999999994"/>
    <n v="16.989999999999998"/>
    <n v="15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L1000"/>
    <x v="0"/>
    <s v="Warm"/>
    <d v="2025-10-21T00:00:00"/>
    <d v="2025-10-25T00:00:00"/>
    <d v="2025-10-29T00:00:00"/>
    <d v="2025-11-03T00:00:00"/>
    <s v="No"/>
    <s v="Nan"/>
    <d v="2025-11-28T00:00:00"/>
    <n v="4"/>
    <x v="0"/>
    <n v="5"/>
    <n v="2"/>
    <n v="13"/>
    <s v="Normal"/>
    <s v="Detractor"/>
    <m/>
  </r>
  <r>
    <s v="L1001"/>
    <x v="1"/>
    <s v="Warm"/>
    <d v="2025-10-11T00:00:00"/>
    <d v="2025-10-14T00:00:00"/>
    <d v="2025-10-19T00:00:00"/>
    <d v="2025-10-26T00:00:00"/>
    <s v="No"/>
    <s v="Nan"/>
    <d v="2025-11-22T00:00:00"/>
    <n v="3"/>
    <x v="1"/>
    <n v="7"/>
    <n v="8"/>
    <n v="15"/>
    <s v="Normal"/>
    <s v="Passive"/>
    <m/>
  </r>
  <r>
    <s v="L1002"/>
    <x v="2"/>
    <s v="Cold"/>
    <d v="2025-10-01T00:00:00"/>
    <m/>
    <m/>
    <m/>
    <s v="Yes"/>
    <s v="Other"/>
    <m/>
    <s v=""/>
    <x v="2"/>
    <s v=""/>
    <m/>
    <m/>
    <s v="Normal"/>
    <s v="Detractor"/>
    <m/>
  </r>
  <r>
    <s v="L1003"/>
    <x v="0"/>
    <s v="Cold"/>
    <d v="2025-10-28T00:00:00"/>
    <m/>
    <m/>
    <m/>
    <s v="Yes"/>
    <s v="Others"/>
    <m/>
    <s v=""/>
    <x v="2"/>
    <s v=""/>
    <m/>
    <m/>
    <s v="Normal"/>
    <s v="Detractor"/>
    <m/>
  </r>
  <r>
    <s v="L1004"/>
    <x v="1"/>
    <s v="Warm"/>
    <d v="2025-10-14T00:00:00"/>
    <d v="2025-10-18T00:00:00"/>
    <d v="2025-10-21T00:00:00"/>
    <d v="2025-10-24T00:00:00"/>
    <s v="No"/>
    <s v="Nan"/>
    <d v="2025-11-12T00:00:00"/>
    <n v="4"/>
    <x v="3"/>
    <n v="3"/>
    <n v="8"/>
    <n v="10"/>
    <s v="Normal"/>
    <s v="Passive"/>
    <m/>
  </r>
  <r>
    <s v="L1005"/>
    <x v="1"/>
    <s v="Warm"/>
    <d v="2025-10-27T00:00:00"/>
    <d v="2025-10-31T00:00:00"/>
    <d v="2025-11-04T00:00:00"/>
    <d v="2025-11-07T00:00:00"/>
    <s v="No"/>
    <s v="Nan"/>
    <d v="2025-11-22T00:00:00"/>
    <n v="4"/>
    <x v="0"/>
    <n v="3"/>
    <n v="9"/>
    <n v="11"/>
    <s v="Normal"/>
    <s v="Promoter"/>
    <m/>
  </r>
  <r>
    <s v="L1006"/>
    <x v="2"/>
    <s v="Hot"/>
    <d v="2025-10-16T00:00:00"/>
    <d v="2025-10-20T00:00:00"/>
    <d v="2025-10-21T00:00:00"/>
    <d v="2025-10-28T00:00:00"/>
    <s v="No"/>
    <s v="Nan"/>
    <d v="2025-11-22T00:00:00"/>
    <n v="4"/>
    <x v="4"/>
    <n v="7"/>
    <n v="10"/>
    <n v="12"/>
    <s v="Normal"/>
    <s v="Promoter"/>
    <m/>
  </r>
  <r>
    <s v="L1007"/>
    <x v="3"/>
    <s v="Warm"/>
    <d v="2025-10-04T00:00:00"/>
    <d v="2025-10-05T00:00:00"/>
    <d v="2025-10-08T00:00:00"/>
    <d v="2025-10-15T00:00:00"/>
    <s v="Yes"/>
    <s v="Changed Mind"/>
    <m/>
    <n v="1"/>
    <x v="3"/>
    <n v="7"/>
    <m/>
    <n v="11"/>
    <s v="Normal"/>
    <s v="Detractor"/>
    <m/>
  </r>
  <r>
    <s v="L1008"/>
    <x v="0"/>
    <s v="Hot"/>
    <d v="2025-10-14T00:00:00"/>
    <d v="2025-10-17T00:00:00"/>
    <d v="2025-10-20T00:00:00"/>
    <d v="2025-10-25T00:00:00"/>
    <s v="No"/>
    <s v="Nan"/>
    <d v="2025-11-05T00:00:00"/>
    <n v="3"/>
    <x v="3"/>
    <n v="5"/>
    <n v="8"/>
    <n v="11"/>
    <s v="Normal"/>
    <s v="Passive"/>
    <m/>
  </r>
  <r>
    <s v="L1009"/>
    <x v="2"/>
    <s v="Warm"/>
    <d v="2025-10-31T00:00:00"/>
    <d v="2025-11-04T00:00:00"/>
    <d v="2025-11-05T00:00:00"/>
    <d v="2025-11-10T00:00:00"/>
    <s v="No"/>
    <s v="Nan"/>
    <d v="2025-11-22T00:00:00"/>
    <n v="4"/>
    <x v="4"/>
    <n v="5"/>
    <n v="6"/>
    <n v="10"/>
    <s v="Normal"/>
    <s v="Detractor"/>
    <m/>
  </r>
  <r>
    <s v="L1010"/>
    <x v="0"/>
    <s v="Cold"/>
    <d v="2025-10-12T00:00:00"/>
    <m/>
    <m/>
    <m/>
    <s v="Yes"/>
    <s v="Other"/>
    <m/>
    <s v=""/>
    <x v="2"/>
    <s v=""/>
    <m/>
    <m/>
    <s v="Normal"/>
    <s v="Detractor"/>
    <m/>
  </r>
  <r>
    <s v="L1011"/>
    <x v="1"/>
    <s v="Warm"/>
    <d v="2025-10-21T00:00:00"/>
    <d v="2025-10-24T00:00:00"/>
    <d v="2025-10-28T00:00:00"/>
    <d v="2025-10-30T00:00:00"/>
    <s v="No"/>
    <s v="Nan"/>
    <d v="2025-11-10T00:00:00"/>
    <n v="3"/>
    <x v="0"/>
    <n v="2"/>
    <n v="0"/>
    <n v="9"/>
    <s v="Normal"/>
    <s v="Detractor"/>
    <m/>
  </r>
  <r>
    <s v="L1012"/>
    <x v="1"/>
    <s v="Warm"/>
    <m/>
    <d v="2025-11-01T00:00:00"/>
    <d v="2025-11-06T00:00:00"/>
    <d v="2025-11-13T00:00:00"/>
    <s v="No"/>
    <s v="Nan"/>
    <d v="2025-11-30T00:00:00"/>
    <s v=""/>
    <x v="1"/>
    <n v="7"/>
    <n v="10"/>
    <n v="45974"/>
    <s v="Normal"/>
    <s v="Promoter"/>
    <m/>
  </r>
  <r>
    <s v="L1013"/>
    <x v="3"/>
    <s v="Warm"/>
    <d v="2025-10-27T00:00:00"/>
    <d v="2025-10-30T00:00:00"/>
    <d v="2025-11-02T00:00:00"/>
    <d v="2025-11-08T00:00:00"/>
    <s v="No"/>
    <s v="Nan"/>
    <d v="2025-12-07T00:00:00"/>
    <n v="3"/>
    <x v="3"/>
    <n v="6"/>
    <n v="2"/>
    <n v="12"/>
    <s v="Normal"/>
    <s v="Detractor"/>
    <m/>
  </r>
  <r>
    <s v="L1014"/>
    <x v="1"/>
    <s v="Hot"/>
    <d v="2025-10-15T00:00:00"/>
    <d v="2025-10-17T00:00:00"/>
    <d v="2025-10-18T00:00:00"/>
    <d v="2025-10-21T00:00:00"/>
    <s v="Yes"/>
    <s v="Changed Mind"/>
    <m/>
    <n v="2"/>
    <x v="4"/>
    <n v="3"/>
    <m/>
    <n v="6"/>
    <s v="Normal"/>
    <s v="Detractor"/>
    <m/>
  </r>
  <r>
    <s v="L1015"/>
    <x v="1"/>
    <s v="Warm"/>
    <d v="2025-10-23T00:00:00"/>
    <d v="2025-10-27T00:00:00"/>
    <d v="2025-11-01T00:00:00"/>
    <d v="2025-11-06T00:00:00"/>
    <s v="No"/>
    <s v="Nan"/>
    <d v="2025-11-23T00:00:00"/>
    <n v="4"/>
    <x v="1"/>
    <n v="5"/>
    <n v="8"/>
    <n v="14"/>
    <s v="Normal"/>
    <s v="Passive"/>
    <m/>
  </r>
  <r>
    <s v="L1016"/>
    <x v="2"/>
    <s v="Hot"/>
    <d v="2025-10-05T00:00:00"/>
    <d v="2025-10-06T00:00:00"/>
    <d v="2025-10-10T00:00:00"/>
    <d v="2025-10-16T00:00:00"/>
    <s v="No"/>
    <s v="Nan"/>
    <d v="2025-10-26T00:00:00"/>
    <n v="1"/>
    <x v="0"/>
    <n v="6"/>
    <n v="2"/>
    <n v="11"/>
    <s v="Normal"/>
    <s v="Detractor"/>
    <m/>
  </r>
  <r>
    <s v="L1017"/>
    <x v="0"/>
    <s v="Hot"/>
    <d v="2025-10-14T00:00:00"/>
    <d v="2025-10-15T00:00:00"/>
    <d v="2025-10-18T00:00:00"/>
    <d v="2025-10-23T00:00:00"/>
    <s v="No"/>
    <s v="Nan"/>
    <d v="2025-11-18T00:00:00"/>
    <n v="1"/>
    <x v="3"/>
    <n v="5"/>
    <n v="0"/>
    <n v="9"/>
    <s v="Normal"/>
    <s v="Detractor"/>
    <m/>
  </r>
  <r>
    <s v="L1018"/>
    <x v="0"/>
    <s v="Warm"/>
    <d v="2025-10-06T00:00:00"/>
    <d v="2025-10-07T00:00:00"/>
    <d v="2025-10-12T00:00:00"/>
    <d v="2025-10-17T00:00:00"/>
    <s v="No"/>
    <s v="Nan"/>
    <d v="2025-11-11T00:00:00"/>
    <n v="1"/>
    <x v="1"/>
    <n v="5"/>
    <n v="5"/>
    <n v="11"/>
    <s v="Normal"/>
    <s v="Detractor"/>
    <m/>
  </r>
  <r>
    <s v="L1019"/>
    <x v="2"/>
    <s v="Warm"/>
    <d v="2025-10-24T00:00:00"/>
    <d v="2025-10-25T00:00:00"/>
    <d v="2025-10-30T00:00:00"/>
    <d v="2025-11-01T00:00:00"/>
    <s v="No"/>
    <s v="Nan"/>
    <d v="2025-11-11T00:00:00"/>
    <n v="1"/>
    <x v="1"/>
    <n v="2"/>
    <n v="4"/>
    <n v="8"/>
    <s v="Normal"/>
    <s v="Detractor"/>
    <m/>
  </r>
  <r>
    <s v="L1020"/>
    <x v="3"/>
    <s v="Warm"/>
    <d v="2025-10-17T00:00:00"/>
    <d v="2025-10-21T00:00:00"/>
    <d v="2025-10-23T00:00:00"/>
    <d v="2025-10-30T00:00:00"/>
    <s v="No"/>
    <s v="Nan"/>
    <d v="2025-11-19T00:00:00"/>
    <n v="4"/>
    <x v="5"/>
    <n v="7"/>
    <n v="6"/>
    <n v="13"/>
    <s v="Normal"/>
    <s v="Detractor"/>
    <m/>
  </r>
  <r>
    <s v="L1021"/>
    <x v="0"/>
    <s v="Hot"/>
    <d v="2025-10-31T00:00:00"/>
    <d v="2025-11-01T00:00:00"/>
    <d v="2025-11-02T00:00:00"/>
    <d v="2025-11-05T00:00:00"/>
    <s v="No"/>
    <s v="Nan"/>
    <d v="2025-12-04T00:00:00"/>
    <n v="1"/>
    <x v="4"/>
    <n v="3"/>
    <n v="3"/>
    <n v="5"/>
    <s v="Normal"/>
    <s v="Detractor"/>
    <m/>
  </r>
  <r>
    <s v="L1022"/>
    <x v="1"/>
    <s v="Warm"/>
    <d v="2025-10-21T00:00:00"/>
    <d v="2025-10-24T00:00:00"/>
    <d v="2025-10-29T00:00:00"/>
    <d v="2025-11-01T00:00:00"/>
    <s v="No"/>
    <s v="Nan"/>
    <d v="2025-11-17T00:00:00"/>
    <n v="3"/>
    <x v="1"/>
    <n v="3"/>
    <n v="8"/>
    <n v="11"/>
    <s v="Normal"/>
    <s v="Passive"/>
    <m/>
  </r>
  <r>
    <s v="L1023"/>
    <x v="0"/>
    <s v="Warm"/>
    <d v="2025-10-09T00:00:00"/>
    <d v="2025-10-11T00:00:00"/>
    <d v="2025-10-15T00:00:00"/>
    <d v="2025-10-19T00:00:00"/>
    <s v="No"/>
    <s v="Nan"/>
    <d v="2025-11-02T00:00:00"/>
    <n v="2"/>
    <x v="0"/>
    <n v="4"/>
    <n v="3"/>
    <n v="10"/>
    <s v="Normal"/>
    <s v="Detractor"/>
    <m/>
  </r>
  <r>
    <s v="L1024"/>
    <x v="1"/>
    <s v="Warm"/>
    <d v="2025-10-20T00:00:00"/>
    <d v="2025-10-25T00:00:00"/>
    <d v="2025-10-27T00:00:00"/>
    <d v="2025-11-03T00:00:00"/>
    <s v="No"/>
    <s v="Nan"/>
    <d v="2025-11-23T00:00:00"/>
    <n v="5"/>
    <x v="5"/>
    <n v="7"/>
    <n v="1"/>
    <n v="14"/>
    <s v="Normal"/>
    <s v="Detractor"/>
    <m/>
  </r>
  <r>
    <s v="L1025"/>
    <x v="3"/>
    <s v="Warm"/>
    <d v="2025-10-26T00:00:00"/>
    <d v="2025-10-27T00:00:00"/>
    <d v="2025-11-01T00:00:00"/>
    <d v="2025-11-03T00:00:00"/>
    <s v="No"/>
    <s v="Nan"/>
    <d v="2025-11-18T00:00:00"/>
    <n v="1"/>
    <x v="1"/>
    <n v="2"/>
    <n v="4"/>
    <n v="8"/>
    <s v="Normal"/>
    <s v="Detractor"/>
    <m/>
  </r>
  <r>
    <s v="L1026"/>
    <x v="2"/>
    <s v="Warm"/>
    <d v="2025-10-30T00:00:00"/>
    <d v="2025-11-04T00:00:00"/>
    <d v="2025-11-09T00:00:00"/>
    <d v="2025-11-15T00:00:00"/>
    <s v="No"/>
    <s v="Nan"/>
    <d v="2025-12-05T00:00:00"/>
    <n v="5"/>
    <x v="1"/>
    <n v="6"/>
    <n v="1"/>
    <n v="16"/>
    <s v="Normal"/>
    <s v="Detractor"/>
    <m/>
  </r>
  <r>
    <s v="L1027"/>
    <x v="0"/>
    <s v="Warm"/>
    <d v="2025-10-18T00:00:00"/>
    <d v="2025-10-23T00:00:00"/>
    <d v="2025-10-27T00:00:00"/>
    <d v="2025-10-29T00:00:00"/>
    <s v="No"/>
    <s v="Nan"/>
    <d v="2025-11-09T00:00:00"/>
    <n v="5"/>
    <x v="0"/>
    <n v="2"/>
    <n v="3"/>
    <n v="11"/>
    <s v="Normal"/>
    <s v="Detractor"/>
    <m/>
  </r>
  <r>
    <s v="L1028"/>
    <x v="2"/>
    <s v="Warm"/>
    <d v="2025-10-25T00:00:00"/>
    <d v="2025-10-30T00:00:00"/>
    <d v="2025-11-01T00:00:00"/>
    <d v="2025-11-07T00:00:00"/>
    <s v="No"/>
    <s v="Nan"/>
    <d v="2025-11-17T00:00:00"/>
    <n v="5"/>
    <x v="5"/>
    <n v="6"/>
    <n v="3"/>
    <n v="13"/>
    <s v="Normal"/>
    <s v="Detractor"/>
    <m/>
  </r>
  <r>
    <s v="L1029"/>
    <x v="0"/>
    <s v="Cold"/>
    <d v="2025-10-16T00:00:00"/>
    <m/>
    <m/>
    <m/>
    <s v="Yes"/>
    <s v="Changed Mind"/>
    <m/>
    <s v=""/>
    <x v="2"/>
    <s v=""/>
    <m/>
    <m/>
    <s v="Normal"/>
    <s v="Detractor"/>
    <m/>
  </r>
  <r>
    <s v="L1030"/>
    <x v="1"/>
    <s v="Warm"/>
    <d v="2025-10-15T00:00:00"/>
    <d v="2025-10-18T00:00:00"/>
    <d v="2025-10-20T00:00:00"/>
    <d v="2025-10-23T00:00:00"/>
    <s v="No"/>
    <s v="Nan"/>
    <d v="2025-11-06T00:00:00"/>
    <n v="3"/>
    <x v="5"/>
    <n v="3"/>
    <n v="3"/>
    <n v="8"/>
    <s v="Normal"/>
    <s v="Detractor"/>
    <m/>
  </r>
  <r>
    <s v="L1031"/>
    <x v="2"/>
    <s v="Warm"/>
    <d v="2025-10-14T00:00:00"/>
    <d v="2025-10-15T00:00:00"/>
    <d v="2025-10-16T00:00:00"/>
    <d v="2025-10-20T00:00:00"/>
    <s v="No"/>
    <s v="Nan"/>
    <d v="2025-11-17T00:00:00"/>
    <n v="1"/>
    <x v="4"/>
    <n v="4"/>
    <n v="5"/>
    <n v="6"/>
    <s v="Normal"/>
    <s v="Detractor"/>
    <m/>
  </r>
  <r>
    <s v="L1032"/>
    <x v="0"/>
    <s v="Warm"/>
    <d v="2025-10-27T00:00:00"/>
    <d v="2025-10-31T00:00:00"/>
    <d v="2025-11-05T00:00:00"/>
    <d v="2025-11-09T00:00:00"/>
    <s v="No"/>
    <s v="Nan"/>
    <d v="2025-11-23T00:00:00"/>
    <n v="4"/>
    <x v="1"/>
    <n v="4"/>
    <n v="3"/>
    <n v="13"/>
    <s v="Normal"/>
    <s v="Detractor"/>
    <m/>
  </r>
  <r>
    <s v="L1033"/>
    <x v="1"/>
    <s v="Warm"/>
    <d v="2025-10-24T00:00:00"/>
    <d v="2025-10-27T00:00:00"/>
    <d v="2025-10-28T00:00:00"/>
    <d v="2025-10-31T00:00:00"/>
    <s v="No"/>
    <s v="Nan"/>
    <d v="2025-11-13T00:00:00"/>
    <n v="3"/>
    <x v="4"/>
    <n v="3"/>
    <n v="3"/>
    <n v="7"/>
    <s v="Normal"/>
    <s v="Detractor"/>
    <m/>
  </r>
  <r>
    <s v="L1034"/>
    <x v="2"/>
    <s v="Cold"/>
    <d v="2025-10-19T00:00:00"/>
    <m/>
    <m/>
    <m/>
    <s v="Yes"/>
    <s v="Others"/>
    <m/>
    <s v=""/>
    <x v="2"/>
    <s v=""/>
    <m/>
    <m/>
    <s v="Normal"/>
    <s v="Detractor"/>
    <m/>
  </r>
  <r>
    <s v="L1035"/>
    <x v="2"/>
    <s v="Warm"/>
    <d v="2025-10-09T00:00:00"/>
    <d v="2025-10-13T00:00:00"/>
    <d v="2025-10-15T00:00:00"/>
    <d v="2025-10-20T00:00:00"/>
    <s v="No"/>
    <s v="Nan"/>
    <d v="2025-11-15T00:00:00"/>
    <n v="4"/>
    <x v="5"/>
    <n v="5"/>
    <n v="9"/>
    <n v="11"/>
    <s v="Normal"/>
    <s v="Promoter"/>
    <m/>
  </r>
  <r>
    <s v="L1036"/>
    <x v="0"/>
    <s v="Warm"/>
    <d v="2025-10-11T00:00:00"/>
    <d v="2025-10-12T00:00:00"/>
    <d v="2025-10-13T00:00:00"/>
    <d v="2025-10-15T00:00:00"/>
    <s v="Yes"/>
    <s v="Financing Issue"/>
    <m/>
    <n v="1"/>
    <x v="4"/>
    <n v="2"/>
    <m/>
    <n v="4"/>
    <s v="Normal"/>
    <s v="Detractor"/>
    <m/>
  </r>
  <r>
    <s v="L1037"/>
    <x v="0"/>
    <s v="Warm"/>
    <d v="2025-10-28T00:00:00"/>
    <d v="2025-10-31T00:00:00"/>
    <d v="2025-11-04T00:00:00"/>
    <d v="2025-11-08T00:00:00"/>
    <s v="No"/>
    <s v="Nan"/>
    <d v="2025-11-29T00:00:00"/>
    <n v="3"/>
    <x v="0"/>
    <n v="4"/>
    <n v="2"/>
    <n v="11"/>
    <s v="Normal"/>
    <s v="Detractor"/>
    <m/>
  </r>
  <r>
    <s v="L1038"/>
    <x v="0"/>
    <s v="Warm"/>
    <d v="2025-10-08T00:00:00"/>
    <d v="2025-10-13T00:00:00"/>
    <d v="2025-10-16T00:00:00"/>
    <d v="2025-10-23T00:00:00"/>
    <s v="No"/>
    <s v="Nan"/>
    <d v="2025-11-04T00:00:00"/>
    <n v="5"/>
    <x v="3"/>
    <n v="7"/>
    <n v="9"/>
    <n v="15"/>
    <s v="Normal"/>
    <s v="Promoter"/>
    <m/>
  </r>
  <r>
    <s v="L1039"/>
    <x v="1"/>
    <s v="Warm"/>
    <d v="2025-10-27T00:00:00"/>
    <d v="2025-10-30T00:00:00"/>
    <d v="2025-11-03T00:00:00"/>
    <d v="2025-11-08T00:00:00"/>
    <s v="Yes"/>
    <s v="Other"/>
    <m/>
    <n v="3"/>
    <x v="0"/>
    <n v="5"/>
    <m/>
    <n v="12"/>
    <s v="Normal"/>
    <s v="Detractor"/>
    <m/>
  </r>
  <r>
    <s v="L1040"/>
    <x v="0"/>
    <s v="Cold"/>
    <d v="2025-10-30T00:00:00"/>
    <m/>
    <m/>
    <m/>
    <s v="Yes"/>
    <s v="Others"/>
    <m/>
    <s v=""/>
    <x v="2"/>
    <s v=""/>
    <m/>
    <m/>
    <s v="Normal"/>
    <s v="Detractor"/>
    <m/>
  </r>
  <r>
    <s v="L1041"/>
    <x v="2"/>
    <s v="Warm"/>
    <d v="2025-10-03T00:00:00"/>
    <d v="2025-10-06T00:00:00"/>
    <d v="2025-10-08T00:00:00"/>
    <d v="2025-10-14T00:00:00"/>
    <s v="No"/>
    <s v="Nan"/>
    <d v="2025-11-04T00:00:00"/>
    <n v="3"/>
    <x v="5"/>
    <n v="6"/>
    <n v="6"/>
    <n v="11"/>
    <s v="Normal"/>
    <s v="Detractor"/>
    <m/>
  </r>
  <r>
    <s v="L1042"/>
    <x v="2"/>
    <s v="Warm"/>
    <d v="2025-10-09T00:00:00"/>
    <d v="2025-10-10T00:00:00"/>
    <d v="2025-10-14T00:00:00"/>
    <d v="2025-10-21T00:00:00"/>
    <s v="No"/>
    <s v="Nan"/>
    <d v="2025-11-12T00:00:00"/>
    <n v="1"/>
    <x v="0"/>
    <n v="7"/>
    <n v="7"/>
    <n v="12"/>
    <s v="Normal"/>
    <s v="Passive"/>
    <m/>
  </r>
  <r>
    <s v="L1043"/>
    <x v="0"/>
    <s v="Cold"/>
    <d v="2025-10-29T00:00:00"/>
    <m/>
    <m/>
    <m/>
    <s v="Yes"/>
    <s v="Changed Mind"/>
    <m/>
    <s v=""/>
    <x v="2"/>
    <s v=""/>
    <m/>
    <m/>
    <s v="Normal"/>
    <s v="Detractor"/>
    <m/>
  </r>
  <r>
    <s v="L1044"/>
    <x v="0"/>
    <s v="Hot"/>
    <d v="2025-10-15T00:00:00"/>
    <d v="2025-10-20T00:00:00"/>
    <d v="2025-10-22T00:00:00"/>
    <d v="2025-10-26T00:00:00"/>
    <s v="No"/>
    <s v="Nan"/>
    <d v="2025-11-23T00:00:00"/>
    <n v="5"/>
    <x v="5"/>
    <n v="4"/>
    <n v="8"/>
    <n v="11"/>
    <s v="Normal"/>
    <s v="Passive"/>
    <m/>
  </r>
  <r>
    <s v="L1045"/>
    <x v="3"/>
    <s v="Hot"/>
    <d v="2025-10-08T00:00:00"/>
    <d v="2025-10-13T00:00:00"/>
    <d v="2025-10-17T00:00:00"/>
    <d v="2025-10-23T00:00:00"/>
    <s v="No"/>
    <s v="Nan"/>
    <d v="2025-11-05T00:00:00"/>
    <n v="5"/>
    <x v="0"/>
    <n v="6"/>
    <n v="3"/>
    <n v="15"/>
    <s v="Normal"/>
    <s v="Detractor"/>
    <m/>
  </r>
  <r>
    <s v="L1046"/>
    <x v="2"/>
    <s v="Warm"/>
    <d v="2025-10-25T00:00:00"/>
    <d v="2025-10-27T00:00:00"/>
    <d v="2025-11-01T00:00:00"/>
    <d v="2025-11-06T00:00:00"/>
    <s v="No"/>
    <s v="Nan"/>
    <d v="2025-11-26T00:00:00"/>
    <n v="2"/>
    <x v="1"/>
    <n v="5"/>
    <n v="5"/>
    <n v="12"/>
    <s v="Normal"/>
    <s v="Detractor"/>
    <m/>
  </r>
  <r>
    <s v="L1047"/>
    <x v="1"/>
    <s v="Cold"/>
    <d v="2025-10-15T00:00:00"/>
    <m/>
    <m/>
    <m/>
    <s v="Yes"/>
    <s v="Others"/>
    <m/>
    <s v=""/>
    <x v="2"/>
    <s v=""/>
    <m/>
    <m/>
    <s v="Normal"/>
    <s v="Detractor"/>
    <m/>
  </r>
  <r>
    <s v="L1048"/>
    <x v="3"/>
    <s v="Hot"/>
    <d v="2025-10-19T00:00:00"/>
    <d v="2025-10-21T00:00:00"/>
    <d v="2025-10-26T00:00:00"/>
    <d v="2025-11-01T00:00:00"/>
    <s v="No"/>
    <s v="Nan"/>
    <d v="2025-11-20T00:00:00"/>
    <n v="2"/>
    <x v="1"/>
    <n v="6"/>
    <n v="0"/>
    <n v="13"/>
    <s v="Normal"/>
    <s v="Detractor"/>
    <m/>
  </r>
  <r>
    <s v="L1049"/>
    <x v="0"/>
    <s v="Hot"/>
    <d v="2025-10-20T00:00:00"/>
    <d v="2025-10-24T00:00:00"/>
    <d v="2025-10-28T00:00:00"/>
    <d v="2025-11-02T00:00:00"/>
    <s v="No"/>
    <s v="Nan"/>
    <d v="2025-11-22T00:00:00"/>
    <n v="4"/>
    <x v="0"/>
    <n v="5"/>
    <n v="6"/>
    <n v="13"/>
    <s v="Normal"/>
    <s v="Detractor"/>
    <m/>
  </r>
  <r>
    <s v="L1050"/>
    <x v="0"/>
    <s v="Hot"/>
    <d v="2025-10-22T00:00:00"/>
    <d v="2025-10-24T00:00:00"/>
    <d v="2025-10-25T00:00:00"/>
    <d v="2025-10-31T00:00:00"/>
    <s v="No"/>
    <s v="Nan"/>
    <d v="2025-11-14T00:00:00"/>
    <n v="2"/>
    <x v="4"/>
    <n v="6"/>
    <n v="6"/>
    <n v="9"/>
    <s v="Normal"/>
    <s v="Detractor"/>
    <m/>
  </r>
  <r>
    <s v="L1051"/>
    <x v="2"/>
    <s v="Hot"/>
    <d v="2025-10-13T00:00:00"/>
    <d v="2025-10-14T00:00:00"/>
    <d v="2025-10-16T00:00:00"/>
    <d v="2025-10-18T00:00:00"/>
    <s v="No"/>
    <s v="Nan"/>
    <d v="2025-11-02T00:00:00"/>
    <n v="1"/>
    <x v="5"/>
    <n v="2"/>
    <n v="6"/>
    <n v="5"/>
    <s v="Normal"/>
    <s v="Detractor"/>
    <m/>
  </r>
  <r>
    <s v="L1052"/>
    <x v="0"/>
    <s v="Hot"/>
    <d v="2025-10-11T00:00:00"/>
    <d v="2025-10-14T00:00:00"/>
    <d v="2025-10-19T00:00:00"/>
    <d v="2025-10-23T00:00:00"/>
    <s v="No"/>
    <s v="Nan"/>
    <d v="2025-11-15T00:00:00"/>
    <n v="3"/>
    <x v="1"/>
    <n v="4"/>
    <n v="4"/>
    <n v="12"/>
    <s v="Normal"/>
    <s v="Detractor"/>
    <m/>
  </r>
  <r>
    <s v="L1053"/>
    <x v="1"/>
    <s v="Warm"/>
    <d v="2025-10-01T00:00:00"/>
    <d v="2025-10-06T00:00:00"/>
    <d v="2025-10-08T00:00:00"/>
    <d v="2025-10-12T00:00:00"/>
    <s v="No"/>
    <s v="Nan"/>
    <d v="2025-11-11T00:00:00"/>
    <n v="5"/>
    <x v="5"/>
    <n v="4"/>
    <n v="4"/>
    <n v="11"/>
    <s v="Normal"/>
    <s v="Detractor"/>
    <m/>
  </r>
  <r>
    <s v="L1054"/>
    <x v="2"/>
    <s v="Warm"/>
    <d v="2025-10-16T00:00:00"/>
    <d v="2025-10-19T00:00:00"/>
    <d v="2025-10-24T00:00:00"/>
    <d v="2025-10-29T00:00:00"/>
    <s v="No"/>
    <s v="Nan"/>
    <d v="2025-11-23T00:00:00"/>
    <n v="3"/>
    <x v="1"/>
    <n v="5"/>
    <n v="8"/>
    <n v="13"/>
    <s v="Normal"/>
    <s v="Passive"/>
    <m/>
  </r>
  <r>
    <s v="L1055"/>
    <x v="0"/>
    <s v="Hot"/>
    <d v="2025-10-28T00:00:00"/>
    <d v="2025-10-29T00:00:00"/>
    <d v="2025-11-01T00:00:00"/>
    <d v="2025-11-07T00:00:00"/>
    <s v="No"/>
    <s v="Nan"/>
    <d v="2025-12-07T00:00:00"/>
    <n v="1"/>
    <x v="3"/>
    <n v="6"/>
    <n v="3"/>
    <n v="10"/>
    <s v="Normal"/>
    <s v="Detractor"/>
    <m/>
  </r>
  <r>
    <s v="L1056"/>
    <x v="2"/>
    <s v="Warm"/>
    <d v="2025-10-11T00:00:00"/>
    <d v="2025-10-14T00:00:00"/>
    <d v="2025-10-18T00:00:00"/>
    <d v="2025-10-21T00:00:00"/>
    <s v="No"/>
    <s v="Nan"/>
    <d v="2025-11-10T00:00:00"/>
    <n v="3"/>
    <x v="0"/>
    <n v="3"/>
    <n v="6"/>
    <n v="10"/>
    <s v="Normal"/>
    <s v="Detractor"/>
    <m/>
  </r>
  <r>
    <s v="L1057"/>
    <x v="0"/>
    <s v="Hot"/>
    <d v="2025-10-06T00:00:00"/>
    <d v="2025-10-11T00:00:00"/>
    <d v="2025-10-16T00:00:00"/>
    <d v="2025-10-23T00:00:00"/>
    <s v="No"/>
    <s v="Nan"/>
    <d v="2025-11-07T00:00:00"/>
    <n v="5"/>
    <x v="1"/>
    <n v="7"/>
    <n v="1"/>
    <n v="17"/>
    <s v="Normal"/>
    <s v="Detractor"/>
    <m/>
  </r>
  <r>
    <s v="L1058"/>
    <x v="0"/>
    <s v="Warm"/>
    <d v="2025-10-16T00:00:00"/>
    <d v="2025-10-18T00:00:00"/>
    <d v="2025-10-22T00:00:00"/>
    <d v="2025-10-29T00:00:00"/>
    <s v="Yes"/>
    <s v="Financing Issue"/>
    <m/>
    <n v="2"/>
    <x v="0"/>
    <n v="7"/>
    <m/>
    <n v="13"/>
    <s v="Normal"/>
    <s v="Detractor"/>
    <m/>
  </r>
  <r>
    <s v="L1059"/>
    <x v="0"/>
    <s v="Warm"/>
    <d v="2025-10-07T00:00:00"/>
    <d v="2025-10-11T00:00:00"/>
    <d v="2025-10-14T00:00:00"/>
    <d v="2025-10-18T00:00:00"/>
    <s v="No"/>
    <s v="Nan"/>
    <d v="2025-11-14T00:00:00"/>
    <n v="4"/>
    <x v="3"/>
    <n v="4"/>
    <n v="2"/>
    <n v="11"/>
    <s v="Normal"/>
    <s v="Detractor"/>
    <m/>
  </r>
  <r>
    <s v="L1060"/>
    <x v="1"/>
    <s v="Warm"/>
    <d v="2025-10-12T00:00:00"/>
    <d v="2025-10-17T00:00:00"/>
    <d v="2025-10-19T00:00:00"/>
    <d v="2025-10-25T00:00:00"/>
    <s v="No"/>
    <s v="Nan"/>
    <d v="2025-11-23T00:00:00"/>
    <n v="5"/>
    <x v="5"/>
    <n v="6"/>
    <n v="7"/>
    <n v="13"/>
    <s v="Normal"/>
    <s v="Passive"/>
    <m/>
  </r>
  <r>
    <s v="L1061"/>
    <x v="1"/>
    <s v="Hot"/>
    <d v="2025-10-26T00:00:00"/>
    <d v="2025-10-31T00:00:00"/>
    <d v="2025-11-04T00:00:00"/>
    <d v="2025-11-10T00:00:00"/>
    <s v="No"/>
    <s v="Nan"/>
    <d v="2025-12-01T00:00:00"/>
    <n v="5"/>
    <x v="0"/>
    <n v="6"/>
    <n v="9"/>
    <n v="15"/>
    <s v="Normal"/>
    <s v="Promoter"/>
    <m/>
  </r>
  <r>
    <s v="L1062"/>
    <x v="2"/>
    <s v="Warm"/>
    <d v="2025-10-09T00:00:00"/>
    <d v="2025-10-14T00:00:00"/>
    <d v="2025-10-19T00:00:00"/>
    <d v="2025-10-21T00:00:00"/>
    <s v="No"/>
    <s v="Nan"/>
    <d v="2025-11-07T00:00:00"/>
    <n v="5"/>
    <x v="1"/>
    <n v="2"/>
    <n v="3"/>
    <n v="12"/>
    <s v="Normal"/>
    <s v="Detractor"/>
    <m/>
  </r>
  <r>
    <s v="L1063"/>
    <x v="0"/>
    <s v="Hot"/>
    <d v="2025-10-11T00:00:00"/>
    <d v="2025-10-16T00:00:00"/>
    <d v="2025-10-19T00:00:00"/>
    <d v="2025-10-26T00:00:00"/>
    <s v="No"/>
    <s v="Nan"/>
    <d v="2025-11-23T00:00:00"/>
    <n v="5"/>
    <x v="3"/>
    <n v="7"/>
    <n v="3"/>
    <n v="15"/>
    <s v="Normal"/>
    <s v="Detractor"/>
    <m/>
  </r>
  <r>
    <s v="L1064"/>
    <x v="0"/>
    <s v="Cold"/>
    <d v="2025-10-09T00:00:00"/>
    <m/>
    <m/>
    <m/>
    <s v="Yes"/>
    <s v="Other"/>
    <m/>
    <s v=""/>
    <x v="2"/>
    <s v=""/>
    <m/>
    <m/>
    <s v="Normal"/>
    <s v="Detractor"/>
    <m/>
  </r>
  <r>
    <s v="L1065"/>
    <x v="1"/>
    <s v="Warm"/>
    <d v="2025-10-29T00:00:00"/>
    <d v="2025-10-30T00:00:00"/>
    <d v="2025-11-04T00:00:00"/>
    <d v="2025-11-07T00:00:00"/>
    <s v="No"/>
    <s v="Nan"/>
    <d v="2025-11-22T00:00:00"/>
    <n v="1"/>
    <x v="1"/>
    <n v="3"/>
    <n v="10"/>
    <n v="9"/>
    <s v="Normal"/>
    <s v="Promoter"/>
    <m/>
  </r>
  <r>
    <s v="L1066"/>
    <x v="0"/>
    <s v="Warm"/>
    <d v="2025-10-20T00:00:00"/>
    <d v="2025-10-25T00:00:00"/>
    <d v="2025-10-28T00:00:00"/>
    <d v="2025-11-01T00:00:00"/>
    <s v="No"/>
    <s v="Nan"/>
    <d v="2025-11-23T00:00:00"/>
    <n v="5"/>
    <x v="3"/>
    <n v="4"/>
    <n v="4"/>
    <n v="12"/>
    <s v="Normal"/>
    <s v="Detractor"/>
    <m/>
  </r>
  <r>
    <s v="L1067"/>
    <x v="1"/>
    <s v="Hot"/>
    <d v="2025-10-23T00:00:00"/>
    <d v="2025-10-26T00:00:00"/>
    <d v="2025-10-29T00:00:00"/>
    <d v="2025-10-31T00:00:00"/>
    <s v="No"/>
    <s v="Nan"/>
    <d v="2025-11-19T00:00:00"/>
    <n v="3"/>
    <x v="3"/>
    <n v="2"/>
    <n v="5"/>
    <n v="8"/>
    <s v="Normal"/>
    <s v="Detractor"/>
    <m/>
  </r>
  <r>
    <s v="L1068"/>
    <x v="0"/>
    <s v="Cold"/>
    <d v="2025-10-29T00:00:00"/>
    <m/>
    <m/>
    <m/>
    <s v="Yes"/>
    <s v="Financing Issue"/>
    <m/>
    <s v=""/>
    <x v="2"/>
    <s v=""/>
    <m/>
    <m/>
    <s v="Normal"/>
    <s v="Detractor"/>
    <m/>
  </r>
  <r>
    <s v="L1069"/>
    <x v="2"/>
    <s v="Hot"/>
    <d v="2025-10-09T00:00:00"/>
    <d v="2025-10-10T00:00:00"/>
    <d v="2025-10-15T00:00:00"/>
    <d v="2025-10-18T00:00:00"/>
    <s v="No"/>
    <s v="Nan"/>
    <d v="2025-11-06T00:00:00"/>
    <n v="1"/>
    <x v="1"/>
    <n v="3"/>
    <n v="1"/>
    <n v="9"/>
    <s v="Normal"/>
    <s v="Detractor"/>
    <m/>
  </r>
  <r>
    <s v="L1070"/>
    <x v="0"/>
    <s v="Hot"/>
    <d v="2025-10-18T00:00:00"/>
    <d v="2025-10-20T00:00:00"/>
    <d v="2025-10-24T00:00:00"/>
    <d v="2025-10-28T00:00:00"/>
    <s v="No"/>
    <s v="Nan"/>
    <d v="2025-11-11T00:00:00"/>
    <n v="2"/>
    <x v="0"/>
    <n v="4"/>
    <n v="10"/>
    <n v="10"/>
    <s v="Normal"/>
    <s v="Promoter"/>
    <m/>
  </r>
  <r>
    <s v="L1071"/>
    <x v="0"/>
    <s v="Warm"/>
    <d v="2025-10-01T00:00:00"/>
    <d v="2025-10-04T00:00:00"/>
    <d v="2025-10-06T00:00:00"/>
    <d v="2025-10-08T00:00:00"/>
    <s v="No"/>
    <s v="Nan"/>
    <d v="2025-10-23T00:00:00"/>
    <n v="3"/>
    <x v="5"/>
    <n v="2"/>
    <n v="7"/>
    <n v="7"/>
    <s v="Normal"/>
    <s v="Passive"/>
    <m/>
  </r>
  <r>
    <s v="L1072"/>
    <x v="3"/>
    <s v="Hot"/>
    <d v="2025-10-17T00:00:00"/>
    <d v="2025-10-20T00:00:00"/>
    <d v="2025-10-22T00:00:00"/>
    <d v="2025-10-25T00:00:00"/>
    <s v="No"/>
    <s v="Nan"/>
    <d v="2025-11-04T00:00:00"/>
    <n v="3"/>
    <x v="5"/>
    <n v="3"/>
    <n v="6"/>
    <n v="8"/>
    <s v="Normal"/>
    <s v="Detractor"/>
    <m/>
  </r>
  <r>
    <s v="L1073"/>
    <x v="1"/>
    <s v="Cold"/>
    <d v="2025-10-31T00:00:00"/>
    <m/>
    <m/>
    <m/>
    <s v="Yes"/>
    <s v="Price"/>
    <m/>
    <s v=""/>
    <x v="2"/>
    <s v=""/>
    <m/>
    <m/>
    <s v="Normal"/>
    <s v="Detractor"/>
    <m/>
  </r>
  <r>
    <s v="L1074"/>
    <x v="0"/>
    <s v="Warm"/>
    <d v="2025-10-07T00:00:00"/>
    <d v="2025-10-10T00:00:00"/>
    <d v="2025-10-13T00:00:00"/>
    <d v="2025-10-17T00:00:00"/>
    <s v="No"/>
    <s v="Nan"/>
    <d v="2025-11-14T00:00:00"/>
    <n v="3"/>
    <x v="3"/>
    <n v="4"/>
    <n v="0"/>
    <n v="10"/>
    <s v="Normal"/>
    <s v="Detractor"/>
    <m/>
  </r>
  <r>
    <s v="L1075"/>
    <x v="0"/>
    <s v="Hot"/>
    <d v="2025-10-03T00:00:00"/>
    <d v="2025-10-06T00:00:00"/>
    <d v="2025-10-11T00:00:00"/>
    <d v="2025-10-18T00:00:00"/>
    <s v="No"/>
    <s v="Nan"/>
    <d v="2025-11-09T00:00:00"/>
    <n v="3"/>
    <x v="1"/>
    <n v="7"/>
    <n v="1"/>
    <n v="15"/>
    <s v="Normal"/>
    <s v="Detractor"/>
    <m/>
  </r>
  <r>
    <s v="L1076"/>
    <x v="3"/>
    <s v="Warm"/>
    <d v="2025-10-08T00:00:00"/>
    <d v="2025-10-09T00:00:00"/>
    <d v="2025-10-12T00:00:00"/>
    <d v="2025-10-15T00:00:00"/>
    <s v="No"/>
    <s v="Nan"/>
    <d v="2025-11-12T00:00:00"/>
    <n v="1"/>
    <x v="3"/>
    <n v="3"/>
    <n v="8"/>
    <n v="7"/>
    <s v="Normal"/>
    <s v="Passive"/>
    <m/>
  </r>
  <r>
    <s v="L1077"/>
    <x v="3"/>
    <s v="Cold"/>
    <d v="2025-10-24T00:00:00"/>
    <m/>
    <m/>
    <m/>
    <s v="Yes"/>
    <s v="Other"/>
    <m/>
    <s v=""/>
    <x v="2"/>
    <s v=""/>
    <m/>
    <m/>
    <s v="Normal"/>
    <s v="Detractor"/>
    <m/>
  </r>
  <r>
    <s v="L1078"/>
    <x v="1"/>
    <s v="Cold"/>
    <d v="2025-10-14T00:00:00"/>
    <m/>
    <m/>
    <m/>
    <s v="Yes"/>
    <s v="Financing Issue"/>
    <m/>
    <s v=""/>
    <x v="2"/>
    <s v=""/>
    <m/>
    <m/>
    <s v="Normal"/>
    <s v="Detractor"/>
    <m/>
  </r>
  <r>
    <s v="L1079"/>
    <x v="3"/>
    <s v="Warm"/>
    <d v="2025-10-16T00:00:00"/>
    <d v="2025-10-18T00:00:00"/>
    <d v="2025-10-20T00:00:00"/>
    <d v="2025-10-26T00:00:00"/>
    <s v="Yes"/>
    <s v="Changed Mind"/>
    <m/>
    <n v="2"/>
    <x v="5"/>
    <n v="6"/>
    <m/>
    <n v="10"/>
    <s v="Normal"/>
    <s v="Detractor"/>
    <m/>
  </r>
  <r>
    <s v="L1080"/>
    <x v="2"/>
    <s v="Cold"/>
    <d v="2025-10-18T00:00:00"/>
    <m/>
    <m/>
    <m/>
    <s v="Yes"/>
    <s v="Other"/>
    <m/>
    <s v=""/>
    <x v="2"/>
    <s v=""/>
    <m/>
    <m/>
    <s v="Normal"/>
    <s v="Detractor"/>
    <m/>
  </r>
  <r>
    <s v="L1081"/>
    <x v="3"/>
    <s v="Cold"/>
    <d v="2025-10-25T00:00:00"/>
    <m/>
    <m/>
    <m/>
    <s v="Yes"/>
    <s v="Other"/>
    <m/>
    <s v=""/>
    <x v="2"/>
    <s v=""/>
    <m/>
    <m/>
    <s v="Normal"/>
    <s v="Detractor"/>
    <m/>
  </r>
  <r>
    <s v="L1082"/>
    <x v="2"/>
    <s v="Warm"/>
    <d v="2025-10-08T00:00:00"/>
    <d v="2025-10-10T00:00:00"/>
    <d v="2025-10-13T00:00:00"/>
    <d v="2025-10-18T00:00:00"/>
    <s v="No"/>
    <s v="Nan"/>
    <d v="2025-10-29T00:00:00"/>
    <n v="2"/>
    <x v="3"/>
    <n v="5"/>
    <n v="5"/>
    <n v="10"/>
    <s v="Normal"/>
    <s v="Detractor"/>
    <m/>
  </r>
  <r>
    <s v="L1083"/>
    <x v="1"/>
    <s v="Hot"/>
    <d v="2025-10-23T00:00:00"/>
    <d v="2025-10-28T00:00:00"/>
    <d v="2025-10-31T00:00:00"/>
    <d v="2025-11-05T00:00:00"/>
    <s v="No"/>
    <s v="Nan"/>
    <d v="2025-11-20T00:00:00"/>
    <n v="5"/>
    <x v="3"/>
    <n v="5"/>
    <n v="5"/>
    <n v="13"/>
    <s v="Normal"/>
    <s v="Detractor"/>
    <m/>
  </r>
  <r>
    <s v="L1084"/>
    <x v="1"/>
    <s v="Warm"/>
    <d v="2025-10-16T00:00:00"/>
    <d v="2025-10-20T00:00:00"/>
    <d v="2025-10-22T00:00:00"/>
    <d v="2025-10-28T00:00:00"/>
    <s v="No"/>
    <s v="Nan"/>
    <d v="2025-11-26T00:00:00"/>
    <n v="4"/>
    <x v="5"/>
    <n v="6"/>
    <n v="4"/>
    <n v="12"/>
    <s v="Normal"/>
    <s v="Detractor"/>
    <m/>
  </r>
  <r>
    <s v="L1085"/>
    <x v="1"/>
    <s v="Cold"/>
    <d v="2025-10-21T00:00:00"/>
    <m/>
    <m/>
    <m/>
    <s v="Yes"/>
    <s v="Others"/>
    <m/>
    <s v=""/>
    <x v="2"/>
    <s v=""/>
    <m/>
    <m/>
    <s v="Normal"/>
    <s v="Detractor"/>
    <m/>
  </r>
  <r>
    <s v="L1086"/>
    <x v="1"/>
    <s v="Hot"/>
    <d v="2025-10-23T00:00:00"/>
    <d v="2025-10-24T00:00:00"/>
    <d v="2025-10-28T00:00:00"/>
    <d v="2025-10-31T00:00:00"/>
    <s v="No"/>
    <s v="Nan"/>
    <d v="2025-11-20T00:00:00"/>
    <n v="1"/>
    <x v="0"/>
    <n v="3"/>
    <n v="7"/>
    <n v="8"/>
    <s v="Normal"/>
    <s v="Passive"/>
    <m/>
  </r>
  <r>
    <s v="L1087"/>
    <x v="1"/>
    <s v="Cold"/>
    <d v="2025-10-16T00:00:00"/>
    <m/>
    <m/>
    <m/>
    <s v="Yes"/>
    <s v="Changed Mind"/>
    <m/>
    <s v=""/>
    <x v="2"/>
    <s v=""/>
    <m/>
    <m/>
    <s v="Normal"/>
    <s v="Detractor"/>
    <m/>
  </r>
  <r>
    <s v="L1088"/>
    <x v="2"/>
    <s v="Hot"/>
    <d v="2025-10-15T00:00:00"/>
    <d v="2025-10-17T00:00:00"/>
    <d v="2025-10-20T00:00:00"/>
    <d v="2025-10-26T00:00:00"/>
    <s v="No"/>
    <s v="Nan"/>
    <d v="2025-11-24T00:00:00"/>
    <n v="2"/>
    <x v="3"/>
    <n v="6"/>
    <n v="5"/>
    <n v="11"/>
    <s v="Normal"/>
    <s v="Detractor"/>
    <m/>
  </r>
  <r>
    <s v="L1089"/>
    <x v="2"/>
    <s v="Hot"/>
    <d v="2025-10-26T00:00:00"/>
    <d v="2025-10-27T00:00:00"/>
    <d v="2025-10-31T00:00:00"/>
    <d v="2025-11-05T00:00:00"/>
    <s v="No"/>
    <s v="Nan"/>
    <d v="2025-11-22T00:00:00"/>
    <n v="1"/>
    <x v="0"/>
    <n v="5"/>
    <n v="8"/>
    <n v="10"/>
    <s v="Normal"/>
    <s v="Passive"/>
    <m/>
  </r>
  <r>
    <s v="L1090"/>
    <x v="1"/>
    <s v="Warm"/>
    <d v="2025-10-01T00:00:00"/>
    <d v="2025-10-02T00:00:00"/>
    <d v="2025-10-05T00:00:00"/>
    <d v="2025-10-10T00:00:00"/>
    <s v="No"/>
    <s v="Nan"/>
    <d v="2025-11-09T00:00:00"/>
    <n v="1"/>
    <x v="3"/>
    <n v="5"/>
    <n v="0"/>
    <n v="9"/>
    <s v="Normal"/>
    <s v="Detractor"/>
    <m/>
  </r>
  <r>
    <s v="L1091"/>
    <x v="3"/>
    <s v="Hot"/>
    <d v="2025-10-03T00:00:00"/>
    <d v="2025-10-08T00:00:00"/>
    <d v="2025-10-13T00:00:00"/>
    <d v="2025-10-16T00:00:00"/>
    <s v="No"/>
    <s v="Nan"/>
    <d v="2025-11-13T00:00:00"/>
    <n v="5"/>
    <x v="1"/>
    <n v="3"/>
    <n v="9"/>
    <n v="13"/>
    <s v="Normal"/>
    <s v="Promoter"/>
    <m/>
  </r>
  <r>
    <s v="L1092"/>
    <x v="0"/>
    <s v="Cold"/>
    <d v="2025-10-10T00:00:00"/>
    <m/>
    <m/>
    <m/>
    <s v="Yes"/>
    <s v="Price"/>
    <m/>
    <s v=""/>
    <x v="2"/>
    <s v=""/>
    <m/>
    <m/>
    <s v="Normal"/>
    <s v="Detractor"/>
    <m/>
  </r>
  <r>
    <s v="L1093"/>
    <x v="1"/>
    <s v="Cold"/>
    <d v="2025-10-08T00:00:00"/>
    <m/>
    <m/>
    <m/>
    <s v="Yes"/>
    <s v="Financing Issue"/>
    <m/>
    <s v=""/>
    <x v="2"/>
    <s v=""/>
    <m/>
    <m/>
    <s v="Normal"/>
    <s v="Detractor"/>
    <m/>
  </r>
  <r>
    <s v="L1094"/>
    <x v="3"/>
    <s v="Cold"/>
    <d v="2025-10-13T00:00:00"/>
    <m/>
    <m/>
    <m/>
    <s v="Yes"/>
    <s v="Others"/>
    <m/>
    <s v=""/>
    <x v="2"/>
    <s v=""/>
    <m/>
    <m/>
    <s v="Normal"/>
    <s v="Detractor"/>
    <m/>
  </r>
  <r>
    <s v="L1095"/>
    <x v="0"/>
    <s v="Warm"/>
    <d v="2025-10-23T00:00:00"/>
    <d v="2025-10-25T00:00:00"/>
    <d v="2025-10-28T00:00:00"/>
    <d v="2025-11-02T00:00:00"/>
    <s v="No"/>
    <s v="Nan"/>
    <d v="2025-11-15T00:00:00"/>
    <n v="2"/>
    <x v="3"/>
    <n v="5"/>
    <n v="9"/>
    <n v="10"/>
    <s v="Normal"/>
    <s v="Promoter"/>
    <m/>
  </r>
  <r>
    <s v="L1096"/>
    <x v="1"/>
    <s v="Hot"/>
    <d v="2025-10-08T00:00:00"/>
    <d v="2025-10-12T00:00:00"/>
    <d v="2025-10-15T00:00:00"/>
    <d v="2025-10-22T00:00:00"/>
    <s v="Yes"/>
    <s v="Financing Issue"/>
    <m/>
    <n v="4"/>
    <x v="3"/>
    <n v="7"/>
    <m/>
    <n v="14"/>
    <s v="Normal"/>
    <s v="Detractor"/>
    <m/>
  </r>
  <r>
    <s v="L1097"/>
    <x v="1"/>
    <s v="Warm"/>
    <d v="2025-10-10T00:00:00"/>
    <d v="2025-10-14T00:00:00"/>
    <d v="2025-10-15T00:00:00"/>
    <d v="2025-10-21T00:00:00"/>
    <s v="No"/>
    <s v="Nan"/>
    <d v="2025-11-15T00:00:00"/>
    <n v="4"/>
    <x v="4"/>
    <n v="6"/>
    <n v="6"/>
    <n v="11"/>
    <s v="Normal"/>
    <s v="Detractor"/>
    <m/>
  </r>
  <r>
    <s v="L1098"/>
    <x v="2"/>
    <s v="Warm"/>
    <d v="2025-10-22T00:00:00"/>
    <d v="2025-10-26T00:00:00"/>
    <d v="2025-10-31T00:00:00"/>
    <d v="2025-11-07T00:00:00"/>
    <s v="No"/>
    <s v="Nan"/>
    <d v="2025-11-21T00:00:00"/>
    <n v="4"/>
    <x v="1"/>
    <n v="7"/>
    <n v="0"/>
    <n v="16"/>
    <s v="Normal"/>
    <s v="Detractor"/>
    <m/>
  </r>
  <r>
    <s v="L1099"/>
    <x v="0"/>
    <s v="Warm"/>
    <d v="2025-10-19T00:00:00"/>
    <d v="2025-10-22T00:00:00"/>
    <d v="2025-10-27T00:00:00"/>
    <d v="2025-11-03T00:00:00"/>
    <s v="No"/>
    <s v="Nan"/>
    <d v="2025-11-23T00:00:00"/>
    <n v="3"/>
    <x v="1"/>
    <n v="7"/>
    <n v="10"/>
    <n v="15"/>
    <s v="Normal"/>
    <s v="Promoter"/>
    <m/>
  </r>
  <r>
    <s v="L1100"/>
    <x v="0"/>
    <s v="Hot"/>
    <d v="2025-10-12T00:00:00"/>
    <d v="2025-10-14T00:00:00"/>
    <d v="2025-10-18T00:00:00"/>
    <d v="2025-10-21T00:00:00"/>
    <s v="No"/>
    <s v="Nan"/>
    <d v="2025-11-02T00:00:00"/>
    <n v="2"/>
    <x v="0"/>
    <n v="3"/>
    <n v="1"/>
    <n v="9"/>
    <s v="Normal"/>
    <s v="Detractor"/>
    <m/>
  </r>
  <r>
    <s v="L1101"/>
    <x v="3"/>
    <s v="Warm"/>
    <d v="2025-10-16T00:00:00"/>
    <d v="2025-10-19T00:00:00"/>
    <d v="2025-10-23T00:00:00"/>
    <d v="2025-10-29T00:00:00"/>
    <s v="No"/>
    <s v="Nan"/>
    <d v="2025-11-15T00:00:00"/>
    <n v="3"/>
    <x v="0"/>
    <n v="6"/>
    <n v="1"/>
    <n v="13"/>
    <s v="Normal"/>
    <s v="Detractor"/>
    <m/>
  </r>
  <r>
    <s v="L1102"/>
    <x v="2"/>
    <s v="Warm"/>
    <d v="2025-10-18T00:00:00"/>
    <d v="2025-10-21T00:00:00"/>
    <d v="2025-10-24T00:00:00"/>
    <d v="2025-10-27T00:00:00"/>
    <s v="No"/>
    <s v="Nan"/>
    <d v="2025-11-17T00:00:00"/>
    <n v="3"/>
    <x v="3"/>
    <n v="3"/>
    <n v="0"/>
    <n v="9"/>
    <s v="Normal"/>
    <s v="Detractor"/>
    <m/>
  </r>
  <r>
    <s v="L1103"/>
    <x v="2"/>
    <s v="Cold"/>
    <d v="2025-10-17T00:00:00"/>
    <m/>
    <m/>
    <m/>
    <s v="Yes"/>
    <s v="Price"/>
    <m/>
    <s v=""/>
    <x v="2"/>
    <s v=""/>
    <m/>
    <m/>
    <s v="Normal"/>
    <s v="Detractor"/>
    <m/>
  </r>
  <r>
    <s v="L1104"/>
    <x v="2"/>
    <s v="Cold"/>
    <d v="2025-10-12T00:00:00"/>
    <m/>
    <m/>
    <m/>
    <s v="Yes"/>
    <s v="Price"/>
    <m/>
    <s v=""/>
    <x v="2"/>
    <s v=""/>
    <m/>
    <m/>
    <s v="Normal"/>
    <s v="Detractor"/>
    <m/>
  </r>
  <r>
    <s v="L1105"/>
    <x v="2"/>
    <s v="Warm"/>
    <d v="2025-10-14T00:00:00"/>
    <d v="2025-10-17T00:00:00"/>
    <d v="2025-10-19T00:00:00"/>
    <d v="2025-10-24T00:00:00"/>
    <s v="No"/>
    <s v="Nan"/>
    <d v="2025-11-13T00:00:00"/>
    <n v="3"/>
    <x v="5"/>
    <n v="5"/>
    <n v="2"/>
    <n v="10"/>
    <s v="Normal"/>
    <s v="Detractor"/>
    <m/>
  </r>
  <r>
    <s v="L1106"/>
    <x v="0"/>
    <s v="Warm"/>
    <d v="2025-10-24T00:00:00"/>
    <d v="2025-10-29T00:00:00"/>
    <d v="2025-11-01T00:00:00"/>
    <d v="2025-11-05T00:00:00"/>
    <s v="Yes"/>
    <s v="Other"/>
    <m/>
    <n v="5"/>
    <x v="3"/>
    <n v="4"/>
    <m/>
    <n v="12"/>
    <s v="Normal"/>
    <s v="Detractor"/>
    <m/>
  </r>
  <r>
    <s v="L1107"/>
    <x v="0"/>
    <s v="Warm"/>
    <d v="2025-10-18T00:00:00"/>
    <d v="2025-10-23T00:00:00"/>
    <d v="2025-10-24T00:00:00"/>
    <d v="2025-10-27T00:00:00"/>
    <s v="No"/>
    <s v="Nan"/>
    <d v="2025-11-11T00:00:00"/>
    <n v="5"/>
    <x v="4"/>
    <n v="3"/>
    <n v="10"/>
    <n v="9"/>
    <s v="Normal"/>
    <s v="Promoter"/>
    <m/>
  </r>
  <r>
    <s v="L1108"/>
    <x v="1"/>
    <s v="Hot"/>
    <d v="2025-10-11T00:00:00"/>
    <d v="2025-10-12T00:00:00"/>
    <d v="2025-10-15T00:00:00"/>
    <d v="2025-10-18T00:00:00"/>
    <s v="No"/>
    <s v="Nan"/>
    <d v="2025-11-17T00:00:00"/>
    <n v="1"/>
    <x v="3"/>
    <n v="3"/>
    <n v="4"/>
    <n v="7"/>
    <s v="Normal"/>
    <s v="Detractor"/>
    <m/>
  </r>
  <r>
    <s v="L1109"/>
    <x v="1"/>
    <s v="Cold"/>
    <d v="2025-10-12T00:00:00"/>
    <m/>
    <m/>
    <m/>
    <s v="Yes"/>
    <s v="Price"/>
    <m/>
    <s v=""/>
    <x v="2"/>
    <s v=""/>
    <m/>
    <m/>
    <s v="Normal"/>
    <s v="Detractor"/>
    <m/>
  </r>
  <r>
    <s v="L1110"/>
    <x v="2"/>
    <s v="Cold"/>
    <d v="2025-10-23T00:00:00"/>
    <m/>
    <m/>
    <m/>
    <s v="Yes"/>
    <s v="Financing Issue"/>
    <m/>
    <s v=""/>
    <x v="2"/>
    <s v=""/>
    <m/>
    <m/>
    <s v="Normal"/>
    <s v="Detractor"/>
    <m/>
  </r>
  <r>
    <s v="L1111"/>
    <x v="2"/>
    <s v="Warm"/>
    <d v="2025-10-15T00:00:00"/>
    <d v="2025-10-16T00:00:00"/>
    <d v="2025-10-17T00:00:00"/>
    <d v="2025-10-21T00:00:00"/>
    <s v="No"/>
    <s v="Nan"/>
    <d v="2025-11-02T00:00:00"/>
    <n v="1"/>
    <x v="4"/>
    <n v="4"/>
    <n v="2"/>
    <n v="6"/>
    <s v="Normal"/>
    <s v="Detractor"/>
    <m/>
  </r>
  <r>
    <s v="L1112"/>
    <x v="2"/>
    <s v="Warm"/>
    <d v="2025-10-09T00:00:00"/>
    <d v="2025-10-11T00:00:00"/>
    <d v="2025-10-14T00:00:00"/>
    <d v="2025-10-19T00:00:00"/>
    <s v="Yes"/>
    <s v="Changed Mind"/>
    <m/>
    <n v="2"/>
    <x v="3"/>
    <n v="5"/>
    <m/>
    <n v="10"/>
    <s v="Normal"/>
    <s v="Detractor"/>
    <m/>
  </r>
  <r>
    <s v="L1113"/>
    <x v="1"/>
    <s v="Hot"/>
    <d v="2025-10-10T00:00:00"/>
    <d v="2025-10-12T00:00:00"/>
    <d v="2025-10-16T00:00:00"/>
    <d v="2025-10-22T00:00:00"/>
    <s v="No"/>
    <s v="Nan"/>
    <d v="2025-11-21T00:00:00"/>
    <n v="2"/>
    <x v="0"/>
    <n v="6"/>
    <n v="6"/>
    <n v="12"/>
    <s v="Normal"/>
    <s v="Detractor"/>
    <m/>
  </r>
  <r>
    <s v="L1114"/>
    <x v="3"/>
    <s v="Warm"/>
    <d v="2025-10-09T00:00:00"/>
    <d v="2025-10-14T00:00:00"/>
    <d v="2025-10-17T00:00:00"/>
    <d v="2025-10-19T00:00:00"/>
    <s v="No"/>
    <s v="Nan"/>
    <d v="2025-11-08T00:00:00"/>
    <n v="5"/>
    <x v="3"/>
    <n v="2"/>
    <n v="10"/>
    <n v="10"/>
    <s v="Normal"/>
    <s v="Promoter"/>
    <m/>
  </r>
  <r>
    <s v="L1115"/>
    <x v="3"/>
    <s v="Hot"/>
    <d v="2025-10-08T00:00:00"/>
    <d v="2025-10-09T00:00:00"/>
    <d v="2025-10-13T00:00:00"/>
    <d v="2025-10-17T00:00:00"/>
    <s v="No"/>
    <s v="Nan"/>
    <d v="2025-11-10T00:00:00"/>
    <n v="1"/>
    <x v="0"/>
    <n v="4"/>
    <n v="8"/>
    <n v="9"/>
    <s v="Normal"/>
    <s v="Passive"/>
    <m/>
  </r>
  <r>
    <s v="L1116"/>
    <x v="1"/>
    <s v="Cold"/>
    <d v="2025-10-04T00:00:00"/>
    <m/>
    <m/>
    <m/>
    <s v="Yes"/>
    <s v="Changed Mind"/>
    <m/>
    <s v=""/>
    <x v="2"/>
    <s v=""/>
    <m/>
    <m/>
    <s v="Normal"/>
    <s v="Detractor"/>
    <m/>
  </r>
  <r>
    <s v="L1117"/>
    <x v="1"/>
    <s v="Hot"/>
    <d v="2025-10-24T00:00:00"/>
    <d v="2025-10-25T00:00:00"/>
    <d v="2025-10-27T00:00:00"/>
    <d v="2025-10-29T00:00:00"/>
    <s v="No"/>
    <s v="Nan"/>
    <d v="2025-11-08T00:00:00"/>
    <n v="1"/>
    <x v="5"/>
    <n v="2"/>
    <n v="1"/>
    <n v="5"/>
    <s v="Normal"/>
    <s v="Detractor"/>
    <m/>
  </r>
  <r>
    <s v="L1118"/>
    <x v="1"/>
    <s v="Warm"/>
    <d v="2025-10-07T00:00:00"/>
    <d v="2025-10-10T00:00:00"/>
    <d v="2025-10-12T00:00:00"/>
    <d v="2025-10-17T00:00:00"/>
    <s v="No"/>
    <s v="Nan"/>
    <d v="2025-11-04T00:00:00"/>
    <n v="3"/>
    <x v="5"/>
    <n v="5"/>
    <n v="5"/>
    <n v="10"/>
    <s v="Normal"/>
    <s v="Detractor"/>
    <m/>
  </r>
  <r>
    <s v="L1119"/>
    <x v="1"/>
    <s v="Cold"/>
    <d v="2025-10-11T00:00:00"/>
    <m/>
    <m/>
    <m/>
    <s v="Yes"/>
    <s v="Other"/>
    <m/>
    <s v=""/>
    <x v="2"/>
    <s v=""/>
    <m/>
    <m/>
    <s v="Normal"/>
    <s v="Detractor"/>
    <m/>
  </r>
  <r>
    <s v="L1120"/>
    <x v="1"/>
    <s v="Warm"/>
    <d v="2025-10-04T00:00:00"/>
    <d v="2025-10-08T00:00:00"/>
    <d v="2025-10-13T00:00:00"/>
    <d v="2025-10-16T00:00:00"/>
    <s v="No"/>
    <s v="Nan"/>
    <d v="2025-11-01T00:00:00"/>
    <n v="4"/>
    <x v="1"/>
    <n v="3"/>
    <n v="1"/>
    <n v="12"/>
    <s v="Normal"/>
    <s v="Detractor"/>
    <m/>
  </r>
  <r>
    <s v="L1121"/>
    <x v="1"/>
    <s v="Hot"/>
    <d v="2025-10-24T00:00:00"/>
    <d v="2025-10-28T00:00:00"/>
    <d v="2025-10-31T00:00:00"/>
    <d v="2025-11-03T00:00:00"/>
    <s v="No"/>
    <s v="Nan"/>
    <d v="2025-11-20T00:00:00"/>
    <n v="4"/>
    <x v="3"/>
    <n v="3"/>
    <n v="2"/>
    <n v="10"/>
    <s v="Normal"/>
    <s v="Detractor"/>
    <m/>
  </r>
  <r>
    <s v="L1122"/>
    <x v="2"/>
    <s v="Hot"/>
    <d v="2025-10-18T00:00:00"/>
    <d v="2025-10-22T00:00:00"/>
    <d v="2025-10-27T00:00:00"/>
    <d v="2025-11-01T00:00:00"/>
    <s v="No"/>
    <s v="Nan"/>
    <d v="2025-11-13T00:00:00"/>
    <n v="4"/>
    <x v="1"/>
    <n v="5"/>
    <n v="6"/>
    <n v="14"/>
    <s v="Normal"/>
    <s v="Detractor"/>
    <m/>
  </r>
  <r>
    <s v="L1123"/>
    <x v="2"/>
    <s v="Hot"/>
    <d v="2025-10-31T00:00:00"/>
    <d v="2025-11-05T00:00:00"/>
    <d v="2025-11-08T00:00:00"/>
    <d v="2025-11-14T00:00:00"/>
    <s v="No"/>
    <s v="Nan"/>
    <d v="2025-12-05T00:00:00"/>
    <n v="5"/>
    <x v="3"/>
    <n v="6"/>
    <n v="5"/>
    <n v="14"/>
    <s v="Normal"/>
    <s v="Detractor"/>
    <m/>
  </r>
  <r>
    <s v="L1124"/>
    <x v="2"/>
    <s v="Warm"/>
    <d v="2025-10-25T00:00:00"/>
    <d v="2025-10-29T00:00:00"/>
    <d v="2025-10-31T00:00:00"/>
    <d v="2025-11-06T00:00:00"/>
    <s v="No"/>
    <s v="Nan"/>
    <d v="2025-11-24T00:00:00"/>
    <n v="4"/>
    <x v="5"/>
    <n v="6"/>
    <n v="4"/>
    <n v="12"/>
    <s v="Normal"/>
    <s v="Detractor"/>
    <m/>
  </r>
  <r>
    <s v="L1125"/>
    <x v="2"/>
    <s v="Hot"/>
    <d v="2025-10-23T00:00:00"/>
    <d v="2025-10-27T00:00:00"/>
    <d v="2025-10-28T00:00:00"/>
    <d v="2025-11-04T00:00:00"/>
    <s v="No"/>
    <s v="Nan"/>
    <d v="2025-11-17T00:00:00"/>
    <n v="4"/>
    <x v="4"/>
    <n v="7"/>
    <n v="0"/>
    <n v="12"/>
    <s v="Normal"/>
    <s v="Detractor"/>
    <m/>
  </r>
  <r>
    <s v="L1126"/>
    <x v="1"/>
    <s v="Warm"/>
    <d v="2025-10-06T00:00:00"/>
    <d v="2025-10-09T00:00:00"/>
    <d v="2025-10-14T00:00:00"/>
    <d v="2025-10-19T00:00:00"/>
    <s v="No"/>
    <s v="Nan"/>
    <d v="2025-10-29T00:00:00"/>
    <n v="3"/>
    <x v="1"/>
    <n v="5"/>
    <n v="4"/>
    <n v="13"/>
    <s v="Normal"/>
    <s v="Detractor"/>
    <m/>
  </r>
  <r>
    <s v="L1127"/>
    <x v="3"/>
    <s v="Cold"/>
    <d v="2025-10-07T00:00:00"/>
    <m/>
    <m/>
    <m/>
    <s v="Yes"/>
    <s v="Financing Issue"/>
    <m/>
    <s v=""/>
    <x v="2"/>
    <s v=""/>
    <m/>
    <m/>
    <s v="Normal"/>
    <s v="Detractor"/>
    <m/>
  </r>
  <r>
    <s v="L1128"/>
    <x v="0"/>
    <s v="Hot"/>
    <d v="2025-10-07T00:00:00"/>
    <d v="2025-10-09T00:00:00"/>
    <d v="2025-10-14T00:00:00"/>
    <d v="2025-10-19T00:00:00"/>
    <s v="No"/>
    <s v="Nan"/>
    <d v="2025-10-30T00:00:00"/>
    <n v="2"/>
    <x v="1"/>
    <n v="5"/>
    <n v="4"/>
    <n v="12"/>
    <s v="Normal"/>
    <s v="Detractor"/>
    <m/>
  </r>
  <r>
    <s v="L1129"/>
    <x v="1"/>
    <s v="Cold"/>
    <d v="2025-10-24T00:00:00"/>
    <m/>
    <m/>
    <m/>
    <s v="Yes"/>
    <s v="Financing Issue"/>
    <m/>
    <s v=""/>
    <x v="2"/>
    <s v=""/>
    <m/>
    <m/>
    <s v="Normal"/>
    <s v="Detractor"/>
    <m/>
  </r>
  <r>
    <s v="L1130"/>
    <x v="0"/>
    <s v="Cold"/>
    <d v="2025-10-16T00:00:00"/>
    <m/>
    <m/>
    <m/>
    <s v="Yes"/>
    <s v="Price"/>
    <m/>
    <s v=""/>
    <x v="2"/>
    <s v=""/>
    <m/>
    <m/>
    <s v="Normal"/>
    <s v="Detractor"/>
    <m/>
  </r>
  <r>
    <s v="L1131"/>
    <x v="3"/>
    <s v="Hot"/>
    <d v="2025-10-09T00:00:00"/>
    <d v="2025-10-14T00:00:00"/>
    <d v="2025-10-16T00:00:00"/>
    <d v="2025-10-23T00:00:00"/>
    <s v="No"/>
    <s v="Nan"/>
    <d v="2025-11-14T00:00:00"/>
    <n v="5"/>
    <x v="5"/>
    <n v="7"/>
    <n v="4"/>
    <n v="14"/>
    <s v="Normal"/>
    <s v="Detractor"/>
    <m/>
  </r>
  <r>
    <s v="L1132"/>
    <x v="2"/>
    <s v="Cold"/>
    <d v="2025-10-24T00:00:00"/>
    <m/>
    <m/>
    <m/>
    <s v="Yes"/>
    <s v="Financing Issue"/>
    <m/>
    <s v=""/>
    <x v="2"/>
    <s v=""/>
    <m/>
    <m/>
    <s v="Normal"/>
    <s v="Detractor"/>
    <m/>
  </r>
  <r>
    <s v="L1133"/>
    <x v="3"/>
    <s v="Warm"/>
    <d v="2025-10-19T00:00:00"/>
    <d v="2025-10-20T00:00:00"/>
    <d v="2025-10-22T00:00:00"/>
    <d v="2025-10-27T00:00:00"/>
    <s v="No"/>
    <s v="Nan"/>
    <d v="2025-11-20T00:00:00"/>
    <n v="1"/>
    <x v="5"/>
    <n v="5"/>
    <n v="2"/>
    <n v="8"/>
    <s v="Normal"/>
    <s v="Detractor"/>
    <m/>
  </r>
  <r>
    <s v="L1134"/>
    <x v="1"/>
    <s v="Cold"/>
    <d v="2025-10-25T00:00:00"/>
    <m/>
    <m/>
    <m/>
    <s v="Yes"/>
    <s v="Others"/>
    <m/>
    <s v=""/>
    <x v="2"/>
    <s v=""/>
    <m/>
    <m/>
    <s v="Normal"/>
    <s v="Detractor"/>
    <m/>
  </r>
  <r>
    <s v="L1135"/>
    <x v="2"/>
    <s v="Warm"/>
    <d v="2025-10-17T00:00:00"/>
    <d v="2025-10-20T00:00:00"/>
    <d v="2025-10-21T00:00:00"/>
    <d v="2025-10-26T00:00:00"/>
    <s v="No"/>
    <s v="Nan"/>
    <d v="2025-11-18T00:00:00"/>
    <n v="3"/>
    <x v="4"/>
    <n v="5"/>
    <n v="3"/>
    <n v="9"/>
    <s v="Normal"/>
    <s v="Detractor"/>
    <m/>
  </r>
  <r>
    <s v="L1136"/>
    <x v="1"/>
    <s v="Warm"/>
    <d v="2025-10-20T00:00:00"/>
    <d v="2025-10-24T00:00:00"/>
    <d v="2025-10-29T00:00:00"/>
    <d v="2025-11-05T00:00:00"/>
    <s v="No"/>
    <s v="Nan"/>
    <d v="2025-11-20T00:00:00"/>
    <n v="4"/>
    <x v="1"/>
    <n v="7"/>
    <n v="0"/>
    <n v="16"/>
    <s v="Normal"/>
    <s v="Detractor"/>
    <m/>
  </r>
  <r>
    <s v="L1137"/>
    <x v="2"/>
    <s v="Warm"/>
    <d v="2025-10-10T00:00:00"/>
    <d v="2025-10-11T00:00:00"/>
    <d v="2025-10-13T00:00:00"/>
    <d v="2025-10-18T00:00:00"/>
    <s v="Yes"/>
    <s v="Price"/>
    <m/>
    <n v="1"/>
    <x v="5"/>
    <n v="5"/>
    <m/>
    <n v="8"/>
    <s v="Normal"/>
    <s v="Detractor"/>
    <m/>
  </r>
  <r>
    <s v="L1138"/>
    <x v="0"/>
    <s v="Cold"/>
    <d v="2025-10-04T00:00:00"/>
    <m/>
    <m/>
    <m/>
    <s v="Yes"/>
    <s v="Others"/>
    <m/>
    <s v=""/>
    <x v="2"/>
    <s v=""/>
    <m/>
    <m/>
    <s v="Normal"/>
    <s v="Detractor"/>
    <m/>
  </r>
  <r>
    <s v="L1139"/>
    <x v="0"/>
    <s v="Warm"/>
    <d v="2025-10-27T00:00:00"/>
    <d v="2025-10-30T00:00:00"/>
    <d v="2025-11-01T00:00:00"/>
    <d v="2025-11-06T00:00:00"/>
    <s v="No"/>
    <s v="Nan"/>
    <d v="2025-11-29T00:00:00"/>
    <n v="3"/>
    <x v="5"/>
    <n v="5"/>
    <n v="5"/>
    <n v="10"/>
    <s v="Normal"/>
    <s v="Detractor"/>
    <m/>
  </r>
  <r>
    <s v="L1140"/>
    <x v="0"/>
    <s v="Warm"/>
    <d v="2025-10-07T00:00:00"/>
    <d v="2025-10-12T00:00:00"/>
    <d v="2025-10-13T00:00:00"/>
    <d v="2025-10-16T00:00:00"/>
    <s v="No"/>
    <s v="Nan"/>
    <d v="2025-11-10T00:00:00"/>
    <n v="5"/>
    <x v="4"/>
    <n v="3"/>
    <n v="0"/>
    <n v="9"/>
    <s v="Normal"/>
    <s v="Detractor"/>
    <m/>
  </r>
  <r>
    <s v="L1141"/>
    <x v="3"/>
    <s v="Cold"/>
    <d v="2025-10-10T00:00:00"/>
    <m/>
    <m/>
    <m/>
    <s v="Yes"/>
    <s v="Other"/>
    <m/>
    <s v=""/>
    <x v="2"/>
    <s v=""/>
    <m/>
    <m/>
    <s v="Normal"/>
    <s v="Detractor"/>
    <m/>
  </r>
  <r>
    <s v="L1142"/>
    <x v="1"/>
    <s v="Hot"/>
    <d v="2025-10-08T00:00:00"/>
    <d v="2025-10-12T00:00:00"/>
    <d v="2025-10-13T00:00:00"/>
    <d v="2025-10-15T00:00:00"/>
    <s v="No"/>
    <s v="Nan"/>
    <d v="2025-11-06T00:00:00"/>
    <n v="4"/>
    <x v="4"/>
    <n v="2"/>
    <n v="4"/>
    <n v="7"/>
    <s v="Normal"/>
    <s v="Detractor"/>
    <m/>
  </r>
  <r>
    <s v="L1143"/>
    <x v="3"/>
    <s v="Hot"/>
    <d v="2025-10-12T00:00:00"/>
    <d v="2025-10-17T00:00:00"/>
    <d v="2025-10-21T00:00:00"/>
    <d v="2025-10-27T00:00:00"/>
    <s v="No"/>
    <s v="Nan"/>
    <d v="2025-11-17T00:00:00"/>
    <n v="5"/>
    <x v="0"/>
    <n v="6"/>
    <n v="1"/>
    <n v="15"/>
    <s v="Normal"/>
    <s v="Detractor"/>
    <m/>
  </r>
  <r>
    <s v="L1144"/>
    <x v="0"/>
    <s v="Hot"/>
    <d v="2025-10-06T00:00:00"/>
    <d v="2025-10-09T00:00:00"/>
    <d v="2025-10-12T00:00:00"/>
    <d v="2025-10-14T00:00:00"/>
    <s v="No"/>
    <s v="Nan"/>
    <d v="2025-11-10T00:00:00"/>
    <n v="3"/>
    <x v="3"/>
    <n v="2"/>
    <n v="6"/>
    <n v="8"/>
    <s v="Normal"/>
    <s v="Detractor"/>
    <m/>
  </r>
  <r>
    <s v="L1145"/>
    <x v="1"/>
    <s v="Warm"/>
    <d v="2025-10-10T00:00:00"/>
    <d v="2025-10-11T00:00:00"/>
    <d v="2025-10-15T00:00:00"/>
    <d v="2025-10-18T00:00:00"/>
    <s v="No"/>
    <s v="Nan"/>
    <d v="2025-11-09T00:00:00"/>
    <n v="1"/>
    <x v="0"/>
    <n v="3"/>
    <n v="1"/>
    <n v="8"/>
    <s v="Normal"/>
    <s v="Detractor"/>
    <m/>
  </r>
  <r>
    <s v="L1146"/>
    <x v="0"/>
    <s v="Hot"/>
    <d v="2025-10-01T00:00:00"/>
    <d v="2025-10-03T00:00:00"/>
    <d v="2025-10-04T00:00:00"/>
    <d v="2025-10-08T00:00:00"/>
    <s v="No"/>
    <s v="Nan"/>
    <d v="2025-10-21T00:00:00"/>
    <n v="2"/>
    <x v="4"/>
    <n v="4"/>
    <n v="6"/>
    <n v="7"/>
    <s v="Normal"/>
    <s v="Detractor"/>
    <m/>
  </r>
  <r>
    <s v="L1147"/>
    <x v="3"/>
    <s v="Cold"/>
    <d v="2025-10-23T00:00:00"/>
    <m/>
    <m/>
    <m/>
    <s v="Yes"/>
    <s v="Changed Mind"/>
    <m/>
    <s v=""/>
    <x v="2"/>
    <s v=""/>
    <m/>
    <m/>
    <s v="Normal"/>
    <s v="Detractor"/>
    <m/>
  </r>
  <r>
    <s v="L1148"/>
    <x v="3"/>
    <s v="Hot"/>
    <d v="2025-10-18T00:00:00"/>
    <d v="2025-10-22T00:00:00"/>
    <d v="2025-10-24T00:00:00"/>
    <d v="2025-10-26T00:00:00"/>
    <s v="No"/>
    <s v="Nan"/>
    <d v="2025-11-20T00:00:00"/>
    <n v="4"/>
    <x v="5"/>
    <n v="2"/>
    <n v="5"/>
    <n v="8"/>
    <s v="Normal"/>
    <s v="Detractor"/>
    <m/>
  </r>
  <r>
    <s v="L1149"/>
    <x v="3"/>
    <s v="Warm"/>
    <d v="2025-10-05T00:00:00"/>
    <d v="2025-10-10T00:00:00"/>
    <d v="2025-10-11T00:00:00"/>
    <d v="2025-10-15T00:00:00"/>
    <s v="No"/>
    <s v="Nan"/>
    <d v="2025-11-12T00:00:00"/>
    <n v="5"/>
    <x v="4"/>
    <n v="4"/>
    <n v="4"/>
    <n v="10"/>
    <s v="Normal"/>
    <s v="Detractor"/>
    <m/>
  </r>
  <r>
    <s v="L1150"/>
    <x v="0"/>
    <s v="Hot"/>
    <d v="2025-10-09T00:00:00"/>
    <d v="2025-10-10T00:00:00"/>
    <d v="2025-10-15T00:00:00"/>
    <d v="2025-10-18T00:00:00"/>
    <s v="No"/>
    <s v="Nan"/>
    <d v="2025-11-17T00:00:00"/>
    <n v="1"/>
    <x v="1"/>
    <n v="3"/>
    <n v="2"/>
    <n v="9"/>
    <s v="Normal"/>
    <s v="Detractor"/>
    <m/>
  </r>
  <r>
    <s v="L1151"/>
    <x v="1"/>
    <s v="Cold"/>
    <d v="2025-10-02T00:00:00"/>
    <m/>
    <m/>
    <m/>
    <s v="Yes"/>
    <s v="Other"/>
    <m/>
    <s v=""/>
    <x v="2"/>
    <s v=""/>
    <m/>
    <m/>
    <s v="Normal"/>
    <s v="Detractor"/>
    <m/>
  </r>
  <r>
    <s v="L1152"/>
    <x v="1"/>
    <s v="Cold"/>
    <d v="2025-10-02T00:00:00"/>
    <m/>
    <m/>
    <m/>
    <s v="Yes"/>
    <s v="Changed Mind"/>
    <m/>
    <s v=""/>
    <x v="2"/>
    <s v=""/>
    <m/>
    <m/>
    <s v="Normal"/>
    <s v="Detractor"/>
    <m/>
  </r>
  <r>
    <s v="L1153"/>
    <x v="0"/>
    <s v="Warm"/>
    <d v="2025-10-18T00:00:00"/>
    <d v="2025-10-19T00:00:00"/>
    <d v="2025-10-21T00:00:00"/>
    <d v="2025-10-27T00:00:00"/>
    <s v="No"/>
    <s v="Nan"/>
    <d v="2025-11-13T00:00:00"/>
    <n v="1"/>
    <x v="5"/>
    <n v="6"/>
    <n v="7"/>
    <n v="9"/>
    <s v="Normal"/>
    <s v="Passive"/>
    <m/>
  </r>
  <r>
    <s v="L1154"/>
    <x v="1"/>
    <s v="Cold"/>
    <d v="2025-10-10T00:00:00"/>
    <m/>
    <m/>
    <m/>
    <s v="Yes"/>
    <s v="Other"/>
    <m/>
    <s v=""/>
    <x v="2"/>
    <s v=""/>
    <m/>
    <m/>
    <s v="Normal"/>
    <s v="Detractor"/>
    <m/>
  </r>
  <r>
    <s v="L1155"/>
    <x v="0"/>
    <s v="Hot"/>
    <d v="2025-10-23T00:00:00"/>
    <d v="2025-10-25T00:00:00"/>
    <d v="2025-10-29T00:00:00"/>
    <d v="2025-11-02T00:00:00"/>
    <s v="No"/>
    <s v="Nan"/>
    <d v="2025-11-17T00:00:00"/>
    <n v="2"/>
    <x v="0"/>
    <n v="4"/>
    <n v="4"/>
    <n v="10"/>
    <s v="Normal"/>
    <s v="Detractor"/>
    <m/>
  </r>
  <r>
    <s v="L1156"/>
    <x v="1"/>
    <s v="Cold"/>
    <d v="2025-10-31T00:00:00"/>
    <m/>
    <m/>
    <m/>
    <s v="Yes"/>
    <s v="Financing Issue"/>
    <m/>
    <s v=""/>
    <x v="2"/>
    <s v=""/>
    <m/>
    <m/>
    <s v="Normal"/>
    <s v="Detractor"/>
    <m/>
  </r>
  <r>
    <s v="L1157"/>
    <x v="2"/>
    <s v="Hot"/>
    <d v="2025-10-05T00:00:00"/>
    <d v="2025-10-08T00:00:00"/>
    <d v="2025-10-12T00:00:00"/>
    <d v="2025-10-15T00:00:00"/>
    <s v="No"/>
    <s v="Nan"/>
    <d v="2025-11-08T00:00:00"/>
    <n v="3"/>
    <x v="0"/>
    <n v="3"/>
    <n v="8"/>
    <n v="10"/>
    <s v="Normal"/>
    <s v="Passive"/>
    <m/>
  </r>
  <r>
    <s v="L1158"/>
    <x v="2"/>
    <s v="Cold"/>
    <d v="2025-10-21T00:00:00"/>
    <m/>
    <m/>
    <m/>
    <s v="Yes"/>
    <s v="Others"/>
    <m/>
    <s v=""/>
    <x v="2"/>
    <s v=""/>
    <m/>
    <m/>
    <s v="Normal"/>
    <s v="Detractor"/>
    <m/>
  </r>
  <r>
    <s v="L1159"/>
    <x v="3"/>
    <s v="Hot"/>
    <d v="2025-10-28T00:00:00"/>
    <d v="2025-10-30T00:00:00"/>
    <d v="2025-11-03T00:00:00"/>
    <d v="2025-11-08T00:00:00"/>
    <s v="No"/>
    <s v="Nan"/>
    <d v="2025-11-20T00:00:00"/>
    <n v="2"/>
    <x v="0"/>
    <n v="5"/>
    <n v="5"/>
    <n v="11"/>
    <s v="Normal"/>
    <s v="Detractor"/>
    <m/>
  </r>
  <r>
    <s v="L1160"/>
    <x v="2"/>
    <s v="Warm"/>
    <d v="2025-10-25T00:00:00"/>
    <d v="2025-10-27T00:00:00"/>
    <d v="2025-10-29T00:00:00"/>
    <d v="2025-11-04T00:00:00"/>
    <s v="No"/>
    <s v="Nan"/>
    <d v="2025-11-15T00:00:00"/>
    <n v="2"/>
    <x v="5"/>
    <n v="6"/>
    <n v="3"/>
    <n v="10"/>
    <s v="Normal"/>
    <s v="Detractor"/>
    <m/>
  </r>
  <r>
    <s v="L1161"/>
    <x v="2"/>
    <s v="Warm"/>
    <d v="2025-10-16T00:00:00"/>
    <d v="2025-10-19T00:00:00"/>
    <d v="2025-10-22T00:00:00"/>
    <d v="2025-10-29T00:00:00"/>
    <s v="No"/>
    <s v="Nan"/>
    <d v="2025-11-17T00:00:00"/>
    <n v="3"/>
    <x v="3"/>
    <n v="7"/>
    <n v="2"/>
    <n v="13"/>
    <s v="Normal"/>
    <s v="Detractor"/>
    <m/>
  </r>
  <r>
    <s v="L1162"/>
    <x v="2"/>
    <s v="Hot"/>
    <d v="2025-10-04T00:00:00"/>
    <d v="2025-10-07T00:00:00"/>
    <d v="2025-10-10T00:00:00"/>
    <d v="2025-10-15T00:00:00"/>
    <s v="No"/>
    <s v="Nan"/>
    <d v="2025-10-25T00:00:00"/>
    <n v="3"/>
    <x v="3"/>
    <n v="5"/>
    <n v="7"/>
    <n v="11"/>
    <s v="Normal"/>
    <s v="Passive"/>
    <m/>
  </r>
  <r>
    <s v="L1163"/>
    <x v="0"/>
    <s v="Hot"/>
    <d v="2025-10-28T00:00:00"/>
    <d v="2025-10-31T00:00:00"/>
    <d v="2025-11-03T00:00:00"/>
    <d v="2025-11-09T00:00:00"/>
    <s v="No"/>
    <s v="Nan"/>
    <d v="2025-11-29T00:00:00"/>
    <n v="3"/>
    <x v="3"/>
    <n v="6"/>
    <n v="5"/>
    <n v="12"/>
    <s v="Normal"/>
    <s v="Detractor"/>
    <m/>
  </r>
  <r>
    <s v="L1164"/>
    <x v="2"/>
    <s v="Hot"/>
    <d v="2025-10-01T00:00:00"/>
    <d v="2025-10-02T00:00:00"/>
    <d v="2025-10-03T00:00:00"/>
    <d v="2025-10-09T00:00:00"/>
    <s v="No"/>
    <s v="Nan"/>
    <d v="2025-10-27T00:00:00"/>
    <n v="1"/>
    <x v="4"/>
    <n v="6"/>
    <n v="6"/>
    <n v="8"/>
    <s v="Normal"/>
    <s v="Detractor"/>
    <m/>
  </r>
  <r>
    <s v="L1165"/>
    <x v="2"/>
    <s v="Warm"/>
    <d v="2025-10-19T00:00:00"/>
    <d v="2025-10-20T00:00:00"/>
    <d v="2025-10-21T00:00:00"/>
    <d v="2025-10-23T00:00:00"/>
    <s v="No"/>
    <s v="Nan"/>
    <d v="2025-11-05T00:00:00"/>
    <n v="1"/>
    <x v="4"/>
    <n v="2"/>
    <n v="2"/>
    <n v="4"/>
    <s v="Normal"/>
    <s v="Detractor"/>
    <m/>
  </r>
  <r>
    <s v="L1166"/>
    <x v="3"/>
    <s v="Warm"/>
    <d v="2025-10-10T00:00:00"/>
    <d v="2025-10-14T00:00:00"/>
    <d v="2025-10-19T00:00:00"/>
    <d v="2025-10-25T00:00:00"/>
    <s v="Yes"/>
    <s v="Changed Mind"/>
    <m/>
    <n v="4"/>
    <x v="1"/>
    <n v="6"/>
    <m/>
    <n v="15"/>
    <s v="Normal"/>
    <s v="Detractor"/>
    <m/>
  </r>
  <r>
    <s v="L1167"/>
    <x v="2"/>
    <s v="Hot"/>
    <d v="2025-10-16T00:00:00"/>
    <d v="2025-10-20T00:00:00"/>
    <d v="2025-10-22T00:00:00"/>
    <d v="2025-10-24T00:00:00"/>
    <s v="Yes"/>
    <s v="Price"/>
    <m/>
    <n v="4"/>
    <x v="5"/>
    <n v="2"/>
    <m/>
    <n v="8"/>
    <s v="Normal"/>
    <s v="Detractor"/>
    <m/>
  </r>
  <r>
    <s v="L1168"/>
    <x v="2"/>
    <s v="Warm"/>
    <d v="2025-10-16T00:00:00"/>
    <d v="2025-10-18T00:00:00"/>
    <d v="2025-10-23T00:00:00"/>
    <d v="2025-10-27T00:00:00"/>
    <s v="No"/>
    <s v="Nan"/>
    <d v="2025-11-08T00:00:00"/>
    <n v="2"/>
    <x v="1"/>
    <n v="4"/>
    <n v="5"/>
    <n v="11"/>
    <s v="Normal"/>
    <s v="Detractor"/>
    <m/>
  </r>
  <r>
    <s v="L1169"/>
    <x v="1"/>
    <s v="Hot"/>
    <d v="2025-10-15T00:00:00"/>
    <d v="2025-10-17T00:00:00"/>
    <d v="2025-10-18T00:00:00"/>
    <d v="2025-10-24T00:00:00"/>
    <s v="No"/>
    <s v="Nan"/>
    <d v="2025-11-13T00:00:00"/>
    <n v="2"/>
    <x v="4"/>
    <n v="6"/>
    <n v="2"/>
    <n v="9"/>
    <s v="Normal"/>
    <s v="Detractor"/>
    <m/>
  </r>
  <r>
    <s v="L1170"/>
    <x v="3"/>
    <s v="Cold"/>
    <d v="2025-10-11T00:00:00"/>
    <m/>
    <m/>
    <m/>
    <s v="Yes"/>
    <s v="Others"/>
    <m/>
    <s v=""/>
    <x v="2"/>
    <s v=""/>
    <m/>
    <m/>
    <s v="Normal"/>
    <s v="Detractor"/>
    <m/>
  </r>
  <r>
    <s v="L1171"/>
    <x v="3"/>
    <s v="Hot"/>
    <d v="2025-10-06T00:00:00"/>
    <d v="2025-10-10T00:00:00"/>
    <d v="2025-10-12T00:00:00"/>
    <d v="2025-10-16T00:00:00"/>
    <s v="No"/>
    <s v="Nan"/>
    <d v="2025-10-31T00:00:00"/>
    <n v="4"/>
    <x v="5"/>
    <n v="4"/>
    <n v="1"/>
    <n v="10"/>
    <s v="Normal"/>
    <s v="Detractor"/>
    <m/>
  </r>
  <r>
    <s v="L1172"/>
    <x v="3"/>
    <s v="Hot"/>
    <d v="2025-10-31T00:00:00"/>
    <d v="2025-11-05T00:00:00"/>
    <d v="2025-11-09T00:00:00"/>
    <d v="2025-11-15T00:00:00"/>
    <s v="No"/>
    <s v="Nan"/>
    <d v="2025-12-07T00:00:00"/>
    <n v="5"/>
    <x v="0"/>
    <n v="6"/>
    <n v="8"/>
    <n v="15"/>
    <s v="Normal"/>
    <s v="Passive"/>
    <m/>
  </r>
  <r>
    <s v="L1173"/>
    <x v="3"/>
    <s v="Hot"/>
    <d v="2025-10-02T00:00:00"/>
    <d v="2025-10-04T00:00:00"/>
    <d v="2025-10-06T00:00:00"/>
    <d v="2025-10-08T00:00:00"/>
    <s v="No"/>
    <s v="Nan"/>
    <d v="2025-10-23T00:00:00"/>
    <n v="2"/>
    <x v="5"/>
    <n v="2"/>
    <n v="6"/>
    <n v="6"/>
    <s v="Normal"/>
    <s v="Detractor"/>
    <m/>
  </r>
  <r>
    <s v="L1174"/>
    <x v="3"/>
    <s v="Warm"/>
    <d v="2025-10-09T00:00:00"/>
    <d v="2025-10-14T00:00:00"/>
    <d v="2025-10-15T00:00:00"/>
    <d v="2025-10-22T00:00:00"/>
    <s v="No"/>
    <s v="Nan"/>
    <d v="2025-11-03T00:00:00"/>
    <n v="5"/>
    <x v="4"/>
    <n v="7"/>
    <n v="6"/>
    <n v="13"/>
    <s v="Normal"/>
    <s v="Detractor"/>
    <m/>
  </r>
  <r>
    <s v="L1175"/>
    <x v="3"/>
    <s v="Cold"/>
    <d v="2025-10-31T00:00:00"/>
    <m/>
    <m/>
    <m/>
    <s v="Yes"/>
    <s v="Price"/>
    <m/>
    <s v=""/>
    <x v="2"/>
    <s v=""/>
    <m/>
    <m/>
    <s v="Normal"/>
    <s v="Detractor"/>
    <m/>
  </r>
  <r>
    <s v="L1176"/>
    <x v="0"/>
    <s v="Warm"/>
    <d v="2025-10-28T00:00:00"/>
    <d v="2025-11-02T00:00:00"/>
    <d v="2025-11-06T00:00:00"/>
    <d v="2025-11-11T00:00:00"/>
    <s v="No"/>
    <s v="Nan"/>
    <d v="2025-12-08T00:00:00"/>
    <n v="5"/>
    <x v="0"/>
    <n v="5"/>
    <n v="3"/>
    <n v="14"/>
    <s v="Normal"/>
    <s v="Detractor"/>
    <m/>
  </r>
  <r>
    <s v="L1177"/>
    <x v="2"/>
    <s v="Hot"/>
    <d v="2025-10-16T00:00:00"/>
    <d v="2025-10-19T00:00:00"/>
    <d v="2025-10-23T00:00:00"/>
    <d v="2025-10-29T00:00:00"/>
    <s v="No"/>
    <s v="Nan"/>
    <d v="2025-11-10T00:00:00"/>
    <n v="3"/>
    <x v="0"/>
    <n v="6"/>
    <n v="5"/>
    <n v="13"/>
    <s v="Normal"/>
    <s v="Detractor"/>
    <m/>
  </r>
  <r>
    <s v="L1178"/>
    <x v="3"/>
    <s v="Warm"/>
    <d v="2025-10-04T00:00:00"/>
    <d v="2025-10-05T00:00:00"/>
    <d v="2025-10-07T00:00:00"/>
    <d v="2025-10-10T00:00:00"/>
    <s v="No"/>
    <s v="Nan"/>
    <d v="2025-10-30T00:00:00"/>
    <n v="1"/>
    <x v="5"/>
    <n v="3"/>
    <n v="9"/>
    <n v="6"/>
    <s v="Normal"/>
    <s v="Promoter"/>
    <m/>
  </r>
  <r>
    <s v="L1179"/>
    <x v="2"/>
    <s v="Warm"/>
    <d v="2025-10-27T00:00:00"/>
    <d v="2025-10-31T00:00:00"/>
    <d v="2025-11-03T00:00:00"/>
    <d v="2025-11-08T00:00:00"/>
    <s v="No"/>
    <s v="Nan"/>
    <d v="2025-12-07T00:00:00"/>
    <n v="4"/>
    <x v="3"/>
    <n v="5"/>
    <n v="4"/>
    <n v="12"/>
    <s v="Normal"/>
    <s v="Detractor"/>
    <m/>
  </r>
  <r>
    <s v="L1180"/>
    <x v="2"/>
    <s v="Hot"/>
    <d v="2025-10-03T00:00:00"/>
    <d v="2025-10-04T00:00:00"/>
    <d v="2025-10-05T00:00:00"/>
    <d v="2025-10-07T00:00:00"/>
    <s v="No"/>
    <s v="Nan"/>
    <d v="2025-11-05T00:00:00"/>
    <n v="1"/>
    <x v="4"/>
    <n v="2"/>
    <n v="1"/>
    <n v="4"/>
    <s v="Normal"/>
    <s v="Detractor"/>
    <m/>
  </r>
  <r>
    <s v="L1181"/>
    <x v="0"/>
    <s v="Warm"/>
    <d v="2025-10-13T00:00:00"/>
    <d v="2025-10-17T00:00:00"/>
    <d v="2025-10-18T00:00:00"/>
    <d v="2025-10-25T00:00:00"/>
    <s v="No"/>
    <s v="Nan"/>
    <d v="2025-11-19T00:00:00"/>
    <n v="4"/>
    <x v="4"/>
    <n v="7"/>
    <n v="4"/>
    <n v="12"/>
    <s v="Normal"/>
    <s v="Detractor"/>
    <m/>
  </r>
  <r>
    <s v="L1182"/>
    <x v="3"/>
    <s v="Cold"/>
    <d v="2025-10-16T00:00:00"/>
    <m/>
    <m/>
    <m/>
    <s v="Yes"/>
    <s v="Others"/>
    <m/>
    <s v=""/>
    <x v="2"/>
    <s v=""/>
    <m/>
    <m/>
    <s v="Normal"/>
    <s v="Detractor"/>
    <m/>
  </r>
  <r>
    <s v="L1183"/>
    <x v="1"/>
    <s v="Hot"/>
    <d v="2025-10-03T00:00:00"/>
    <d v="2025-10-04T00:00:00"/>
    <d v="2025-10-07T00:00:00"/>
    <d v="2025-10-14T00:00:00"/>
    <s v="No"/>
    <s v="Nan"/>
    <d v="2025-10-24T00:00:00"/>
    <n v="1"/>
    <x v="3"/>
    <n v="7"/>
    <n v="6"/>
    <n v="11"/>
    <s v="Normal"/>
    <s v="Detractor"/>
    <m/>
  </r>
  <r>
    <s v="L1184"/>
    <x v="0"/>
    <s v="Warm"/>
    <d v="2025-10-19T00:00:00"/>
    <d v="2025-10-23T00:00:00"/>
    <d v="2025-10-28T00:00:00"/>
    <d v="2025-10-31T00:00:00"/>
    <s v="No"/>
    <s v="Nan"/>
    <d v="2025-11-23T00:00:00"/>
    <n v="4"/>
    <x v="1"/>
    <n v="3"/>
    <n v="3"/>
    <n v="12"/>
    <s v="Normal"/>
    <s v="Detractor"/>
    <m/>
  </r>
  <r>
    <s v="L1185"/>
    <x v="1"/>
    <s v="Warm"/>
    <d v="2025-10-21T00:00:00"/>
    <d v="2025-10-22T00:00:00"/>
    <d v="2025-10-27T00:00:00"/>
    <d v="2025-10-31T00:00:00"/>
    <s v="No"/>
    <s v="Nan"/>
    <d v="2025-11-30T00:00:00"/>
    <n v="1"/>
    <x v="1"/>
    <n v="4"/>
    <n v="2"/>
    <n v="10"/>
    <s v="Normal"/>
    <s v="Detractor"/>
    <m/>
  </r>
  <r>
    <s v="L1186"/>
    <x v="2"/>
    <s v="Warm"/>
    <d v="2025-10-22T00:00:00"/>
    <d v="2025-10-25T00:00:00"/>
    <d v="2025-10-26T00:00:00"/>
    <d v="2025-10-28T00:00:00"/>
    <s v="No"/>
    <s v="Nan"/>
    <d v="2025-11-12T00:00:00"/>
    <n v="3"/>
    <x v="4"/>
    <n v="2"/>
    <n v="3"/>
    <n v="6"/>
    <s v="Normal"/>
    <s v="Detractor"/>
    <m/>
  </r>
  <r>
    <s v="L1187"/>
    <x v="2"/>
    <s v="Hot"/>
    <d v="2025-10-02T00:00:00"/>
    <d v="2025-10-07T00:00:00"/>
    <d v="2025-10-10T00:00:00"/>
    <d v="2025-10-15T00:00:00"/>
    <s v="No"/>
    <s v="Nan"/>
    <d v="2025-11-13T00:00:00"/>
    <n v="5"/>
    <x v="3"/>
    <n v="5"/>
    <n v="7"/>
    <n v="13"/>
    <s v="Normal"/>
    <s v="Passive"/>
    <m/>
  </r>
  <r>
    <s v="L1188"/>
    <x v="0"/>
    <s v="Hot"/>
    <d v="2025-10-05T00:00:00"/>
    <d v="2025-10-09T00:00:00"/>
    <d v="2025-10-12T00:00:00"/>
    <d v="2025-10-16T00:00:00"/>
    <s v="No"/>
    <s v="Nan"/>
    <d v="2025-11-08T00:00:00"/>
    <n v="4"/>
    <x v="3"/>
    <n v="4"/>
    <n v="9"/>
    <n v="11"/>
    <s v="Normal"/>
    <s v="Promoter"/>
    <m/>
  </r>
  <r>
    <s v="L1189"/>
    <x v="0"/>
    <s v="Cold"/>
    <d v="2025-10-05T00:00:00"/>
    <m/>
    <m/>
    <m/>
    <s v="Yes"/>
    <s v="Others"/>
    <m/>
    <s v=""/>
    <x v="2"/>
    <s v=""/>
    <m/>
    <m/>
    <s v="Normal"/>
    <s v="Detractor"/>
    <m/>
  </r>
  <r>
    <s v="L1190"/>
    <x v="1"/>
    <s v="Cold"/>
    <d v="2025-10-26T00:00:00"/>
    <m/>
    <m/>
    <m/>
    <s v="Yes"/>
    <s v="Other"/>
    <m/>
    <s v=""/>
    <x v="2"/>
    <s v=""/>
    <m/>
    <m/>
    <s v="Normal"/>
    <s v="Detractor"/>
    <m/>
  </r>
  <r>
    <s v="L1191"/>
    <x v="3"/>
    <s v="Warm"/>
    <d v="2025-10-19T00:00:00"/>
    <d v="2025-10-24T00:00:00"/>
    <d v="2025-10-28T00:00:00"/>
    <d v="2025-11-01T00:00:00"/>
    <s v="No"/>
    <s v="Nan"/>
    <d v="2025-11-16T00:00:00"/>
    <n v="5"/>
    <x v="0"/>
    <n v="4"/>
    <n v="10"/>
    <n v="13"/>
    <s v="Normal"/>
    <s v="Promoter"/>
    <m/>
  </r>
  <r>
    <s v="L1192"/>
    <x v="1"/>
    <s v="Warm"/>
    <d v="2025-10-31T00:00:00"/>
    <d v="2025-11-04T00:00:00"/>
    <d v="2025-11-09T00:00:00"/>
    <d v="2025-11-11T00:00:00"/>
    <s v="Yes"/>
    <s v="Changed Mind"/>
    <m/>
    <n v="4"/>
    <x v="1"/>
    <n v="2"/>
    <m/>
    <n v="11"/>
    <s v="Normal"/>
    <s v="Detractor"/>
    <m/>
  </r>
  <r>
    <s v="L1193"/>
    <x v="0"/>
    <s v="Warm"/>
    <d v="2025-10-10T00:00:00"/>
    <d v="2025-10-14T00:00:00"/>
    <d v="2025-10-19T00:00:00"/>
    <d v="2025-10-24T00:00:00"/>
    <s v="No"/>
    <s v="Nan"/>
    <d v="2025-11-04T00:00:00"/>
    <n v="4"/>
    <x v="1"/>
    <n v="5"/>
    <n v="5"/>
    <n v="14"/>
    <s v="Normal"/>
    <s v="Detractor"/>
    <m/>
  </r>
  <r>
    <s v="L1194"/>
    <x v="1"/>
    <s v="Warm"/>
    <d v="2025-10-03T00:00:00"/>
    <d v="2025-10-06T00:00:00"/>
    <d v="2025-10-10T00:00:00"/>
    <d v="2025-10-12T00:00:00"/>
    <s v="No"/>
    <s v="Nan"/>
    <d v="2025-10-25T00:00:00"/>
    <n v="3"/>
    <x v="0"/>
    <n v="2"/>
    <n v="3"/>
    <n v="9"/>
    <s v="Normal"/>
    <s v="Detractor"/>
    <m/>
  </r>
  <r>
    <s v="L1195"/>
    <x v="0"/>
    <s v="Warm"/>
    <d v="2025-10-08T00:00:00"/>
    <d v="2025-10-09T00:00:00"/>
    <d v="2025-10-11T00:00:00"/>
    <d v="2025-10-14T00:00:00"/>
    <s v="No"/>
    <s v="Nan"/>
    <d v="2025-11-03T00:00:00"/>
    <n v="1"/>
    <x v="5"/>
    <n v="3"/>
    <n v="9"/>
    <n v="6"/>
    <s v="Normal"/>
    <s v="Promoter"/>
    <m/>
  </r>
  <r>
    <s v="L1196"/>
    <x v="1"/>
    <s v="Hot"/>
    <d v="2025-10-04T00:00:00"/>
    <d v="2025-10-08T00:00:00"/>
    <d v="2025-10-13T00:00:00"/>
    <d v="2025-10-16T00:00:00"/>
    <s v="No"/>
    <s v="Nan"/>
    <d v="2025-11-01T00:00:00"/>
    <n v="4"/>
    <x v="1"/>
    <n v="3"/>
    <n v="10"/>
    <n v="12"/>
    <s v="Normal"/>
    <s v="Promoter"/>
    <m/>
  </r>
  <r>
    <s v="L1197"/>
    <x v="0"/>
    <s v="Cold"/>
    <d v="2025-10-18T00:00:00"/>
    <m/>
    <m/>
    <m/>
    <s v="Yes"/>
    <s v="Changed Mind"/>
    <m/>
    <s v=""/>
    <x v="2"/>
    <s v=""/>
    <m/>
    <m/>
    <s v="Normal"/>
    <s v="Detractor"/>
    <m/>
  </r>
  <r>
    <s v="L1198"/>
    <x v="0"/>
    <s v="Warm"/>
    <d v="2025-10-25T00:00:00"/>
    <d v="2025-10-26T00:00:00"/>
    <d v="2025-10-30T00:00:00"/>
    <d v="2025-11-06T00:00:00"/>
    <s v="No"/>
    <s v="Nan"/>
    <d v="2025-11-22T00:00:00"/>
    <n v="1"/>
    <x v="0"/>
    <n v="7"/>
    <n v="8"/>
    <n v="12"/>
    <s v="Normal"/>
    <s v="Passive"/>
    <m/>
  </r>
  <r>
    <s v="L1199"/>
    <x v="0"/>
    <s v="Cold"/>
    <d v="2025-10-14T00:00:00"/>
    <m/>
    <m/>
    <m/>
    <s v="Yes"/>
    <s v="Others"/>
    <m/>
    <s v=""/>
    <x v="2"/>
    <s v=""/>
    <m/>
    <m/>
    <s v="Normal"/>
    <s v="Detractor"/>
    <m/>
  </r>
  <r>
    <s v="L1200"/>
    <x v="3"/>
    <s v="Hot"/>
    <d v="2025-10-20T00:00:00"/>
    <d v="2025-10-23T00:00:00"/>
    <d v="2025-10-26T00:00:00"/>
    <d v="2025-11-01T00:00:00"/>
    <s v="No"/>
    <s v="Nan"/>
    <d v="2025-11-24T00:00:00"/>
    <n v="3"/>
    <x v="3"/>
    <n v="6"/>
    <n v="6"/>
    <n v="12"/>
    <s v="Normal"/>
    <s v="Detractor"/>
    <m/>
  </r>
  <r>
    <s v="L1201"/>
    <x v="1"/>
    <s v="Hot"/>
    <d v="2025-10-20T00:00:00"/>
    <d v="2025-10-22T00:00:00"/>
    <d v="2025-10-24T00:00:00"/>
    <d v="2025-10-31T00:00:00"/>
    <s v="No"/>
    <s v="Nan"/>
    <d v="2025-11-27T00:00:00"/>
    <n v="2"/>
    <x v="5"/>
    <n v="7"/>
    <n v="2"/>
    <n v="11"/>
    <s v="Normal"/>
    <s v="Detractor"/>
    <m/>
  </r>
  <r>
    <s v="L1202"/>
    <x v="1"/>
    <s v="Hot"/>
    <d v="2025-10-26T00:00:00"/>
    <d v="2025-10-31T00:00:00"/>
    <d v="2025-11-01T00:00:00"/>
    <d v="2025-11-05T00:00:00"/>
    <s v="No"/>
    <s v="Nan"/>
    <d v="2025-12-02T00:00:00"/>
    <n v="5"/>
    <x v="4"/>
    <n v="4"/>
    <n v="2"/>
    <n v="10"/>
    <s v="Normal"/>
    <s v="Detractor"/>
    <m/>
  </r>
  <r>
    <s v="L1203"/>
    <x v="1"/>
    <s v="Warm"/>
    <d v="2025-10-20T00:00:00"/>
    <d v="2025-10-24T00:00:00"/>
    <d v="2025-10-27T00:00:00"/>
    <d v="2025-11-03T00:00:00"/>
    <s v="No"/>
    <s v="Nan"/>
    <d v="2025-11-21T00:00:00"/>
    <n v="4"/>
    <x v="3"/>
    <n v="7"/>
    <n v="9"/>
    <n v="14"/>
    <s v="Normal"/>
    <s v="Promoter"/>
    <m/>
  </r>
  <r>
    <s v="L1204"/>
    <x v="0"/>
    <s v="Cold"/>
    <d v="2025-10-08T00:00:00"/>
    <m/>
    <m/>
    <m/>
    <s v="Yes"/>
    <s v="Financing Issue"/>
    <m/>
    <s v=""/>
    <x v="2"/>
    <s v=""/>
    <m/>
    <m/>
    <s v="Normal"/>
    <s v="Detractor"/>
    <m/>
  </r>
  <r>
    <s v="L1205"/>
    <x v="1"/>
    <s v="Hot"/>
    <d v="2025-10-25T00:00:00"/>
    <d v="2025-10-28T00:00:00"/>
    <d v="2025-10-30T00:00:00"/>
    <d v="2025-11-05T00:00:00"/>
    <s v="No"/>
    <s v="Nan"/>
    <d v="2025-11-24T00:00:00"/>
    <n v="3"/>
    <x v="5"/>
    <n v="6"/>
    <n v="2"/>
    <n v="11"/>
    <s v="Normal"/>
    <s v="Detractor"/>
    <m/>
  </r>
  <r>
    <s v="L1206"/>
    <x v="1"/>
    <s v="Cold"/>
    <d v="2025-10-17T00:00:00"/>
    <m/>
    <m/>
    <m/>
    <s v="Yes"/>
    <s v="Financing Issue"/>
    <m/>
    <s v=""/>
    <x v="2"/>
    <s v=""/>
    <m/>
    <m/>
    <s v="Normal"/>
    <s v="Detractor"/>
    <m/>
  </r>
  <r>
    <s v="L1207"/>
    <x v="0"/>
    <s v="Warm"/>
    <d v="2025-10-13T00:00:00"/>
    <d v="2025-10-14T00:00:00"/>
    <d v="2025-10-18T00:00:00"/>
    <d v="2025-10-25T00:00:00"/>
    <s v="No"/>
    <s v="Nan"/>
    <d v="2025-11-13T00:00:00"/>
    <n v="1"/>
    <x v="0"/>
    <n v="7"/>
    <n v="7"/>
    <n v="12"/>
    <s v="Normal"/>
    <s v="Passive"/>
    <m/>
  </r>
  <r>
    <s v="L1208"/>
    <x v="2"/>
    <s v="Cold"/>
    <d v="2025-10-15T00:00:00"/>
    <m/>
    <m/>
    <m/>
    <s v="Yes"/>
    <s v="Price"/>
    <m/>
    <s v=""/>
    <x v="2"/>
    <s v=""/>
    <m/>
    <m/>
    <s v="Normal"/>
    <s v="Detractor"/>
    <m/>
  </r>
  <r>
    <s v="L1209"/>
    <x v="0"/>
    <s v="Hot"/>
    <d v="2025-10-30T00:00:00"/>
    <d v="2025-11-03T00:00:00"/>
    <d v="2025-11-06T00:00:00"/>
    <d v="2025-11-11T00:00:00"/>
    <s v="No"/>
    <s v="Nan"/>
    <d v="2025-11-28T00:00:00"/>
    <n v="4"/>
    <x v="3"/>
    <n v="5"/>
    <n v="9"/>
    <n v="12"/>
    <s v="Normal"/>
    <s v="Promoter"/>
    <m/>
  </r>
  <r>
    <s v="L1210"/>
    <x v="1"/>
    <s v="Cold"/>
    <d v="2025-10-15T00:00:00"/>
    <m/>
    <m/>
    <m/>
    <s v="Yes"/>
    <s v="Price"/>
    <m/>
    <s v=""/>
    <x v="2"/>
    <s v=""/>
    <m/>
    <m/>
    <s v="Normal"/>
    <s v="Detractor"/>
    <m/>
  </r>
  <r>
    <s v="L1211"/>
    <x v="0"/>
    <s v="Warm"/>
    <d v="2025-10-10T00:00:00"/>
    <d v="2025-10-11T00:00:00"/>
    <d v="2025-10-13T00:00:00"/>
    <d v="2025-10-16T00:00:00"/>
    <s v="Yes"/>
    <s v="Other"/>
    <m/>
    <n v="1"/>
    <x v="5"/>
    <n v="3"/>
    <m/>
    <n v="6"/>
    <s v="Normal"/>
    <s v="Detractor"/>
    <m/>
  </r>
  <r>
    <s v="L1212"/>
    <x v="2"/>
    <s v="Hot"/>
    <d v="2025-10-28T00:00:00"/>
    <d v="2025-10-30T00:00:00"/>
    <d v="2025-10-31T00:00:00"/>
    <d v="2025-11-06T00:00:00"/>
    <s v="No"/>
    <s v="Nan"/>
    <d v="2025-11-19T00:00:00"/>
    <n v="2"/>
    <x v="4"/>
    <n v="6"/>
    <n v="4"/>
    <n v="9"/>
    <s v="Normal"/>
    <s v="Detractor"/>
    <m/>
  </r>
  <r>
    <s v="L1213"/>
    <x v="0"/>
    <s v="Hot"/>
    <d v="2025-10-19T00:00:00"/>
    <d v="2025-10-23T00:00:00"/>
    <d v="2025-10-26T00:00:00"/>
    <d v="2025-10-29T00:00:00"/>
    <s v="No"/>
    <s v="Nan"/>
    <d v="2025-11-09T00:00:00"/>
    <n v="4"/>
    <x v="3"/>
    <n v="3"/>
    <n v="2"/>
    <n v="10"/>
    <s v="Normal"/>
    <s v="Detractor"/>
    <m/>
  </r>
  <r>
    <s v="L1214"/>
    <x v="1"/>
    <s v="Cold"/>
    <d v="2025-10-14T00:00:00"/>
    <m/>
    <m/>
    <m/>
    <s v="Yes"/>
    <s v="Others"/>
    <m/>
    <s v=""/>
    <x v="2"/>
    <s v=""/>
    <m/>
    <m/>
    <s v="Normal"/>
    <s v="Detractor"/>
    <m/>
  </r>
  <r>
    <s v="L1215"/>
    <x v="2"/>
    <s v="Cold"/>
    <d v="2025-10-10T00:00:00"/>
    <m/>
    <m/>
    <m/>
    <s v="Yes"/>
    <s v="Price"/>
    <m/>
    <s v=""/>
    <x v="2"/>
    <s v=""/>
    <m/>
    <m/>
    <s v="Normal"/>
    <s v="Detractor"/>
    <m/>
  </r>
  <r>
    <s v="L1216"/>
    <x v="3"/>
    <s v="Hot"/>
    <d v="2025-10-19T00:00:00"/>
    <d v="2025-10-24T00:00:00"/>
    <d v="2025-10-27T00:00:00"/>
    <d v="2025-10-30T00:00:00"/>
    <s v="No"/>
    <s v="Nan"/>
    <d v="2025-11-21T00:00:00"/>
    <n v="5"/>
    <x v="3"/>
    <n v="3"/>
    <n v="0"/>
    <n v="11"/>
    <s v="Normal"/>
    <s v="Detractor"/>
    <m/>
  </r>
  <r>
    <s v="L1217"/>
    <x v="1"/>
    <s v="Warm"/>
    <d v="2025-10-20T00:00:00"/>
    <d v="2025-10-24T00:00:00"/>
    <d v="2025-10-29T00:00:00"/>
    <d v="2025-11-01T00:00:00"/>
    <s v="Yes"/>
    <s v="Price"/>
    <m/>
    <n v="4"/>
    <x v="1"/>
    <n v="3"/>
    <m/>
    <n v="12"/>
    <s v="Normal"/>
    <s v="Detractor"/>
    <m/>
  </r>
  <r>
    <s v="L1218"/>
    <x v="2"/>
    <s v="Cold"/>
    <d v="2025-10-02T00:00:00"/>
    <m/>
    <m/>
    <m/>
    <s v="Yes"/>
    <s v="Others"/>
    <m/>
    <s v=""/>
    <x v="2"/>
    <s v=""/>
    <m/>
    <m/>
    <s v="Normal"/>
    <s v="Detractor"/>
    <m/>
  </r>
  <r>
    <s v="L1219"/>
    <x v="2"/>
    <s v="Cold"/>
    <d v="2025-10-20T00:00:00"/>
    <m/>
    <m/>
    <m/>
    <s v="Yes"/>
    <s v="Other"/>
    <m/>
    <s v=""/>
    <x v="2"/>
    <s v=""/>
    <m/>
    <m/>
    <s v="Normal"/>
    <s v="Detractor"/>
    <m/>
  </r>
  <r>
    <s v="L1220"/>
    <x v="3"/>
    <s v="Cold"/>
    <d v="2025-10-31T00:00:00"/>
    <m/>
    <m/>
    <m/>
    <s v="Yes"/>
    <s v="Price"/>
    <m/>
    <s v=""/>
    <x v="2"/>
    <s v=""/>
    <m/>
    <m/>
    <s v="Normal"/>
    <s v="Detractor"/>
    <m/>
  </r>
  <r>
    <s v="L1221"/>
    <x v="0"/>
    <s v="Warm"/>
    <d v="2025-10-24T00:00:00"/>
    <d v="2025-10-29T00:00:00"/>
    <d v="2025-10-31T00:00:00"/>
    <d v="2025-11-02T00:00:00"/>
    <s v="No"/>
    <s v="Nan"/>
    <d v="2025-11-30T00:00:00"/>
    <n v="5"/>
    <x v="5"/>
    <n v="2"/>
    <n v="3"/>
    <n v="9"/>
    <s v="Normal"/>
    <s v="Detractor"/>
    <m/>
  </r>
  <r>
    <s v="L1222"/>
    <x v="0"/>
    <s v="Warm"/>
    <d v="2025-10-04T00:00:00"/>
    <d v="2025-10-05T00:00:00"/>
    <d v="2025-10-07T00:00:00"/>
    <d v="2025-10-13T00:00:00"/>
    <s v="No"/>
    <s v="Nan"/>
    <d v="2025-11-09T00:00:00"/>
    <n v="1"/>
    <x v="5"/>
    <n v="6"/>
    <n v="1"/>
    <n v="9"/>
    <s v="Normal"/>
    <s v="Detractor"/>
    <m/>
  </r>
  <r>
    <s v="L1223"/>
    <x v="1"/>
    <s v="Warm"/>
    <d v="2025-10-31T00:00:00"/>
    <d v="2025-11-04T00:00:00"/>
    <d v="2025-11-09T00:00:00"/>
    <d v="2025-11-13T00:00:00"/>
    <s v="No"/>
    <s v="Nan"/>
    <d v="2025-12-08T00:00:00"/>
    <n v="4"/>
    <x v="1"/>
    <n v="4"/>
    <n v="7"/>
    <n v="13"/>
    <s v="Normal"/>
    <s v="Passive"/>
    <m/>
  </r>
  <r>
    <s v="L1224"/>
    <x v="3"/>
    <s v="Warm"/>
    <d v="2025-10-25T00:00:00"/>
    <d v="2025-10-28T00:00:00"/>
    <d v="2025-11-01T00:00:00"/>
    <d v="2025-11-07T00:00:00"/>
    <s v="No"/>
    <s v="Nan"/>
    <d v="2025-11-21T00:00:00"/>
    <n v="3"/>
    <x v="0"/>
    <n v="6"/>
    <n v="3"/>
    <n v="13"/>
    <s v="Normal"/>
    <s v="Detractor"/>
    <m/>
  </r>
  <r>
    <s v="L1225"/>
    <x v="0"/>
    <s v="Warm"/>
    <d v="2025-10-07T00:00:00"/>
    <d v="2025-10-10T00:00:00"/>
    <d v="2025-10-14T00:00:00"/>
    <d v="2025-10-18T00:00:00"/>
    <s v="Yes"/>
    <s v="Other"/>
    <m/>
    <n v="3"/>
    <x v="0"/>
    <n v="4"/>
    <m/>
    <n v="11"/>
    <s v="Normal"/>
    <s v="Detractor"/>
    <m/>
  </r>
  <r>
    <s v="L1226"/>
    <x v="3"/>
    <s v="Warm"/>
    <d v="2025-10-21T00:00:00"/>
    <d v="2025-10-23T00:00:00"/>
    <d v="2025-10-28T00:00:00"/>
    <d v="2025-11-03T00:00:00"/>
    <s v="Yes"/>
    <s v="Changed Mind"/>
    <m/>
    <n v="2"/>
    <x v="1"/>
    <n v="6"/>
    <m/>
    <n v="13"/>
    <s v="Normal"/>
    <s v="Detractor"/>
    <m/>
  </r>
  <r>
    <s v="L1227"/>
    <x v="0"/>
    <s v="Hot"/>
    <d v="2025-10-07T00:00:00"/>
    <d v="2025-10-10T00:00:00"/>
    <d v="2025-10-13T00:00:00"/>
    <d v="2025-10-19T00:00:00"/>
    <s v="No"/>
    <s v="Nan"/>
    <d v="2025-10-30T00:00:00"/>
    <n v="3"/>
    <x v="3"/>
    <n v="6"/>
    <n v="4"/>
    <n v="12"/>
    <s v="Normal"/>
    <s v="Detractor"/>
    <m/>
  </r>
  <r>
    <s v="L1228"/>
    <x v="2"/>
    <s v="Cold"/>
    <d v="2025-10-09T00:00:00"/>
    <m/>
    <m/>
    <m/>
    <s v="Yes"/>
    <s v="Other"/>
    <m/>
    <s v=""/>
    <x v="2"/>
    <s v=""/>
    <m/>
    <m/>
    <s v="Normal"/>
    <s v="Detractor"/>
    <m/>
  </r>
  <r>
    <s v="L1229"/>
    <x v="0"/>
    <s v="Warm"/>
    <d v="2025-10-22T00:00:00"/>
    <d v="2025-10-24T00:00:00"/>
    <d v="2025-10-25T00:00:00"/>
    <d v="2025-10-28T00:00:00"/>
    <s v="No"/>
    <s v="Nan"/>
    <d v="2025-11-18T00:00:00"/>
    <n v="2"/>
    <x v="4"/>
    <n v="3"/>
    <n v="2"/>
    <n v="6"/>
    <s v="Normal"/>
    <s v="Detractor"/>
    <m/>
  </r>
  <r>
    <s v="L1230"/>
    <x v="3"/>
    <s v="Warm"/>
    <d v="2025-10-03T00:00:00"/>
    <d v="2025-10-04T00:00:00"/>
    <d v="2025-10-08T00:00:00"/>
    <d v="2025-10-12T00:00:00"/>
    <s v="No"/>
    <s v="Nan"/>
    <d v="2025-10-22T00:00:00"/>
    <n v="1"/>
    <x v="0"/>
    <n v="4"/>
    <n v="2"/>
    <n v="9"/>
    <s v="Normal"/>
    <s v="Detractor"/>
    <m/>
  </r>
  <r>
    <s v="L1231"/>
    <x v="2"/>
    <s v="Warm"/>
    <d v="2025-10-06T00:00:00"/>
    <d v="2025-10-11T00:00:00"/>
    <d v="2025-10-12T00:00:00"/>
    <d v="2025-10-19T00:00:00"/>
    <s v="No"/>
    <s v="Nan"/>
    <d v="2025-11-11T00:00:00"/>
    <n v="5"/>
    <x v="4"/>
    <n v="7"/>
    <n v="8"/>
    <n v="13"/>
    <s v="Normal"/>
    <s v="Passive"/>
    <m/>
  </r>
  <r>
    <s v="L1232"/>
    <x v="2"/>
    <s v="Warm"/>
    <d v="2025-10-08T00:00:00"/>
    <d v="2025-10-09T00:00:00"/>
    <d v="2025-10-11T00:00:00"/>
    <d v="2025-10-15T00:00:00"/>
    <s v="Yes"/>
    <s v="Financing Issue"/>
    <m/>
    <n v="1"/>
    <x v="5"/>
    <n v="4"/>
    <m/>
    <n v="7"/>
    <s v="Normal"/>
    <s v="Detractor"/>
    <m/>
  </r>
  <r>
    <s v="L1233"/>
    <x v="2"/>
    <s v="Hot"/>
    <d v="2025-10-06T00:00:00"/>
    <d v="2025-10-11T00:00:00"/>
    <d v="2025-10-13T00:00:00"/>
    <d v="2025-10-17T00:00:00"/>
    <s v="No"/>
    <s v="Nan"/>
    <d v="2025-10-29T00:00:00"/>
    <n v="5"/>
    <x v="5"/>
    <n v="4"/>
    <n v="9"/>
    <n v="11"/>
    <s v="Normal"/>
    <s v="Promoter"/>
    <m/>
  </r>
  <r>
    <s v="L1234"/>
    <x v="3"/>
    <s v="Hot"/>
    <d v="2025-10-18T00:00:00"/>
    <d v="2025-10-23T00:00:00"/>
    <d v="2025-10-27T00:00:00"/>
    <d v="2025-11-02T00:00:00"/>
    <s v="No"/>
    <s v="Nan"/>
    <d v="2025-11-21T00:00:00"/>
    <n v="5"/>
    <x v="0"/>
    <n v="6"/>
    <n v="4"/>
    <n v="15"/>
    <s v="Normal"/>
    <s v="Detractor"/>
    <m/>
  </r>
  <r>
    <s v="L1235"/>
    <x v="1"/>
    <s v="Hot"/>
    <d v="2025-10-03T00:00:00"/>
    <d v="2025-10-05T00:00:00"/>
    <d v="2025-10-08T00:00:00"/>
    <d v="2025-10-12T00:00:00"/>
    <s v="No"/>
    <s v="Nan"/>
    <d v="2025-11-11T00:00:00"/>
    <n v="2"/>
    <x v="3"/>
    <n v="4"/>
    <n v="7"/>
    <n v="9"/>
    <s v="Normal"/>
    <s v="Passive"/>
    <m/>
  </r>
  <r>
    <s v="L1236"/>
    <x v="1"/>
    <s v="Hot"/>
    <d v="2025-10-06T00:00:00"/>
    <d v="2025-10-09T00:00:00"/>
    <d v="2025-10-11T00:00:00"/>
    <d v="2025-10-17T00:00:00"/>
    <s v="No"/>
    <s v="Nan"/>
    <d v="2025-11-15T00:00:00"/>
    <n v="3"/>
    <x v="5"/>
    <n v="6"/>
    <n v="7"/>
    <n v="11"/>
    <s v="Normal"/>
    <s v="Passive"/>
    <m/>
  </r>
  <r>
    <s v="L1237"/>
    <x v="1"/>
    <s v="Warm"/>
    <d v="2025-10-01T00:00:00"/>
    <d v="2025-10-04T00:00:00"/>
    <d v="2025-10-05T00:00:00"/>
    <d v="2025-10-12T00:00:00"/>
    <s v="No"/>
    <s v="Nan"/>
    <d v="2025-11-06T00:00:00"/>
    <n v="3"/>
    <x v="4"/>
    <n v="7"/>
    <n v="0"/>
    <n v="11"/>
    <s v="Normal"/>
    <s v="Detractor"/>
    <m/>
  </r>
  <r>
    <s v="L1238"/>
    <x v="3"/>
    <s v="Warm"/>
    <d v="2025-10-14T00:00:00"/>
    <d v="2025-10-16T00:00:00"/>
    <d v="2025-10-19T00:00:00"/>
    <d v="2025-10-21T00:00:00"/>
    <s v="No"/>
    <s v="Nan"/>
    <d v="2025-11-06T00:00:00"/>
    <n v="2"/>
    <x v="3"/>
    <n v="2"/>
    <n v="1"/>
    <n v="7"/>
    <s v="Normal"/>
    <s v="Detractor"/>
    <m/>
  </r>
  <r>
    <s v="L1239"/>
    <x v="2"/>
    <s v="Hot"/>
    <d v="2025-10-15T00:00:00"/>
    <d v="2025-10-17T00:00:00"/>
    <d v="2025-10-21T00:00:00"/>
    <d v="2025-10-24T00:00:00"/>
    <s v="Yes"/>
    <s v="Financing Issue"/>
    <m/>
    <n v="2"/>
    <x v="0"/>
    <n v="3"/>
    <m/>
    <n v="9"/>
    <s v="Normal"/>
    <s v="Detractor"/>
    <m/>
  </r>
  <r>
    <s v="L1240"/>
    <x v="1"/>
    <s v="Warm"/>
    <d v="2025-10-23T00:00:00"/>
    <d v="2025-10-24T00:00:00"/>
    <d v="2025-10-26T00:00:00"/>
    <d v="2025-10-31T00:00:00"/>
    <s v="No"/>
    <s v="Nan"/>
    <d v="2025-11-13T00:00:00"/>
    <n v="1"/>
    <x v="5"/>
    <n v="5"/>
    <n v="9"/>
    <n v="8"/>
    <s v="Normal"/>
    <s v="Promoter"/>
    <m/>
  </r>
  <r>
    <s v="L1241"/>
    <x v="3"/>
    <s v="Hot"/>
    <d v="2025-10-20T00:00:00"/>
    <d v="2025-10-22T00:00:00"/>
    <d v="2025-10-26T00:00:00"/>
    <d v="2025-10-28T00:00:00"/>
    <s v="No"/>
    <s v="Nan"/>
    <d v="2025-11-07T00:00:00"/>
    <n v="2"/>
    <x v="0"/>
    <n v="2"/>
    <n v="1"/>
    <n v="8"/>
    <s v="Normal"/>
    <s v="Detractor"/>
    <m/>
  </r>
  <r>
    <s v="L1242"/>
    <x v="1"/>
    <s v="Cold"/>
    <d v="2025-10-16T00:00:00"/>
    <m/>
    <m/>
    <m/>
    <s v="Yes"/>
    <s v="Other"/>
    <m/>
    <s v=""/>
    <x v="2"/>
    <s v=""/>
    <m/>
    <m/>
    <s v="Normal"/>
    <s v="Detractor"/>
    <m/>
  </r>
  <r>
    <s v="L1243"/>
    <x v="0"/>
    <s v="Cold"/>
    <d v="2025-10-10T00:00:00"/>
    <m/>
    <m/>
    <m/>
    <s v="Yes"/>
    <s v="Financing Issue"/>
    <m/>
    <s v=""/>
    <x v="2"/>
    <s v=""/>
    <m/>
    <m/>
    <s v="Normal"/>
    <s v="Detractor"/>
    <m/>
  </r>
  <r>
    <s v="L1244"/>
    <x v="1"/>
    <s v="Hot"/>
    <d v="2025-10-02T00:00:00"/>
    <d v="2025-10-05T00:00:00"/>
    <d v="2025-10-08T00:00:00"/>
    <d v="2025-10-12T00:00:00"/>
    <s v="No"/>
    <s v="Nan"/>
    <d v="2025-10-28T00:00:00"/>
    <n v="3"/>
    <x v="3"/>
    <n v="4"/>
    <n v="6"/>
    <n v="10"/>
    <s v="Normal"/>
    <s v="Detractor"/>
    <m/>
  </r>
  <r>
    <s v="L1245"/>
    <x v="1"/>
    <s v="Warm"/>
    <d v="2025-10-08T00:00:00"/>
    <d v="2025-10-10T00:00:00"/>
    <d v="2025-10-13T00:00:00"/>
    <d v="2025-10-20T00:00:00"/>
    <s v="Yes"/>
    <s v="Changed Mind"/>
    <m/>
    <n v="2"/>
    <x v="3"/>
    <n v="7"/>
    <m/>
    <n v="12"/>
    <s v="Normal"/>
    <s v="Detractor"/>
    <m/>
  </r>
  <r>
    <s v="L1246"/>
    <x v="2"/>
    <s v="Hot"/>
    <d v="2025-10-10T00:00:00"/>
    <d v="2025-10-12T00:00:00"/>
    <d v="2025-10-15T00:00:00"/>
    <d v="2025-10-18T00:00:00"/>
    <s v="No"/>
    <s v="Nan"/>
    <d v="2025-11-02T00:00:00"/>
    <n v="2"/>
    <x v="3"/>
    <n v="3"/>
    <n v="6"/>
    <n v="8"/>
    <s v="Normal"/>
    <s v="Detractor"/>
    <m/>
  </r>
  <r>
    <s v="L1247"/>
    <x v="3"/>
    <s v="Warm"/>
    <d v="2025-10-23T00:00:00"/>
    <d v="2025-10-28T00:00:00"/>
    <d v="2025-11-02T00:00:00"/>
    <d v="2025-11-09T00:00:00"/>
    <s v="No"/>
    <s v="Nan"/>
    <d v="2025-12-09T00:00:00"/>
    <n v="5"/>
    <x v="1"/>
    <n v="7"/>
    <n v="4"/>
    <n v="17"/>
    <s v="Normal"/>
    <s v="Detractor"/>
    <m/>
  </r>
  <r>
    <s v="L1248"/>
    <x v="2"/>
    <s v="Warm"/>
    <d v="2025-10-10T00:00:00"/>
    <d v="2025-10-12T00:00:00"/>
    <d v="2025-10-17T00:00:00"/>
    <d v="2025-10-20T00:00:00"/>
    <s v="No"/>
    <s v="Nan"/>
    <d v="2025-11-08T00:00:00"/>
    <n v="2"/>
    <x v="1"/>
    <n v="3"/>
    <n v="7"/>
    <n v="10"/>
    <s v="Normal"/>
    <s v="Passive"/>
    <m/>
  </r>
  <r>
    <s v="L1249"/>
    <x v="2"/>
    <s v="Hot"/>
    <d v="2025-10-23T00:00:00"/>
    <d v="2025-10-24T00:00:00"/>
    <d v="2025-10-25T00:00:00"/>
    <d v="2025-10-28T00:00:00"/>
    <s v="No"/>
    <s v="Nan"/>
    <d v="2025-11-09T00:00:00"/>
    <n v="1"/>
    <x v="4"/>
    <n v="3"/>
    <n v="3"/>
    <n v="5"/>
    <s v="Normal"/>
    <s v="Detractor"/>
    <m/>
  </r>
  <r>
    <s v="L1250"/>
    <x v="2"/>
    <s v="Warm"/>
    <d v="2025-10-28T00:00:00"/>
    <d v="2025-10-30T00:00:00"/>
    <d v="2025-11-02T00:00:00"/>
    <d v="2025-11-05T00:00:00"/>
    <s v="No"/>
    <s v="Nan"/>
    <d v="2025-11-30T00:00:00"/>
    <n v="2"/>
    <x v="3"/>
    <n v="3"/>
    <n v="2"/>
    <n v="8"/>
    <s v="Normal"/>
    <s v="Detractor"/>
    <m/>
  </r>
  <r>
    <s v="L1251"/>
    <x v="2"/>
    <s v="Hot"/>
    <d v="2025-10-15T00:00:00"/>
    <d v="2025-10-19T00:00:00"/>
    <d v="2025-10-22T00:00:00"/>
    <d v="2025-10-29T00:00:00"/>
    <s v="No"/>
    <s v="Nan"/>
    <d v="2025-11-11T00:00:00"/>
    <n v="4"/>
    <x v="3"/>
    <n v="7"/>
    <n v="6"/>
    <n v="14"/>
    <s v="Normal"/>
    <s v="Detractor"/>
    <m/>
  </r>
  <r>
    <s v="L1252"/>
    <x v="2"/>
    <s v="Hot"/>
    <d v="2025-10-03T00:00:00"/>
    <d v="2025-10-07T00:00:00"/>
    <d v="2025-10-09T00:00:00"/>
    <d v="2025-10-13T00:00:00"/>
    <s v="No"/>
    <s v="Nan"/>
    <d v="2025-11-01T00:00:00"/>
    <n v="4"/>
    <x v="5"/>
    <n v="4"/>
    <n v="10"/>
    <n v="10"/>
    <s v="Normal"/>
    <s v="Promoter"/>
    <m/>
  </r>
  <r>
    <s v="L1253"/>
    <x v="1"/>
    <s v="Warm"/>
    <d v="2025-10-22T00:00:00"/>
    <d v="2025-10-27T00:00:00"/>
    <d v="2025-10-28T00:00:00"/>
    <d v="2025-10-31T00:00:00"/>
    <s v="No"/>
    <s v="Nan"/>
    <d v="2025-11-22T00:00:00"/>
    <n v="5"/>
    <x v="4"/>
    <n v="3"/>
    <n v="4"/>
    <n v="9"/>
    <s v="Normal"/>
    <s v="Detractor"/>
    <m/>
  </r>
  <r>
    <s v="L1254"/>
    <x v="2"/>
    <s v="Warm"/>
    <d v="2025-10-08T00:00:00"/>
    <d v="2025-10-13T00:00:00"/>
    <d v="2025-10-14T00:00:00"/>
    <d v="2025-10-21T00:00:00"/>
    <s v="No"/>
    <s v="Nan"/>
    <d v="2025-11-15T00:00:00"/>
    <n v="5"/>
    <x v="4"/>
    <n v="7"/>
    <n v="5"/>
    <n v="13"/>
    <s v="Normal"/>
    <s v="Detractor"/>
    <m/>
  </r>
  <r>
    <s v="L1255"/>
    <x v="2"/>
    <s v="Warm"/>
    <d v="2025-10-30T00:00:00"/>
    <d v="2025-11-03T00:00:00"/>
    <d v="2025-11-07T00:00:00"/>
    <d v="2025-11-12T00:00:00"/>
    <s v="Yes"/>
    <s v="Others"/>
    <m/>
    <n v="4"/>
    <x v="0"/>
    <n v="5"/>
    <m/>
    <n v="13"/>
    <s v="Normal"/>
    <s v="Detractor"/>
    <m/>
  </r>
  <r>
    <s v="L1256"/>
    <x v="3"/>
    <s v="Warm"/>
    <d v="2025-10-09T00:00:00"/>
    <d v="2025-10-14T00:00:00"/>
    <d v="2025-10-17T00:00:00"/>
    <d v="2025-10-22T00:00:00"/>
    <s v="No"/>
    <s v="Nan"/>
    <d v="2025-11-16T00:00:00"/>
    <n v="5"/>
    <x v="3"/>
    <n v="5"/>
    <n v="3"/>
    <n v="13"/>
    <s v="Normal"/>
    <s v="Detractor"/>
    <m/>
  </r>
  <r>
    <s v="L1257"/>
    <x v="0"/>
    <s v="Cold"/>
    <d v="2025-10-26T00:00:00"/>
    <m/>
    <m/>
    <m/>
    <s v="Yes"/>
    <s v="Financing Issue"/>
    <m/>
    <s v=""/>
    <x v="2"/>
    <s v=""/>
    <m/>
    <m/>
    <s v="Normal"/>
    <s v="Detractor"/>
    <m/>
  </r>
  <r>
    <s v="L1258"/>
    <x v="1"/>
    <s v="Hot"/>
    <d v="2025-10-26T00:00:00"/>
    <d v="2025-10-31T00:00:00"/>
    <d v="2025-11-02T00:00:00"/>
    <d v="2025-11-05T00:00:00"/>
    <s v="Yes"/>
    <s v="Financing Issue"/>
    <m/>
    <n v="5"/>
    <x v="5"/>
    <n v="3"/>
    <m/>
    <n v="10"/>
    <s v="Normal"/>
    <s v="Detractor"/>
    <m/>
  </r>
  <r>
    <s v="L1259"/>
    <x v="1"/>
    <s v="Warm"/>
    <d v="2025-10-21T00:00:00"/>
    <d v="2025-10-24T00:00:00"/>
    <d v="2025-10-28T00:00:00"/>
    <d v="2025-11-03T00:00:00"/>
    <s v="No"/>
    <s v="Nan"/>
    <d v="2025-11-21T00:00:00"/>
    <n v="3"/>
    <x v="0"/>
    <n v="6"/>
    <n v="4"/>
    <n v="13"/>
    <s v="Normal"/>
    <s v="Detractor"/>
    <m/>
  </r>
  <r>
    <s v="L1260"/>
    <x v="1"/>
    <s v="Warm"/>
    <d v="2025-10-19T00:00:00"/>
    <d v="2025-10-22T00:00:00"/>
    <d v="2025-10-27T00:00:00"/>
    <d v="2025-11-03T00:00:00"/>
    <s v="No"/>
    <s v="Nan"/>
    <d v="2025-11-15T00:00:00"/>
    <n v="3"/>
    <x v="1"/>
    <n v="7"/>
    <n v="2"/>
    <n v="15"/>
    <s v="Normal"/>
    <s v="Detractor"/>
    <m/>
  </r>
  <r>
    <s v="L1261"/>
    <x v="2"/>
    <s v="Warm"/>
    <d v="2025-10-22T00:00:00"/>
    <d v="2025-10-24T00:00:00"/>
    <d v="2025-10-27T00:00:00"/>
    <d v="2025-10-31T00:00:00"/>
    <s v="No"/>
    <s v="Nan"/>
    <d v="2025-11-30T00:00:00"/>
    <n v="2"/>
    <x v="3"/>
    <n v="4"/>
    <n v="9"/>
    <n v="9"/>
    <s v="Normal"/>
    <s v="Promoter"/>
    <m/>
  </r>
  <r>
    <s v="L1262"/>
    <x v="2"/>
    <s v="Cold"/>
    <d v="2025-10-26T00:00:00"/>
    <m/>
    <m/>
    <m/>
    <s v="Yes"/>
    <s v="Other"/>
    <m/>
    <s v=""/>
    <x v="2"/>
    <s v=""/>
    <m/>
    <m/>
    <s v="Normal"/>
    <s v="Detractor"/>
    <m/>
  </r>
  <r>
    <s v="L1263"/>
    <x v="2"/>
    <s v="Warm"/>
    <d v="2025-10-30T00:00:00"/>
    <d v="2025-11-03T00:00:00"/>
    <d v="2025-11-04T00:00:00"/>
    <d v="2025-11-11T00:00:00"/>
    <s v="No"/>
    <s v="Nan"/>
    <d v="2025-12-08T00:00:00"/>
    <n v="4"/>
    <x v="4"/>
    <n v="7"/>
    <n v="5"/>
    <n v="12"/>
    <s v="Normal"/>
    <s v="Detractor"/>
    <m/>
  </r>
  <r>
    <s v="L1264"/>
    <x v="3"/>
    <s v="Warm"/>
    <d v="2025-10-07T00:00:00"/>
    <d v="2025-10-08T00:00:00"/>
    <d v="2025-10-11T00:00:00"/>
    <d v="2025-10-16T00:00:00"/>
    <s v="No"/>
    <s v="Nan"/>
    <d v="2025-11-07T00:00:00"/>
    <n v="1"/>
    <x v="3"/>
    <n v="5"/>
    <n v="7"/>
    <n v="9"/>
    <s v="Normal"/>
    <s v="Passive"/>
    <m/>
  </r>
  <r>
    <s v="L1265"/>
    <x v="0"/>
    <s v="Warm"/>
    <d v="2025-10-14T00:00:00"/>
    <d v="2025-10-18T00:00:00"/>
    <d v="2025-10-21T00:00:00"/>
    <d v="2025-10-26T00:00:00"/>
    <s v="No"/>
    <s v="Nan"/>
    <d v="2025-11-10T00:00:00"/>
    <n v="4"/>
    <x v="3"/>
    <n v="5"/>
    <n v="5"/>
    <n v="12"/>
    <s v="Normal"/>
    <s v="Detractor"/>
    <m/>
  </r>
  <r>
    <s v="L1266"/>
    <x v="2"/>
    <s v="Cold"/>
    <d v="2025-10-04T00:00:00"/>
    <m/>
    <m/>
    <m/>
    <s v="Yes"/>
    <s v="Changed Mind"/>
    <m/>
    <s v=""/>
    <x v="2"/>
    <s v=""/>
    <m/>
    <m/>
    <s v="Normal"/>
    <s v="Detractor"/>
    <m/>
  </r>
  <r>
    <s v="L1267"/>
    <x v="0"/>
    <s v="Cold"/>
    <d v="2025-10-18T00:00:00"/>
    <m/>
    <m/>
    <m/>
    <s v="Yes"/>
    <s v="Others"/>
    <m/>
    <s v=""/>
    <x v="2"/>
    <s v=""/>
    <m/>
    <m/>
    <s v="Normal"/>
    <s v="Detractor"/>
    <m/>
  </r>
  <r>
    <s v="L1268"/>
    <x v="3"/>
    <s v="Warm"/>
    <d v="2025-10-08T00:00:00"/>
    <d v="2025-10-12T00:00:00"/>
    <d v="2025-10-17T00:00:00"/>
    <d v="2025-10-22T00:00:00"/>
    <s v="No"/>
    <s v="Nan"/>
    <d v="2025-11-12T00:00:00"/>
    <n v="4"/>
    <x v="1"/>
    <n v="5"/>
    <n v="6"/>
    <n v="14"/>
    <s v="Normal"/>
    <s v="Detractor"/>
    <m/>
  </r>
  <r>
    <s v="L1269"/>
    <x v="1"/>
    <s v="Warm"/>
    <d v="2025-10-21T00:00:00"/>
    <d v="2025-10-24T00:00:00"/>
    <d v="2025-10-26T00:00:00"/>
    <d v="2025-10-28T00:00:00"/>
    <s v="No"/>
    <s v="Nan"/>
    <d v="2025-11-19T00:00:00"/>
    <n v="3"/>
    <x v="5"/>
    <n v="2"/>
    <n v="1"/>
    <n v="7"/>
    <s v="Normal"/>
    <s v="Detractor"/>
    <m/>
  </r>
  <r>
    <s v="L1270"/>
    <x v="2"/>
    <s v="Hot"/>
    <d v="2025-10-05T00:00:00"/>
    <d v="2025-10-08T00:00:00"/>
    <d v="2025-10-10T00:00:00"/>
    <d v="2025-10-17T00:00:00"/>
    <s v="No"/>
    <s v="Nan"/>
    <d v="2025-11-07T00:00:00"/>
    <n v="3"/>
    <x v="5"/>
    <n v="7"/>
    <n v="5"/>
    <n v="12"/>
    <s v="Normal"/>
    <s v="Detractor"/>
    <m/>
  </r>
  <r>
    <s v="L1271"/>
    <x v="0"/>
    <s v="Hot"/>
    <d v="2025-10-30T00:00:00"/>
    <d v="2025-11-04T00:00:00"/>
    <d v="2025-11-06T00:00:00"/>
    <d v="2025-11-08T00:00:00"/>
    <s v="No"/>
    <s v="Nan"/>
    <d v="2025-11-23T00:00:00"/>
    <n v="5"/>
    <x v="5"/>
    <n v="2"/>
    <n v="6"/>
    <n v="9"/>
    <s v="Normal"/>
    <s v="Detractor"/>
    <m/>
  </r>
  <r>
    <s v="L1272"/>
    <x v="0"/>
    <s v="Warm"/>
    <d v="2025-10-09T00:00:00"/>
    <d v="2025-10-10T00:00:00"/>
    <d v="2025-10-14T00:00:00"/>
    <d v="2025-10-19T00:00:00"/>
    <s v="No"/>
    <s v="Nan"/>
    <d v="2025-11-12T00:00:00"/>
    <n v="1"/>
    <x v="0"/>
    <n v="5"/>
    <n v="9"/>
    <n v="10"/>
    <s v="Normal"/>
    <s v="Promoter"/>
    <m/>
  </r>
  <r>
    <s v="L1273"/>
    <x v="2"/>
    <s v="Hot"/>
    <d v="2025-10-27T00:00:00"/>
    <d v="2025-10-30T00:00:00"/>
    <d v="2025-11-01T00:00:00"/>
    <d v="2025-11-07T00:00:00"/>
    <s v="No"/>
    <s v="Nan"/>
    <d v="2025-11-18T00:00:00"/>
    <n v="3"/>
    <x v="5"/>
    <n v="6"/>
    <n v="2"/>
    <n v="11"/>
    <s v="Normal"/>
    <s v="Detractor"/>
    <m/>
  </r>
  <r>
    <s v="L1274"/>
    <x v="1"/>
    <s v="Warm"/>
    <d v="2025-10-05T00:00:00"/>
    <d v="2025-10-10T00:00:00"/>
    <d v="2025-10-14T00:00:00"/>
    <d v="2025-10-21T00:00:00"/>
    <s v="No"/>
    <s v="Nan"/>
    <d v="2025-11-08T00:00:00"/>
    <n v="5"/>
    <x v="0"/>
    <n v="7"/>
    <n v="3"/>
    <n v="16"/>
    <s v="Normal"/>
    <s v="Detractor"/>
    <m/>
  </r>
  <r>
    <s v="L1275"/>
    <x v="1"/>
    <s v="Hot"/>
    <d v="2025-10-03T00:00:00"/>
    <d v="2025-10-04T00:00:00"/>
    <d v="2025-10-09T00:00:00"/>
    <d v="2025-10-13T00:00:00"/>
    <s v="No"/>
    <s v="Nan"/>
    <d v="2025-11-06T00:00:00"/>
    <n v="1"/>
    <x v="1"/>
    <n v="4"/>
    <n v="10"/>
    <n v="10"/>
    <s v="Normal"/>
    <s v="Promoter"/>
    <m/>
  </r>
  <r>
    <s v="L1276"/>
    <x v="1"/>
    <s v="Warm"/>
    <d v="2025-10-02T00:00:00"/>
    <d v="2025-10-05T00:00:00"/>
    <d v="2025-10-08T00:00:00"/>
    <d v="2025-10-15T00:00:00"/>
    <s v="No"/>
    <s v="Nan"/>
    <d v="2025-11-08T00:00:00"/>
    <n v="3"/>
    <x v="3"/>
    <n v="7"/>
    <n v="8"/>
    <n v="13"/>
    <s v="Normal"/>
    <s v="Passive"/>
    <m/>
  </r>
  <r>
    <s v="L1277"/>
    <x v="3"/>
    <s v="Warm"/>
    <d v="2025-10-06T00:00:00"/>
    <d v="2025-10-10T00:00:00"/>
    <d v="2025-10-14T00:00:00"/>
    <d v="2025-10-18T00:00:00"/>
    <s v="No"/>
    <s v="Nan"/>
    <d v="2025-11-05T00:00:00"/>
    <n v="4"/>
    <x v="0"/>
    <n v="4"/>
    <n v="1"/>
    <n v="12"/>
    <s v="Normal"/>
    <s v="Detractor"/>
    <m/>
  </r>
  <r>
    <s v="L1278"/>
    <x v="0"/>
    <s v="Cold"/>
    <d v="2025-10-26T00:00:00"/>
    <m/>
    <m/>
    <m/>
    <s v="Yes"/>
    <s v="Other"/>
    <m/>
    <s v=""/>
    <x v="2"/>
    <s v=""/>
    <m/>
    <m/>
    <s v="Normal"/>
    <s v="Detractor"/>
    <m/>
  </r>
  <r>
    <s v="L1279"/>
    <x v="0"/>
    <s v="Hot"/>
    <d v="2025-10-10T00:00:00"/>
    <d v="2025-10-14T00:00:00"/>
    <d v="2025-10-19T00:00:00"/>
    <d v="2025-10-24T00:00:00"/>
    <s v="Yes"/>
    <s v="Other"/>
    <m/>
    <n v="4"/>
    <x v="1"/>
    <n v="5"/>
    <m/>
    <n v="14"/>
    <s v="Normal"/>
    <s v="Detractor"/>
    <m/>
  </r>
  <r>
    <s v="L1280"/>
    <x v="0"/>
    <s v="Warm"/>
    <d v="2025-10-20T00:00:00"/>
    <d v="2025-10-21T00:00:00"/>
    <d v="2025-10-25T00:00:00"/>
    <d v="2025-10-30T00:00:00"/>
    <s v="No"/>
    <s v="Nan"/>
    <d v="2025-11-16T00:00:00"/>
    <n v="1"/>
    <x v="0"/>
    <n v="5"/>
    <n v="8"/>
    <n v="10"/>
    <s v="Normal"/>
    <s v="Passive"/>
    <m/>
  </r>
  <r>
    <s v="L1281"/>
    <x v="3"/>
    <s v="Cold"/>
    <d v="2025-10-24T00:00:00"/>
    <m/>
    <m/>
    <m/>
    <s v="Yes"/>
    <s v="Changed Mind"/>
    <m/>
    <s v=""/>
    <x v="2"/>
    <s v=""/>
    <m/>
    <m/>
    <s v="Normal"/>
    <s v="Detractor"/>
    <m/>
  </r>
  <r>
    <s v="L1282"/>
    <x v="0"/>
    <s v="Hot"/>
    <d v="2025-10-27T00:00:00"/>
    <d v="2025-10-28T00:00:00"/>
    <d v="2025-11-02T00:00:00"/>
    <d v="2025-11-06T00:00:00"/>
    <s v="Yes"/>
    <s v="Others"/>
    <m/>
    <n v="1"/>
    <x v="1"/>
    <n v="4"/>
    <m/>
    <n v="10"/>
    <s v="Normal"/>
    <s v="Detractor"/>
    <m/>
  </r>
  <r>
    <s v="L1283"/>
    <x v="3"/>
    <s v="Cold"/>
    <d v="2025-10-19T00:00:00"/>
    <m/>
    <m/>
    <m/>
    <s v="Yes"/>
    <s v="Changed Mind"/>
    <m/>
    <s v=""/>
    <x v="2"/>
    <s v=""/>
    <m/>
    <m/>
    <s v="Normal"/>
    <s v="Detractor"/>
    <m/>
  </r>
  <r>
    <s v="L1284"/>
    <x v="1"/>
    <s v="Warm"/>
    <d v="2025-10-30T00:00:00"/>
    <d v="2025-11-02T00:00:00"/>
    <d v="2025-11-04T00:00:00"/>
    <d v="2025-11-10T00:00:00"/>
    <s v="No"/>
    <s v="Nan"/>
    <d v="2025-11-28T00:00:00"/>
    <n v="3"/>
    <x v="5"/>
    <n v="6"/>
    <n v="4"/>
    <n v="11"/>
    <s v="Normal"/>
    <s v="Detractor"/>
    <m/>
  </r>
  <r>
    <s v="L1285"/>
    <x v="2"/>
    <s v="Warm"/>
    <d v="2025-10-10T00:00:00"/>
    <d v="2025-10-13T00:00:00"/>
    <d v="2025-10-15T00:00:00"/>
    <d v="2025-10-17T00:00:00"/>
    <s v="No"/>
    <s v="Nan"/>
    <d v="2025-11-14T00:00:00"/>
    <n v="3"/>
    <x v="5"/>
    <n v="2"/>
    <n v="9"/>
    <n v="7"/>
    <s v="Normal"/>
    <s v="Promoter"/>
    <m/>
  </r>
  <r>
    <s v="L1286"/>
    <x v="0"/>
    <s v="Cold"/>
    <d v="2025-10-15T00:00:00"/>
    <m/>
    <m/>
    <m/>
    <s v="Yes"/>
    <s v="Others"/>
    <m/>
    <s v=""/>
    <x v="2"/>
    <s v=""/>
    <m/>
    <m/>
    <s v="Normal"/>
    <s v="Detractor"/>
    <m/>
  </r>
  <r>
    <s v="L1287"/>
    <x v="0"/>
    <s v="Hot"/>
    <d v="2025-10-04T00:00:00"/>
    <d v="2025-10-05T00:00:00"/>
    <d v="2025-10-10T00:00:00"/>
    <d v="2025-10-17T00:00:00"/>
    <s v="No"/>
    <s v="Nan"/>
    <d v="2025-10-28T00:00:00"/>
    <n v="1"/>
    <x v="1"/>
    <n v="7"/>
    <n v="2"/>
    <n v="13"/>
    <s v="Normal"/>
    <s v="Detractor"/>
    <m/>
  </r>
  <r>
    <s v="L1288"/>
    <x v="1"/>
    <s v="Warm"/>
    <d v="2025-10-15T00:00:00"/>
    <d v="2025-10-16T00:00:00"/>
    <d v="2025-10-17T00:00:00"/>
    <d v="2025-10-19T00:00:00"/>
    <s v="Yes"/>
    <s v="Changed Mind"/>
    <m/>
    <n v="1"/>
    <x v="4"/>
    <n v="2"/>
    <m/>
    <n v="4"/>
    <s v="Normal"/>
    <s v="Detractor"/>
    <m/>
  </r>
  <r>
    <s v="L1289"/>
    <x v="2"/>
    <s v="Cold"/>
    <d v="2025-10-23T00:00:00"/>
    <m/>
    <m/>
    <m/>
    <s v="Yes"/>
    <s v="Other"/>
    <m/>
    <s v=""/>
    <x v="2"/>
    <s v=""/>
    <m/>
    <m/>
    <s v="Normal"/>
    <s v="Detractor"/>
    <m/>
  </r>
  <r>
    <s v="L1290"/>
    <x v="3"/>
    <s v="Hot"/>
    <d v="2025-10-10T00:00:00"/>
    <d v="2025-10-15T00:00:00"/>
    <d v="2025-10-20T00:00:00"/>
    <d v="2025-10-27T00:00:00"/>
    <s v="No"/>
    <s v="Nan"/>
    <d v="2025-11-10T00:00:00"/>
    <n v="5"/>
    <x v="1"/>
    <n v="7"/>
    <n v="4"/>
    <n v="17"/>
    <s v="Normal"/>
    <s v="Detractor"/>
    <m/>
  </r>
  <r>
    <s v="L1291"/>
    <x v="2"/>
    <s v="Warm"/>
    <d v="2025-10-23T00:00:00"/>
    <d v="2025-10-28T00:00:00"/>
    <d v="2025-11-01T00:00:00"/>
    <d v="2025-11-06T00:00:00"/>
    <s v="No"/>
    <s v="Nan"/>
    <d v="2025-11-19T00:00:00"/>
    <n v="5"/>
    <x v="0"/>
    <n v="5"/>
    <n v="1"/>
    <n v="14"/>
    <s v="Normal"/>
    <s v="Detractor"/>
    <m/>
  </r>
  <r>
    <s v="L1292"/>
    <x v="1"/>
    <s v="Cold"/>
    <d v="2025-10-13T00:00:00"/>
    <m/>
    <m/>
    <m/>
    <s v="Yes"/>
    <s v="Other"/>
    <m/>
    <s v=""/>
    <x v="2"/>
    <s v=""/>
    <m/>
    <m/>
    <s v="Normal"/>
    <s v="Detractor"/>
    <m/>
  </r>
  <r>
    <s v="L1293"/>
    <x v="1"/>
    <s v="Hot"/>
    <d v="2025-10-31T00:00:00"/>
    <d v="2025-11-05T00:00:00"/>
    <d v="2025-11-10T00:00:00"/>
    <d v="2025-11-17T00:00:00"/>
    <s v="No"/>
    <s v="Nan"/>
    <d v="2025-11-29T00:00:00"/>
    <n v="5"/>
    <x v="1"/>
    <n v="7"/>
    <n v="6"/>
    <n v="17"/>
    <s v="Normal"/>
    <s v="Detractor"/>
    <m/>
  </r>
  <r>
    <s v="L1294"/>
    <x v="2"/>
    <s v="Cold"/>
    <d v="2025-10-09T00:00:00"/>
    <m/>
    <m/>
    <m/>
    <s v="Yes"/>
    <s v="Price"/>
    <m/>
    <s v=""/>
    <x v="2"/>
    <s v=""/>
    <m/>
    <m/>
    <s v="Normal"/>
    <s v="Detractor"/>
    <m/>
  </r>
  <r>
    <s v="L1295"/>
    <x v="3"/>
    <s v="Warm"/>
    <d v="2025-10-17T00:00:00"/>
    <d v="2025-10-21T00:00:00"/>
    <d v="2025-10-24T00:00:00"/>
    <d v="2025-10-31T00:00:00"/>
    <s v="Yes"/>
    <s v="Financing Issue"/>
    <m/>
    <n v="4"/>
    <x v="3"/>
    <n v="7"/>
    <m/>
    <n v="14"/>
    <s v="Normal"/>
    <s v="Detractor"/>
    <m/>
  </r>
  <r>
    <s v="L1296"/>
    <x v="3"/>
    <s v="Warm"/>
    <d v="2025-10-18T00:00:00"/>
    <d v="2025-10-22T00:00:00"/>
    <d v="2025-10-23T00:00:00"/>
    <d v="2025-10-30T00:00:00"/>
    <s v="No"/>
    <s v="Nan"/>
    <d v="2025-11-20T00:00:00"/>
    <n v="4"/>
    <x v="4"/>
    <n v="7"/>
    <n v="6"/>
    <n v="12"/>
    <s v="Normal"/>
    <s v="Detractor"/>
    <m/>
  </r>
  <r>
    <s v="L1297"/>
    <x v="0"/>
    <s v="Warm"/>
    <d v="2025-10-16T00:00:00"/>
    <d v="2025-10-21T00:00:00"/>
    <d v="2025-10-26T00:00:00"/>
    <d v="2025-10-30T00:00:00"/>
    <s v="No"/>
    <s v="Nan"/>
    <d v="2025-11-26T00:00:00"/>
    <n v="5"/>
    <x v="1"/>
    <n v="4"/>
    <n v="10"/>
    <n v="14"/>
    <s v="Normal"/>
    <s v="Promoter"/>
    <m/>
  </r>
  <r>
    <s v="L1298"/>
    <x v="3"/>
    <s v="Hot"/>
    <d v="2025-10-15T00:00:00"/>
    <d v="2025-10-20T00:00:00"/>
    <d v="2025-10-21T00:00:00"/>
    <d v="2025-10-23T00:00:00"/>
    <s v="No"/>
    <s v="Nan"/>
    <d v="2025-11-15T00:00:00"/>
    <n v="5"/>
    <x v="4"/>
    <n v="2"/>
    <n v="10"/>
    <n v="8"/>
    <s v="Normal"/>
    <s v="Promoter"/>
    <m/>
  </r>
  <r>
    <s v="L1299"/>
    <x v="2"/>
    <s v="Cold"/>
    <d v="2025-10-03T00:00:00"/>
    <m/>
    <m/>
    <m/>
    <s v="Yes"/>
    <s v="Changed Mind"/>
    <m/>
    <s v=""/>
    <x v="2"/>
    <s v=""/>
    <m/>
    <m/>
    <s v="Normal"/>
    <s v="Detractor"/>
    <m/>
  </r>
  <r>
    <s v="L1300"/>
    <x v="1"/>
    <s v="Cold"/>
    <d v="2025-10-20T00:00:00"/>
    <m/>
    <m/>
    <m/>
    <s v="Yes"/>
    <s v="Price"/>
    <m/>
    <s v=""/>
    <x v="2"/>
    <s v=""/>
    <m/>
    <m/>
    <s v="Normal"/>
    <s v="Detractor"/>
    <m/>
  </r>
  <r>
    <s v="L1301"/>
    <x v="0"/>
    <s v="Warm"/>
    <d v="2025-10-02T00:00:00"/>
    <d v="2025-10-03T00:00:00"/>
    <d v="2025-10-04T00:00:00"/>
    <d v="2025-10-10T00:00:00"/>
    <s v="No"/>
    <s v="Nan"/>
    <d v="2025-11-07T00:00:00"/>
    <n v="1"/>
    <x v="4"/>
    <n v="6"/>
    <n v="8"/>
    <n v="8"/>
    <s v="Normal"/>
    <s v="Passive"/>
    <m/>
  </r>
  <r>
    <s v="L1302"/>
    <x v="0"/>
    <s v="Warm"/>
    <d v="2025-10-29T00:00:00"/>
    <d v="2025-11-02T00:00:00"/>
    <d v="2025-11-07T00:00:00"/>
    <d v="2025-11-12T00:00:00"/>
    <s v="No"/>
    <s v="Nan"/>
    <d v="2025-11-29T00:00:00"/>
    <n v="4"/>
    <x v="1"/>
    <n v="5"/>
    <n v="5"/>
    <n v="14"/>
    <s v="Normal"/>
    <s v="Detractor"/>
    <m/>
  </r>
  <r>
    <s v="L1303"/>
    <x v="1"/>
    <s v="Warm"/>
    <d v="2025-10-14T00:00:00"/>
    <d v="2025-10-19T00:00:00"/>
    <d v="2025-10-24T00:00:00"/>
    <d v="2025-10-27T00:00:00"/>
    <s v="No"/>
    <s v="Nan"/>
    <d v="2025-11-23T00:00:00"/>
    <n v="5"/>
    <x v="1"/>
    <n v="3"/>
    <n v="6"/>
    <n v="13"/>
    <s v="Normal"/>
    <s v="Detractor"/>
    <m/>
  </r>
  <r>
    <s v="L1304"/>
    <x v="3"/>
    <s v="Warm"/>
    <d v="2025-10-24T00:00:00"/>
    <d v="2025-10-26T00:00:00"/>
    <d v="2025-10-28T00:00:00"/>
    <d v="2025-11-02T00:00:00"/>
    <s v="No"/>
    <s v="Nan"/>
    <d v="2025-11-13T00:00:00"/>
    <n v="2"/>
    <x v="5"/>
    <n v="5"/>
    <n v="1"/>
    <n v="9"/>
    <s v="Normal"/>
    <s v="Detractor"/>
    <m/>
  </r>
  <r>
    <s v="L1305"/>
    <x v="1"/>
    <s v="Warm"/>
    <d v="2025-10-11T00:00:00"/>
    <d v="2025-10-14T00:00:00"/>
    <d v="2025-10-19T00:00:00"/>
    <d v="2025-10-22T00:00:00"/>
    <s v="No"/>
    <s v="Nan"/>
    <d v="2025-11-13T00:00:00"/>
    <n v="3"/>
    <x v="1"/>
    <n v="3"/>
    <n v="1"/>
    <n v="11"/>
    <s v="Normal"/>
    <s v="Detractor"/>
    <m/>
  </r>
  <r>
    <s v="L1306"/>
    <x v="3"/>
    <s v="Warm"/>
    <d v="2025-10-20T00:00:00"/>
    <d v="2025-10-25T00:00:00"/>
    <d v="2025-10-30T00:00:00"/>
    <d v="2025-11-04T00:00:00"/>
    <s v="No"/>
    <s v="Nan"/>
    <d v="2025-11-30T00:00:00"/>
    <n v="5"/>
    <x v="1"/>
    <n v="5"/>
    <n v="8"/>
    <n v="15"/>
    <s v="Normal"/>
    <s v="Passive"/>
    <m/>
  </r>
  <r>
    <s v="L1307"/>
    <x v="1"/>
    <s v="Warm"/>
    <d v="2025-10-09T00:00:00"/>
    <d v="2025-10-13T00:00:00"/>
    <d v="2025-10-15T00:00:00"/>
    <d v="2025-10-19T00:00:00"/>
    <s v="No"/>
    <s v="Nan"/>
    <d v="2025-11-11T00:00:00"/>
    <n v="4"/>
    <x v="5"/>
    <n v="4"/>
    <n v="9"/>
    <n v="10"/>
    <s v="Normal"/>
    <s v="Promoter"/>
    <m/>
  </r>
  <r>
    <s v="L1308"/>
    <x v="2"/>
    <s v="Warm"/>
    <d v="2025-10-01T00:00:00"/>
    <d v="2025-10-06T00:00:00"/>
    <d v="2025-10-08T00:00:00"/>
    <d v="2025-10-12T00:00:00"/>
    <s v="No"/>
    <s v="Nan"/>
    <d v="2025-11-08T00:00:00"/>
    <n v="5"/>
    <x v="5"/>
    <n v="4"/>
    <n v="6"/>
    <n v="11"/>
    <s v="Normal"/>
    <s v="Detractor"/>
    <m/>
  </r>
  <r>
    <s v="L1309"/>
    <x v="3"/>
    <s v="Warm"/>
    <d v="2025-10-03T00:00:00"/>
    <d v="2025-10-05T00:00:00"/>
    <d v="2025-10-08T00:00:00"/>
    <d v="2025-10-12T00:00:00"/>
    <s v="No"/>
    <s v="Nan"/>
    <d v="2025-11-06T00:00:00"/>
    <n v="2"/>
    <x v="3"/>
    <n v="4"/>
    <n v="5"/>
    <n v="9"/>
    <s v="Normal"/>
    <s v="Detractor"/>
    <m/>
  </r>
  <r>
    <s v="L1310"/>
    <x v="2"/>
    <s v="Hot"/>
    <d v="2025-10-08T00:00:00"/>
    <d v="2025-10-09T00:00:00"/>
    <d v="2025-10-14T00:00:00"/>
    <d v="2025-10-18T00:00:00"/>
    <s v="No"/>
    <s v="Nan"/>
    <d v="2025-11-15T00:00:00"/>
    <n v="1"/>
    <x v="1"/>
    <n v="4"/>
    <n v="3"/>
    <n v="10"/>
    <s v="Normal"/>
    <s v="Detractor"/>
    <m/>
  </r>
  <r>
    <s v="L1311"/>
    <x v="0"/>
    <s v="Hot"/>
    <d v="2025-10-31T00:00:00"/>
    <d v="2025-11-04T00:00:00"/>
    <d v="2025-11-08T00:00:00"/>
    <d v="2025-11-14T00:00:00"/>
    <s v="No"/>
    <s v="Nan"/>
    <d v="2025-12-01T00:00:00"/>
    <n v="4"/>
    <x v="0"/>
    <n v="6"/>
    <n v="6"/>
    <n v="14"/>
    <s v="Normal"/>
    <s v="Detractor"/>
    <m/>
  </r>
  <r>
    <s v="L1312"/>
    <x v="1"/>
    <s v="Warm"/>
    <d v="2025-10-22T00:00:00"/>
    <d v="2025-10-23T00:00:00"/>
    <d v="2025-10-24T00:00:00"/>
    <d v="2025-10-30T00:00:00"/>
    <s v="No"/>
    <s v="Nan"/>
    <d v="2025-11-24T00:00:00"/>
    <n v="1"/>
    <x v="4"/>
    <n v="6"/>
    <n v="6"/>
    <n v="8"/>
    <s v="Normal"/>
    <s v="Detractor"/>
    <m/>
  </r>
  <r>
    <s v="L1313"/>
    <x v="0"/>
    <s v="Warm"/>
    <d v="2025-10-27T00:00:00"/>
    <d v="2025-10-30T00:00:00"/>
    <d v="2025-11-01T00:00:00"/>
    <d v="2025-11-04T00:00:00"/>
    <s v="No"/>
    <s v="Nan"/>
    <d v="2025-11-23T00:00:00"/>
    <n v="3"/>
    <x v="5"/>
    <n v="3"/>
    <n v="6"/>
    <n v="8"/>
    <s v="Normal"/>
    <s v="Detractor"/>
    <m/>
  </r>
  <r>
    <s v="L1314"/>
    <x v="0"/>
    <s v="Warm"/>
    <d v="2025-10-28T00:00:00"/>
    <d v="2025-10-29T00:00:00"/>
    <d v="2025-11-03T00:00:00"/>
    <d v="2025-11-09T00:00:00"/>
    <s v="No"/>
    <s v="Nan"/>
    <d v="2025-11-21T00:00:00"/>
    <n v="1"/>
    <x v="1"/>
    <n v="6"/>
    <n v="4"/>
    <n v="12"/>
    <s v="Normal"/>
    <s v="Detractor"/>
    <m/>
  </r>
  <r>
    <s v="L1315"/>
    <x v="0"/>
    <s v="Warm"/>
    <d v="2025-10-19T00:00:00"/>
    <d v="2025-10-24T00:00:00"/>
    <d v="2025-10-28T00:00:00"/>
    <d v="2025-11-02T00:00:00"/>
    <s v="No"/>
    <s v="Nan"/>
    <d v="2025-11-24T00:00:00"/>
    <n v="5"/>
    <x v="0"/>
    <n v="5"/>
    <n v="5"/>
    <n v="14"/>
    <s v="Normal"/>
    <s v="Detractor"/>
    <m/>
  </r>
  <r>
    <s v="L1316"/>
    <x v="0"/>
    <s v="Warm"/>
    <d v="2025-10-19T00:00:00"/>
    <d v="2025-10-21T00:00:00"/>
    <d v="2025-10-22T00:00:00"/>
    <d v="2025-10-26T00:00:00"/>
    <s v="No"/>
    <s v="Nan"/>
    <d v="2025-11-06T00:00:00"/>
    <n v="2"/>
    <x v="4"/>
    <n v="4"/>
    <n v="9"/>
    <n v="7"/>
    <s v="Normal"/>
    <s v="Promoter"/>
    <m/>
  </r>
  <r>
    <s v="L1317"/>
    <x v="1"/>
    <s v="Warm"/>
    <d v="2025-10-31T00:00:00"/>
    <d v="2025-11-01T00:00:00"/>
    <d v="2025-11-06T00:00:00"/>
    <d v="2025-11-13T00:00:00"/>
    <s v="Yes"/>
    <s v="Financing Issue"/>
    <m/>
    <n v="1"/>
    <x v="1"/>
    <n v="7"/>
    <m/>
    <n v="13"/>
    <s v="Normal"/>
    <s v="Detractor"/>
    <m/>
  </r>
  <r>
    <s v="L1318"/>
    <x v="0"/>
    <s v="Warm"/>
    <d v="2025-10-01T00:00:00"/>
    <d v="2025-10-03T00:00:00"/>
    <d v="2025-10-07T00:00:00"/>
    <d v="2025-10-09T00:00:00"/>
    <s v="No"/>
    <s v="Nan"/>
    <d v="2025-11-04T00:00:00"/>
    <n v="2"/>
    <x v="0"/>
    <n v="2"/>
    <n v="6"/>
    <n v="8"/>
    <s v="Normal"/>
    <s v="Detractor"/>
    <m/>
  </r>
  <r>
    <s v="L1319"/>
    <x v="1"/>
    <s v="Warm"/>
    <d v="2025-10-25T00:00:00"/>
    <d v="2025-10-29T00:00:00"/>
    <d v="2025-10-30T00:00:00"/>
    <d v="2025-11-01T00:00:00"/>
    <s v="Yes"/>
    <s v="Changed Mind"/>
    <m/>
    <n v="4"/>
    <x v="4"/>
    <n v="2"/>
    <m/>
    <n v="7"/>
    <s v="Normal"/>
    <s v="Detractor"/>
    <m/>
  </r>
  <r>
    <s v="L1320"/>
    <x v="1"/>
    <s v="Warm"/>
    <d v="2025-10-22T00:00:00"/>
    <d v="2025-10-26T00:00:00"/>
    <d v="2025-10-30T00:00:00"/>
    <d v="2025-11-01T00:00:00"/>
    <s v="No"/>
    <s v="Nan"/>
    <d v="2025-11-29T00:00:00"/>
    <n v="4"/>
    <x v="0"/>
    <n v="2"/>
    <n v="4"/>
    <n v="10"/>
    <s v="Normal"/>
    <s v="Detractor"/>
    <m/>
  </r>
  <r>
    <s v="L1321"/>
    <x v="2"/>
    <s v="Cold"/>
    <d v="2025-10-27T00:00:00"/>
    <m/>
    <m/>
    <m/>
    <s v="Yes"/>
    <s v="Others"/>
    <m/>
    <s v=""/>
    <x v="2"/>
    <s v=""/>
    <m/>
    <m/>
    <s v="Normal"/>
    <s v="Detractor"/>
    <m/>
  </r>
  <r>
    <s v="L1322"/>
    <x v="3"/>
    <s v="Warm"/>
    <d v="2025-10-09T00:00:00"/>
    <d v="2025-10-14T00:00:00"/>
    <d v="2025-10-16T00:00:00"/>
    <d v="2025-10-23T00:00:00"/>
    <s v="Yes"/>
    <s v="Financing Issue"/>
    <m/>
    <n v="5"/>
    <x v="5"/>
    <n v="7"/>
    <m/>
    <n v="14"/>
    <s v="Normal"/>
    <s v="Detractor"/>
    <m/>
  </r>
  <r>
    <s v="L1323"/>
    <x v="3"/>
    <s v="Hot"/>
    <d v="2025-10-19T00:00:00"/>
    <d v="2025-10-24T00:00:00"/>
    <d v="2025-10-29T00:00:00"/>
    <d v="2025-11-03T00:00:00"/>
    <s v="No"/>
    <s v="Nan"/>
    <d v="2025-11-29T00:00:00"/>
    <n v="5"/>
    <x v="1"/>
    <n v="5"/>
    <n v="2"/>
    <n v="15"/>
    <s v="Normal"/>
    <s v="Detractor"/>
    <m/>
  </r>
  <r>
    <s v="L1324"/>
    <x v="1"/>
    <s v="Hot"/>
    <d v="2025-10-02T00:00:00"/>
    <d v="2025-10-07T00:00:00"/>
    <d v="2025-10-11T00:00:00"/>
    <d v="2025-10-13T00:00:00"/>
    <s v="Yes"/>
    <s v="Other"/>
    <m/>
    <n v="5"/>
    <x v="0"/>
    <n v="2"/>
    <m/>
    <n v="11"/>
    <s v="Normal"/>
    <s v="Detractor"/>
    <m/>
  </r>
  <r>
    <s v="L1325"/>
    <x v="2"/>
    <s v="Hot"/>
    <d v="2025-10-25T00:00:00"/>
    <d v="2025-10-27T00:00:00"/>
    <d v="2025-10-31T00:00:00"/>
    <d v="2025-11-02T00:00:00"/>
    <s v="No"/>
    <s v="Nan"/>
    <d v="2025-11-30T00:00:00"/>
    <n v="2"/>
    <x v="0"/>
    <n v="2"/>
    <n v="10"/>
    <n v="8"/>
    <s v="Normal"/>
    <s v="Promoter"/>
    <m/>
  </r>
  <r>
    <s v="L1326"/>
    <x v="1"/>
    <s v="Warm"/>
    <d v="2025-10-25T00:00:00"/>
    <d v="2025-10-28T00:00:00"/>
    <d v="2025-11-02T00:00:00"/>
    <d v="2025-11-05T00:00:00"/>
    <s v="No"/>
    <s v="Nan"/>
    <d v="2025-12-04T00:00:00"/>
    <n v="3"/>
    <x v="1"/>
    <n v="3"/>
    <n v="6"/>
    <n v="11"/>
    <s v="Normal"/>
    <s v="Detractor"/>
    <m/>
  </r>
  <r>
    <s v="L1327"/>
    <x v="1"/>
    <s v="Warm"/>
    <d v="2025-10-06T00:00:00"/>
    <d v="2025-10-09T00:00:00"/>
    <d v="2025-10-10T00:00:00"/>
    <d v="2025-10-15T00:00:00"/>
    <s v="No"/>
    <s v="Nan"/>
    <d v="2025-10-29T00:00:00"/>
    <n v="3"/>
    <x v="4"/>
    <n v="5"/>
    <n v="7"/>
    <n v="9"/>
    <s v="Normal"/>
    <s v="Passive"/>
    <m/>
  </r>
  <r>
    <s v="L1328"/>
    <x v="1"/>
    <s v="Warm"/>
    <d v="2025-10-16T00:00:00"/>
    <d v="2025-10-19T00:00:00"/>
    <d v="2025-10-24T00:00:00"/>
    <d v="2025-10-29T00:00:00"/>
    <s v="No"/>
    <s v="Nan"/>
    <d v="2025-11-11T00:00:00"/>
    <n v="3"/>
    <x v="1"/>
    <n v="5"/>
    <n v="3"/>
    <n v="13"/>
    <s v="Normal"/>
    <s v="Detractor"/>
    <m/>
  </r>
  <r>
    <s v="L1329"/>
    <x v="2"/>
    <s v="Warm"/>
    <d v="2025-10-17T00:00:00"/>
    <d v="2025-10-21T00:00:00"/>
    <d v="2025-10-25T00:00:00"/>
    <d v="2025-10-27T00:00:00"/>
    <s v="No"/>
    <s v="Nan"/>
    <d v="2025-11-20T00:00:00"/>
    <n v="4"/>
    <x v="0"/>
    <n v="2"/>
    <n v="2"/>
    <n v="10"/>
    <s v="Normal"/>
    <s v="Detractor"/>
    <m/>
  </r>
  <r>
    <s v="L1330"/>
    <x v="3"/>
    <s v="Hot"/>
    <d v="2025-10-21T00:00:00"/>
    <d v="2025-10-25T00:00:00"/>
    <d v="2025-10-28T00:00:00"/>
    <d v="2025-11-02T00:00:00"/>
    <s v="No"/>
    <s v="Nan"/>
    <d v="2025-11-17T00:00:00"/>
    <n v="4"/>
    <x v="3"/>
    <n v="5"/>
    <n v="1"/>
    <n v="12"/>
    <s v="Normal"/>
    <s v="Detractor"/>
    <m/>
  </r>
  <r>
    <s v="L1331"/>
    <x v="2"/>
    <s v="Warm"/>
    <d v="2025-10-15T00:00:00"/>
    <d v="2025-10-18T00:00:00"/>
    <d v="2025-10-19T00:00:00"/>
    <d v="2025-10-22T00:00:00"/>
    <s v="No"/>
    <s v="Nan"/>
    <d v="2025-11-06T00:00:00"/>
    <n v="3"/>
    <x v="4"/>
    <n v="3"/>
    <n v="0"/>
    <n v="7"/>
    <s v="Normal"/>
    <s v="Detractor"/>
    <m/>
  </r>
  <r>
    <s v="L1332"/>
    <x v="0"/>
    <s v="Hot"/>
    <d v="2025-10-30T00:00:00"/>
    <d v="2025-11-04T00:00:00"/>
    <d v="2025-11-08T00:00:00"/>
    <d v="2025-11-15T00:00:00"/>
    <s v="No"/>
    <s v="Nan"/>
    <d v="2025-12-01T00:00:00"/>
    <n v="5"/>
    <x v="0"/>
    <n v="7"/>
    <n v="2"/>
    <n v="16"/>
    <s v="Normal"/>
    <s v="Detractor"/>
    <m/>
  </r>
  <r>
    <s v="L1333"/>
    <x v="2"/>
    <s v="Warm"/>
    <d v="2025-10-09T00:00:00"/>
    <d v="2025-10-10T00:00:00"/>
    <d v="2025-10-13T00:00:00"/>
    <d v="2025-10-16T00:00:00"/>
    <s v="No"/>
    <s v="Nan"/>
    <d v="2025-11-01T00:00:00"/>
    <n v="1"/>
    <x v="3"/>
    <n v="3"/>
    <n v="2"/>
    <n v="7"/>
    <s v="Normal"/>
    <s v="Detractor"/>
    <m/>
  </r>
  <r>
    <s v="L1334"/>
    <x v="2"/>
    <s v="Hot"/>
    <d v="2025-10-06T00:00:00"/>
    <d v="2025-10-09T00:00:00"/>
    <d v="2025-10-10T00:00:00"/>
    <d v="2025-10-17T00:00:00"/>
    <s v="No"/>
    <s v="Nan"/>
    <d v="2025-10-31T00:00:00"/>
    <n v="3"/>
    <x v="4"/>
    <n v="7"/>
    <n v="1"/>
    <n v="11"/>
    <s v="Normal"/>
    <s v="Detractor"/>
    <m/>
  </r>
  <r>
    <s v="L1335"/>
    <x v="2"/>
    <s v="Cold"/>
    <d v="2025-10-19T00:00:00"/>
    <m/>
    <m/>
    <m/>
    <s v="Yes"/>
    <s v="Price"/>
    <m/>
    <s v=""/>
    <x v="2"/>
    <s v=""/>
    <m/>
    <m/>
    <s v="Normal"/>
    <s v="Detractor"/>
    <m/>
  </r>
  <r>
    <s v="L1336"/>
    <x v="2"/>
    <s v="Hot"/>
    <d v="2025-10-14T00:00:00"/>
    <d v="2025-10-15T00:00:00"/>
    <d v="2025-10-17T00:00:00"/>
    <d v="2025-10-21T00:00:00"/>
    <s v="No"/>
    <s v="Nan"/>
    <d v="2025-11-01T00:00:00"/>
    <n v="1"/>
    <x v="5"/>
    <n v="4"/>
    <n v="7"/>
    <n v="7"/>
    <s v="Normal"/>
    <s v="Passive"/>
    <m/>
  </r>
  <r>
    <s v="L1337"/>
    <x v="3"/>
    <s v="Cold"/>
    <d v="2025-10-21T00:00:00"/>
    <m/>
    <m/>
    <m/>
    <s v="Yes"/>
    <s v="Financing Issue"/>
    <m/>
    <s v=""/>
    <x v="2"/>
    <s v=""/>
    <m/>
    <m/>
    <s v="Normal"/>
    <s v="Detractor"/>
    <m/>
  </r>
  <r>
    <s v="L1338"/>
    <x v="0"/>
    <s v="Warm"/>
    <d v="2025-10-27T00:00:00"/>
    <d v="2025-10-30T00:00:00"/>
    <d v="2025-11-04T00:00:00"/>
    <d v="2025-11-07T00:00:00"/>
    <s v="No"/>
    <s v="Nan"/>
    <d v="2025-11-30T00:00:00"/>
    <n v="3"/>
    <x v="1"/>
    <n v="3"/>
    <n v="3"/>
    <n v="11"/>
    <s v="Normal"/>
    <s v="Detractor"/>
    <m/>
  </r>
  <r>
    <s v="L1339"/>
    <x v="3"/>
    <s v="Cold"/>
    <d v="2025-10-16T00:00:00"/>
    <m/>
    <m/>
    <m/>
    <s v="Yes"/>
    <s v="Financing Issue"/>
    <m/>
    <s v=""/>
    <x v="2"/>
    <s v=""/>
    <m/>
    <m/>
    <s v="Normal"/>
    <s v="Detractor"/>
    <m/>
  </r>
  <r>
    <s v="L1340"/>
    <x v="3"/>
    <s v="Warm"/>
    <d v="2025-10-03T00:00:00"/>
    <d v="2025-10-04T00:00:00"/>
    <d v="2025-10-05T00:00:00"/>
    <d v="2025-10-09T00:00:00"/>
    <s v="No"/>
    <s v="Nan"/>
    <d v="2025-10-21T00:00:00"/>
    <n v="1"/>
    <x v="4"/>
    <n v="4"/>
    <n v="10"/>
    <n v="6"/>
    <s v="Normal"/>
    <s v="Promoter"/>
    <m/>
  </r>
  <r>
    <s v="L1341"/>
    <x v="2"/>
    <s v="Warm"/>
    <d v="2025-10-16T00:00:00"/>
    <d v="2025-10-21T00:00:00"/>
    <d v="2025-10-22T00:00:00"/>
    <d v="2025-10-24T00:00:00"/>
    <s v="No"/>
    <s v="Nan"/>
    <d v="2025-11-16T00:00:00"/>
    <n v="5"/>
    <x v="4"/>
    <n v="2"/>
    <n v="1"/>
    <n v="8"/>
    <s v="Normal"/>
    <s v="Detractor"/>
    <m/>
  </r>
  <r>
    <s v="L1342"/>
    <x v="1"/>
    <s v="Warm"/>
    <d v="2025-10-12T00:00:00"/>
    <d v="2025-10-16T00:00:00"/>
    <d v="2025-10-20T00:00:00"/>
    <d v="2025-10-27T00:00:00"/>
    <s v="No"/>
    <s v="Nan"/>
    <d v="2025-11-12T00:00:00"/>
    <n v="4"/>
    <x v="0"/>
    <n v="7"/>
    <n v="4"/>
    <n v="15"/>
    <s v="Normal"/>
    <s v="Detractor"/>
    <m/>
  </r>
  <r>
    <s v="L1343"/>
    <x v="1"/>
    <s v="Warm"/>
    <d v="2025-10-14T00:00:00"/>
    <d v="2025-10-17T00:00:00"/>
    <d v="2025-10-20T00:00:00"/>
    <d v="2025-10-24T00:00:00"/>
    <s v="No"/>
    <s v="Nan"/>
    <d v="2025-11-23T00:00:00"/>
    <n v="3"/>
    <x v="3"/>
    <n v="4"/>
    <n v="8"/>
    <n v="10"/>
    <s v="Normal"/>
    <s v="Passive"/>
    <m/>
  </r>
  <r>
    <s v="L1344"/>
    <x v="3"/>
    <s v="Warm"/>
    <d v="2025-10-11T00:00:00"/>
    <d v="2025-10-14T00:00:00"/>
    <d v="2025-10-15T00:00:00"/>
    <d v="2025-10-19T00:00:00"/>
    <s v="No"/>
    <s v="Nan"/>
    <d v="2025-11-02T00:00:00"/>
    <n v="3"/>
    <x v="4"/>
    <n v="4"/>
    <n v="3"/>
    <n v="8"/>
    <s v="Normal"/>
    <s v="Detractor"/>
    <m/>
  </r>
  <r>
    <s v="L1345"/>
    <x v="3"/>
    <s v="Warm"/>
    <d v="2025-10-11T00:00:00"/>
    <d v="2025-10-16T00:00:00"/>
    <d v="2025-10-21T00:00:00"/>
    <d v="2025-10-23T00:00:00"/>
    <s v="No"/>
    <s v="Nan"/>
    <d v="2025-11-21T00:00:00"/>
    <n v="5"/>
    <x v="1"/>
    <n v="2"/>
    <n v="6"/>
    <n v="12"/>
    <s v="Normal"/>
    <s v="Detractor"/>
    <m/>
  </r>
  <r>
    <s v="L1346"/>
    <x v="2"/>
    <s v="Warm"/>
    <d v="2025-10-22T00:00:00"/>
    <d v="2025-10-24T00:00:00"/>
    <d v="2025-10-25T00:00:00"/>
    <d v="2025-10-29T00:00:00"/>
    <s v="No"/>
    <s v="Nan"/>
    <d v="2025-11-16T00:00:00"/>
    <n v="2"/>
    <x v="4"/>
    <n v="4"/>
    <n v="4"/>
    <n v="7"/>
    <s v="Normal"/>
    <s v="Detractor"/>
    <m/>
  </r>
  <r>
    <s v="L1347"/>
    <x v="3"/>
    <s v="Hot"/>
    <d v="2025-10-04T00:00:00"/>
    <d v="2025-10-07T00:00:00"/>
    <d v="2025-10-08T00:00:00"/>
    <d v="2025-10-15T00:00:00"/>
    <s v="No"/>
    <s v="Nan"/>
    <d v="2025-11-04T00:00:00"/>
    <n v="3"/>
    <x v="4"/>
    <n v="7"/>
    <n v="8"/>
    <n v="11"/>
    <s v="Normal"/>
    <s v="Passive"/>
    <m/>
  </r>
  <r>
    <s v="L1348"/>
    <x v="2"/>
    <s v="Warm"/>
    <d v="2025-10-28T00:00:00"/>
    <d v="2025-10-29T00:00:00"/>
    <d v="2025-11-02T00:00:00"/>
    <d v="2025-11-09T00:00:00"/>
    <s v="No"/>
    <s v="Nan"/>
    <d v="2025-11-21T00:00:00"/>
    <n v="1"/>
    <x v="0"/>
    <n v="7"/>
    <n v="4"/>
    <n v="12"/>
    <s v="Normal"/>
    <s v="Detractor"/>
    <m/>
  </r>
  <r>
    <s v="L1349"/>
    <x v="1"/>
    <s v="Warm"/>
    <d v="2025-10-06T00:00:00"/>
    <d v="2025-10-11T00:00:00"/>
    <d v="2025-10-12T00:00:00"/>
    <d v="2025-10-15T00:00:00"/>
    <s v="No"/>
    <s v="Nan"/>
    <d v="2025-10-27T00:00:00"/>
    <n v="5"/>
    <x v="4"/>
    <n v="3"/>
    <n v="6"/>
    <n v="9"/>
    <s v="Normal"/>
    <s v="Detractor"/>
    <m/>
  </r>
  <r>
    <s v="L1350"/>
    <x v="1"/>
    <s v="Warm"/>
    <d v="2025-10-11T00:00:00"/>
    <d v="2025-10-13T00:00:00"/>
    <d v="2025-10-16T00:00:00"/>
    <d v="2025-10-18T00:00:00"/>
    <s v="Yes"/>
    <s v="Other"/>
    <m/>
    <n v="2"/>
    <x v="3"/>
    <n v="2"/>
    <m/>
    <n v="7"/>
    <s v="Normal"/>
    <s v="Detractor"/>
    <m/>
  </r>
  <r>
    <s v="L1351"/>
    <x v="0"/>
    <s v="Warm"/>
    <d v="2025-10-14T00:00:00"/>
    <d v="2025-10-17T00:00:00"/>
    <d v="2025-10-21T00:00:00"/>
    <d v="2025-10-26T00:00:00"/>
    <s v="Yes"/>
    <s v="Changed Mind"/>
    <m/>
    <n v="3"/>
    <x v="0"/>
    <n v="5"/>
    <m/>
    <n v="12"/>
    <s v="Normal"/>
    <s v="Detractor"/>
    <m/>
  </r>
  <r>
    <s v="L1352"/>
    <x v="1"/>
    <s v="Warm"/>
    <d v="2025-10-23T00:00:00"/>
    <d v="2025-10-26T00:00:00"/>
    <d v="2025-10-28T00:00:00"/>
    <d v="2025-11-04T00:00:00"/>
    <s v="No"/>
    <s v="Nan"/>
    <d v="2025-11-26T00:00:00"/>
    <n v="3"/>
    <x v="5"/>
    <n v="7"/>
    <n v="5"/>
    <n v="12"/>
    <s v="Normal"/>
    <s v="Detractor"/>
    <m/>
  </r>
  <r>
    <s v="L1353"/>
    <x v="3"/>
    <s v="Cold"/>
    <d v="2025-10-16T00:00:00"/>
    <m/>
    <m/>
    <m/>
    <s v="Yes"/>
    <s v="Others"/>
    <m/>
    <s v=""/>
    <x v="2"/>
    <s v=""/>
    <m/>
    <m/>
    <s v="Normal"/>
    <s v="Detractor"/>
    <m/>
  </r>
  <r>
    <s v="L1354"/>
    <x v="1"/>
    <s v="Hot"/>
    <d v="2025-10-10T00:00:00"/>
    <d v="2025-10-14T00:00:00"/>
    <d v="2025-10-16T00:00:00"/>
    <d v="2025-10-20T00:00:00"/>
    <s v="No"/>
    <s v="Nan"/>
    <d v="2025-11-16T00:00:00"/>
    <n v="4"/>
    <x v="5"/>
    <n v="4"/>
    <n v="2"/>
    <n v="10"/>
    <s v="Normal"/>
    <s v="Detractor"/>
    <m/>
  </r>
  <r>
    <s v="L1355"/>
    <x v="2"/>
    <s v="Warm"/>
    <d v="2025-10-22T00:00:00"/>
    <d v="2025-10-24T00:00:00"/>
    <d v="2025-10-28T00:00:00"/>
    <d v="2025-11-04T00:00:00"/>
    <s v="No"/>
    <s v="Nan"/>
    <d v="2025-11-26T00:00:00"/>
    <n v="2"/>
    <x v="0"/>
    <n v="7"/>
    <n v="3"/>
    <n v="13"/>
    <s v="Normal"/>
    <s v="Detractor"/>
    <m/>
  </r>
  <r>
    <s v="L1356"/>
    <x v="1"/>
    <s v="Warm"/>
    <d v="2025-10-31T00:00:00"/>
    <d v="2025-11-05T00:00:00"/>
    <d v="2025-11-08T00:00:00"/>
    <d v="2025-11-15T00:00:00"/>
    <s v="No"/>
    <s v="Nan"/>
    <d v="2025-12-12T00:00:00"/>
    <n v="5"/>
    <x v="3"/>
    <n v="7"/>
    <n v="10"/>
    <n v="15"/>
    <s v="Normal"/>
    <s v="Promoter"/>
    <m/>
  </r>
  <r>
    <s v="L1357"/>
    <x v="0"/>
    <s v="Warm"/>
    <d v="2025-10-13T00:00:00"/>
    <d v="2025-10-14T00:00:00"/>
    <d v="2025-10-18T00:00:00"/>
    <d v="2025-10-21T00:00:00"/>
    <s v="No"/>
    <s v="Nan"/>
    <d v="2025-11-10T00:00:00"/>
    <n v="1"/>
    <x v="0"/>
    <n v="3"/>
    <n v="3"/>
    <n v="8"/>
    <s v="Normal"/>
    <s v="Detractor"/>
    <m/>
  </r>
  <r>
    <s v="L1358"/>
    <x v="1"/>
    <s v="Cold"/>
    <d v="2025-10-27T00:00:00"/>
    <m/>
    <m/>
    <m/>
    <s v="Yes"/>
    <s v="Other"/>
    <m/>
    <s v=""/>
    <x v="2"/>
    <s v=""/>
    <m/>
    <m/>
    <s v="Normal"/>
    <s v="Detractor"/>
    <m/>
  </r>
  <r>
    <s v="L1359"/>
    <x v="2"/>
    <s v="Hot"/>
    <d v="2025-10-25T00:00:00"/>
    <d v="2025-10-28T00:00:00"/>
    <d v="2025-11-01T00:00:00"/>
    <d v="2025-11-06T00:00:00"/>
    <s v="No"/>
    <s v="Nan"/>
    <d v="2025-11-24T00:00:00"/>
    <n v="3"/>
    <x v="0"/>
    <n v="5"/>
    <n v="5"/>
    <n v="12"/>
    <s v="Normal"/>
    <s v="Detractor"/>
    <m/>
  </r>
  <r>
    <s v="L1360"/>
    <x v="2"/>
    <s v="Warm"/>
    <d v="2025-10-18T00:00:00"/>
    <d v="2025-10-23T00:00:00"/>
    <d v="2025-10-27T00:00:00"/>
    <d v="2025-11-03T00:00:00"/>
    <s v="No"/>
    <s v="Nan"/>
    <d v="2025-11-29T00:00:00"/>
    <n v="5"/>
    <x v="0"/>
    <n v="7"/>
    <n v="8"/>
    <n v="16"/>
    <s v="Normal"/>
    <s v="Passive"/>
    <m/>
  </r>
  <r>
    <s v="L1361"/>
    <x v="3"/>
    <s v="Warm"/>
    <d v="2025-10-02T00:00:00"/>
    <d v="2025-10-06T00:00:00"/>
    <d v="2025-10-10T00:00:00"/>
    <d v="2025-10-12T00:00:00"/>
    <s v="No"/>
    <s v="Nan"/>
    <d v="2025-11-05T00:00:00"/>
    <n v="4"/>
    <x v="0"/>
    <n v="2"/>
    <n v="0"/>
    <n v="10"/>
    <s v="Normal"/>
    <s v="Detractor"/>
    <m/>
  </r>
  <r>
    <s v="L1362"/>
    <x v="1"/>
    <s v="Warm"/>
    <d v="2025-10-15T00:00:00"/>
    <d v="2025-10-18T00:00:00"/>
    <d v="2025-10-19T00:00:00"/>
    <d v="2025-10-26T00:00:00"/>
    <s v="No"/>
    <s v="Nan"/>
    <d v="2025-11-05T00:00:00"/>
    <n v="3"/>
    <x v="4"/>
    <n v="7"/>
    <n v="1"/>
    <n v="11"/>
    <s v="Normal"/>
    <s v="Detractor"/>
    <m/>
  </r>
  <r>
    <s v="L1363"/>
    <x v="2"/>
    <s v="Warm"/>
    <d v="2025-10-03T00:00:00"/>
    <d v="2025-10-05T00:00:00"/>
    <d v="2025-10-10T00:00:00"/>
    <d v="2025-10-12T00:00:00"/>
    <s v="No"/>
    <s v="Nan"/>
    <d v="2025-11-10T00:00:00"/>
    <n v="2"/>
    <x v="1"/>
    <n v="2"/>
    <n v="4"/>
    <n v="9"/>
    <s v="Normal"/>
    <s v="Detractor"/>
    <m/>
  </r>
  <r>
    <s v="L1364"/>
    <x v="0"/>
    <s v="Warm"/>
    <d v="2025-10-11T00:00:00"/>
    <d v="2025-10-16T00:00:00"/>
    <d v="2025-10-18T00:00:00"/>
    <d v="2025-10-20T00:00:00"/>
    <s v="No"/>
    <s v="Nan"/>
    <d v="2025-11-17T00:00:00"/>
    <n v="5"/>
    <x v="5"/>
    <n v="2"/>
    <n v="5"/>
    <n v="9"/>
    <s v="Normal"/>
    <s v="Detractor"/>
    <m/>
  </r>
  <r>
    <s v="L1365"/>
    <x v="3"/>
    <s v="Warm"/>
    <d v="2025-10-09T00:00:00"/>
    <d v="2025-10-10T00:00:00"/>
    <d v="2025-10-13T00:00:00"/>
    <d v="2025-10-16T00:00:00"/>
    <s v="No"/>
    <s v="Nan"/>
    <d v="2025-11-11T00:00:00"/>
    <n v="1"/>
    <x v="3"/>
    <n v="3"/>
    <n v="10"/>
    <n v="7"/>
    <s v="Normal"/>
    <s v="Promoter"/>
    <m/>
  </r>
  <r>
    <s v="L1366"/>
    <x v="0"/>
    <s v="Warm"/>
    <d v="2025-10-11T00:00:00"/>
    <d v="2025-10-15T00:00:00"/>
    <d v="2025-10-16T00:00:00"/>
    <d v="2025-10-21T00:00:00"/>
    <s v="No"/>
    <s v="Nan"/>
    <d v="2025-11-13T00:00:00"/>
    <n v="4"/>
    <x v="4"/>
    <n v="5"/>
    <n v="3"/>
    <n v="10"/>
    <s v="Normal"/>
    <s v="Detractor"/>
    <m/>
  </r>
  <r>
    <s v="L1367"/>
    <x v="1"/>
    <s v="Hot"/>
    <d v="2025-10-04T00:00:00"/>
    <d v="2025-10-09T00:00:00"/>
    <d v="2025-10-11T00:00:00"/>
    <d v="2025-10-13T00:00:00"/>
    <s v="Yes"/>
    <s v="Others"/>
    <m/>
    <n v="5"/>
    <x v="5"/>
    <n v="2"/>
    <m/>
    <n v="9"/>
    <s v="Normal"/>
    <s v="Detractor"/>
    <m/>
  </r>
  <r>
    <s v="L1368"/>
    <x v="1"/>
    <s v="Warm"/>
    <d v="2025-10-25T00:00:00"/>
    <d v="2025-10-28T00:00:00"/>
    <d v="2025-11-02T00:00:00"/>
    <d v="2025-11-05T00:00:00"/>
    <s v="No"/>
    <s v="Nan"/>
    <d v="2025-11-18T00:00:00"/>
    <n v="3"/>
    <x v="1"/>
    <n v="3"/>
    <n v="10"/>
    <n v="11"/>
    <s v="Normal"/>
    <s v="Promoter"/>
    <m/>
  </r>
  <r>
    <s v="L1369"/>
    <x v="1"/>
    <s v="Hot"/>
    <d v="2025-10-13T00:00:00"/>
    <d v="2025-10-14T00:00:00"/>
    <d v="2025-10-18T00:00:00"/>
    <d v="2025-10-24T00:00:00"/>
    <s v="No"/>
    <s v="Nan"/>
    <d v="2025-11-16T00:00:00"/>
    <n v="1"/>
    <x v="0"/>
    <n v="6"/>
    <n v="4"/>
    <n v="11"/>
    <s v="Normal"/>
    <s v="Detractor"/>
    <m/>
  </r>
  <r>
    <s v="L1370"/>
    <x v="3"/>
    <s v="Warm"/>
    <d v="2025-10-28T00:00:00"/>
    <d v="2025-10-31T00:00:00"/>
    <d v="2025-11-05T00:00:00"/>
    <d v="2025-11-08T00:00:00"/>
    <s v="No"/>
    <s v="Nan"/>
    <d v="2025-11-22T00:00:00"/>
    <n v="3"/>
    <x v="1"/>
    <n v="3"/>
    <n v="7"/>
    <n v="11"/>
    <s v="Normal"/>
    <s v="Passive"/>
    <m/>
  </r>
  <r>
    <s v="L1371"/>
    <x v="2"/>
    <s v="Warm"/>
    <d v="2025-10-17T00:00:00"/>
    <d v="2025-10-20T00:00:00"/>
    <d v="2025-10-22T00:00:00"/>
    <d v="2025-10-28T00:00:00"/>
    <s v="No"/>
    <s v="Nan"/>
    <d v="2025-11-11T00:00:00"/>
    <n v="3"/>
    <x v="5"/>
    <n v="6"/>
    <n v="1"/>
    <n v="11"/>
    <s v="Normal"/>
    <s v="Detractor"/>
    <m/>
  </r>
  <r>
    <s v="L1372"/>
    <x v="3"/>
    <s v="Warm"/>
    <d v="2025-10-27T00:00:00"/>
    <d v="2025-10-29T00:00:00"/>
    <d v="2025-10-31T00:00:00"/>
    <d v="2025-11-07T00:00:00"/>
    <s v="No"/>
    <s v="Nan"/>
    <d v="2025-12-05T00:00:00"/>
    <n v="2"/>
    <x v="5"/>
    <n v="7"/>
    <n v="5"/>
    <n v="11"/>
    <s v="Normal"/>
    <s v="Detractor"/>
    <m/>
  </r>
  <r>
    <s v="L1373"/>
    <x v="0"/>
    <s v="Warm"/>
    <d v="2025-10-01T00:00:00"/>
    <d v="2025-10-03T00:00:00"/>
    <d v="2025-10-04T00:00:00"/>
    <d v="2025-10-09T00:00:00"/>
    <s v="No"/>
    <s v="Nan"/>
    <d v="2025-11-06T00:00:00"/>
    <n v="2"/>
    <x v="4"/>
    <n v="5"/>
    <n v="2"/>
    <n v="8"/>
    <s v="Normal"/>
    <s v="Detractor"/>
    <m/>
  </r>
  <r>
    <s v="L1374"/>
    <x v="3"/>
    <s v="Hot"/>
    <d v="2025-10-22T00:00:00"/>
    <d v="2025-10-25T00:00:00"/>
    <d v="2025-10-26T00:00:00"/>
    <d v="2025-10-28T00:00:00"/>
    <s v="No"/>
    <s v="Nan"/>
    <d v="2025-11-25T00:00:00"/>
    <n v="3"/>
    <x v="4"/>
    <n v="2"/>
    <n v="9"/>
    <n v="6"/>
    <s v="High"/>
    <s v="Promoter"/>
    <m/>
  </r>
  <r>
    <s v="L1375"/>
    <x v="0"/>
    <s v="Warm"/>
    <d v="2025-10-28T00:00:00"/>
    <d v="2025-11-01T00:00:00"/>
    <d v="2025-11-04T00:00:00"/>
    <d v="2025-11-06T00:00:00"/>
    <s v="Yes"/>
    <s v="Changed Mind"/>
    <m/>
    <n v="4"/>
    <x v="3"/>
    <n v="2"/>
    <m/>
    <n v="9"/>
    <s v="Normal"/>
    <s v="Detractor"/>
    <m/>
  </r>
  <r>
    <s v="L1376"/>
    <x v="3"/>
    <s v="Warm"/>
    <d v="2025-10-18T00:00:00"/>
    <d v="2025-10-20T00:00:00"/>
    <d v="2025-10-24T00:00:00"/>
    <d v="2025-10-31T00:00:00"/>
    <s v="No"/>
    <s v="Nan"/>
    <d v="2025-11-13T00:00:00"/>
    <n v="2"/>
    <x v="0"/>
    <n v="7"/>
    <n v="3"/>
    <n v="13"/>
    <s v="Normal"/>
    <s v="Detractor"/>
    <m/>
  </r>
  <r>
    <s v="L1377"/>
    <x v="2"/>
    <s v="Warm"/>
    <d v="2025-10-15T00:00:00"/>
    <d v="2025-10-17T00:00:00"/>
    <d v="2025-10-22T00:00:00"/>
    <d v="2025-10-26T00:00:00"/>
    <s v="No"/>
    <s v="Nan"/>
    <d v="2025-11-08T00:00:00"/>
    <n v="2"/>
    <x v="1"/>
    <n v="4"/>
    <n v="9"/>
    <n v="11"/>
    <s v="Normal"/>
    <s v="Promoter"/>
    <m/>
  </r>
  <r>
    <s v="L1378"/>
    <x v="0"/>
    <s v="Cold"/>
    <d v="2025-10-14T00:00:00"/>
    <m/>
    <m/>
    <m/>
    <s v="Yes"/>
    <s v="Financing Issue"/>
    <m/>
    <s v=""/>
    <x v="2"/>
    <s v=""/>
    <m/>
    <m/>
    <s v="Normal"/>
    <s v="Detractor"/>
    <m/>
  </r>
  <r>
    <s v="L1379"/>
    <x v="1"/>
    <s v="Hot"/>
    <d v="2025-10-02T00:00:00"/>
    <d v="2025-10-04T00:00:00"/>
    <d v="2025-10-08T00:00:00"/>
    <d v="2025-10-10T00:00:00"/>
    <s v="No"/>
    <s v="Nan"/>
    <d v="2025-11-07T00:00:00"/>
    <n v="2"/>
    <x v="0"/>
    <n v="2"/>
    <n v="10"/>
    <n v="8"/>
    <s v="Normal"/>
    <s v="Promoter"/>
    <m/>
  </r>
  <r>
    <s v="L1380"/>
    <x v="1"/>
    <s v="Warm"/>
    <d v="2025-10-07T00:00:00"/>
    <d v="2025-10-09T00:00:00"/>
    <d v="2025-10-14T00:00:00"/>
    <d v="2025-10-19T00:00:00"/>
    <s v="No"/>
    <s v="Nan"/>
    <d v="2025-11-01T00:00:00"/>
    <n v="2"/>
    <x v="1"/>
    <n v="5"/>
    <n v="1"/>
    <n v="12"/>
    <s v="Normal"/>
    <s v="Detractor"/>
    <m/>
  </r>
  <r>
    <s v="L1381"/>
    <x v="3"/>
    <s v="Warm"/>
    <d v="2025-10-17T00:00:00"/>
    <d v="2025-10-18T00:00:00"/>
    <d v="2025-10-22T00:00:00"/>
    <d v="2025-10-29T00:00:00"/>
    <s v="No"/>
    <s v="Nan"/>
    <d v="2025-11-17T00:00:00"/>
    <n v="1"/>
    <x v="0"/>
    <n v="7"/>
    <n v="8"/>
    <n v="12"/>
    <s v="Normal"/>
    <s v="Passive"/>
    <m/>
  </r>
  <r>
    <s v="L1382"/>
    <x v="1"/>
    <s v="Warm"/>
    <d v="2025-10-12T00:00:00"/>
    <d v="2025-10-15T00:00:00"/>
    <d v="2025-10-17T00:00:00"/>
    <d v="2025-10-20T00:00:00"/>
    <s v="No"/>
    <s v="Nan"/>
    <d v="2025-11-16T00:00:00"/>
    <n v="3"/>
    <x v="5"/>
    <n v="3"/>
    <n v="4"/>
    <n v="8"/>
    <s v="Normal"/>
    <s v="Detractor"/>
    <m/>
  </r>
  <r>
    <s v="L1383"/>
    <x v="0"/>
    <s v="Hot"/>
    <d v="2025-10-20T00:00:00"/>
    <d v="2025-10-21T00:00:00"/>
    <d v="2025-10-23T00:00:00"/>
    <d v="2025-10-28T00:00:00"/>
    <s v="No"/>
    <s v="Nan"/>
    <d v="2025-11-18T00:00:00"/>
    <n v="1"/>
    <x v="5"/>
    <n v="5"/>
    <n v="9"/>
    <n v="8"/>
    <s v="Normal"/>
    <s v="Promoter"/>
    <m/>
  </r>
  <r>
    <s v="L1384"/>
    <x v="1"/>
    <s v="Hot"/>
    <d v="2025-10-25T00:00:00"/>
    <d v="2025-10-30T00:00:00"/>
    <d v="2025-11-03T00:00:00"/>
    <d v="2025-11-05T00:00:00"/>
    <s v="Yes"/>
    <s v="Others"/>
    <m/>
    <n v="5"/>
    <x v="0"/>
    <n v="2"/>
    <m/>
    <n v="11"/>
    <s v="Normal"/>
    <s v="Detractor"/>
    <m/>
  </r>
  <r>
    <s v="L1385"/>
    <x v="2"/>
    <s v="Cold"/>
    <d v="2025-10-16T00:00:00"/>
    <m/>
    <m/>
    <m/>
    <s v="Yes"/>
    <s v="Price"/>
    <m/>
    <s v=""/>
    <x v="2"/>
    <s v=""/>
    <m/>
    <m/>
    <s v="Normal"/>
    <s v="Detractor"/>
    <m/>
  </r>
  <r>
    <s v="L1386"/>
    <x v="2"/>
    <s v="Warm"/>
    <d v="2025-10-21T00:00:00"/>
    <d v="2025-10-26T00:00:00"/>
    <d v="2025-10-29T00:00:00"/>
    <d v="2025-11-01T00:00:00"/>
    <s v="No"/>
    <s v="Nan"/>
    <d v="2025-11-24T00:00:00"/>
    <n v="5"/>
    <x v="3"/>
    <n v="3"/>
    <n v="5"/>
    <n v="11"/>
    <s v="Normal"/>
    <s v="Detractor"/>
    <m/>
  </r>
  <r>
    <s v="L1387"/>
    <x v="3"/>
    <s v="Warm"/>
    <d v="2025-10-15T00:00:00"/>
    <d v="2025-10-20T00:00:00"/>
    <d v="2025-10-22T00:00:00"/>
    <d v="2025-10-27T00:00:00"/>
    <s v="Yes"/>
    <s v="Price"/>
    <m/>
    <n v="5"/>
    <x v="5"/>
    <n v="5"/>
    <m/>
    <n v="12"/>
    <s v="Normal"/>
    <s v="Detractor"/>
    <m/>
  </r>
  <r>
    <s v="L1388"/>
    <x v="0"/>
    <s v="Warm"/>
    <d v="2025-10-25T00:00:00"/>
    <d v="2025-10-26T00:00:00"/>
    <d v="2025-10-29T00:00:00"/>
    <d v="2025-10-31T00:00:00"/>
    <s v="No"/>
    <s v="Nan"/>
    <d v="2025-11-18T00:00:00"/>
    <n v="1"/>
    <x v="3"/>
    <n v="2"/>
    <n v="3"/>
    <n v="6"/>
    <s v="Normal"/>
    <s v="Detractor"/>
    <m/>
  </r>
  <r>
    <s v="L1389"/>
    <x v="2"/>
    <s v="Warm"/>
    <d v="2025-10-02T00:00:00"/>
    <d v="2025-10-05T00:00:00"/>
    <d v="2025-10-07T00:00:00"/>
    <d v="2025-10-14T00:00:00"/>
    <s v="No"/>
    <s v="Nan"/>
    <d v="2025-11-05T00:00:00"/>
    <n v="3"/>
    <x v="5"/>
    <n v="7"/>
    <n v="6"/>
    <n v="12"/>
    <s v="Normal"/>
    <s v="Detractor"/>
    <m/>
  </r>
  <r>
    <s v="L1390"/>
    <x v="2"/>
    <s v="Hot"/>
    <d v="2025-10-07T00:00:00"/>
    <d v="2025-10-12T00:00:00"/>
    <d v="2025-10-13T00:00:00"/>
    <d v="2025-10-15T00:00:00"/>
    <s v="No"/>
    <s v="Nan"/>
    <d v="2025-11-14T00:00:00"/>
    <n v="5"/>
    <x v="4"/>
    <n v="2"/>
    <n v="1"/>
    <n v="8"/>
    <s v="Normal"/>
    <s v="Detractor"/>
    <m/>
  </r>
  <r>
    <s v="L1391"/>
    <x v="0"/>
    <s v="Warm"/>
    <d v="2025-10-09T00:00:00"/>
    <d v="2025-10-11T00:00:00"/>
    <d v="2025-10-12T00:00:00"/>
    <d v="2025-10-14T00:00:00"/>
    <s v="No"/>
    <s v="Nan"/>
    <d v="2025-11-08T00:00:00"/>
    <n v="2"/>
    <x v="4"/>
    <n v="2"/>
    <n v="4"/>
    <n v="5"/>
    <s v="Normal"/>
    <s v="Detractor"/>
    <m/>
  </r>
  <r>
    <s v="L1392"/>
    <x v="1"/>
    <s v="Warm"/>
    <d v="2025-10-18T00:00:00"/>
    <d v="2025-10-23T00:00:00"/>
    <d v="2025-10-27T00:00:00"/>
    <d v="2025-10-31T00:00:00"/>
    <s v="No"/>
    <s v="Nan"/>
    <d v="2025-11-28T00:00:00"/>
    <n v="5"/>
    <x v="0"/>
    <n v="4"/>
    <n v="6"/>
    <n v="13"/>
    <s v="Normal"/>
    <s v="Detractor"/>
    <m/>
  </r>
  <r>
    <s v="L1393"/>
    <x v="1"/>
    <s v="Cold"/>
    <d v="2025-10-05T00:00:00"/>
    <m/>
    <m/>
    <m/>
    <s v="Yes"/>
    <s v="Other"/>
    <m/>
    <s v=""/>
    <x v="2"/>
    <s v=""/>
    <m/>
    <m/>
    <s v="Normal"/>
    <s v="Detractor"/>
    <m/>
  </r>
  <r>
    <s v="L1394"/>
    <x v="3"/>
    <s v="Hot"/>
    <d v="2025-10-30T00:00:00"/>
    <d v="2025-11-03T00:00:00"/>
    <d v="2025-11-08T00:00:00"/>
    <d v="2025-11-12T00:00:00"/>
    <s v="No"/>
    <s v="Nan"/>
    <d v="2025-12-11T00:00:00"/>
    <n v="4"/>
    <x v="1"/>
    <n v="4"/>
    <n v="2"/>
    <n v="13"/>
    <s v="Normal"/>
    <s v="Detractor"/>
    <m/>
  </r>
  <r>
    <s v="L1395"/>
    <x v="1"/>
    <s v="Warm"/>
    <d v="2025-10-10T00:00:00"/>
    <d v="2025-10-12T00:00:00"/>
    <d v="2025-10-13T00:00:00"/>
    <d v="2025-10-17T00:00:00"/>
    <s v="No"/>
    <s v="Nan"/>
    <d v="2025-11-11T00:00:00"/>
    <n v="2"/>
    <x v="4"/>
    <n v="4"/>
    <n v="8"/>
    <n v="7"/>
    <s v="Normal"/>
    <s v="Passive"/>
    <m/>
  </r>
  <r>
    <s v="L1396"/>
    <x v="0"/>
    <s v="Warm"/>
    <d v="2025-10-15T00:00:00"/>
    <d v="2025-10-17T00:00:00"/>
    <d v="2025-10-19T00:00:00"/>
    <d v="2025-10-22T00:00:00"/>
    <s v="No"/>
    <s v="Nan"/>
    <d v="2025-11-02T00:00:00"/>
    <n v="2"/>
    <x v="5"/>
    <n v="3"/>
    <n v="6"/>
    <n v="7"/>
    <s v="Normal"/>
    <s v="Detractor"/>
    <m/>
  </r>
  <r>
    <s v="L1397"/>
    <x v="2"/>
    <s v="Warm"/>
    <d v="2025-10-29T00:00:00"/>
    <d v="2025-10-31T00:00:00"/>
    <d v="2025-11-02T00:00:00"/>
    <d v="2025-11-07T00:00:00"/>
    <s v="No"/>
    <s v="Nan"/>
    <d v="2025-11-22T00:00:00"/>
    <n v="2"/>
    <x v="5"/>
    <n v="5"/>
    <n v="2"/>
    <n v="9"/>
    <s v="Normal"/>
    <s v="Detractor"/>
    <m/>
  </r>
  <r>
    <s v="L1398"/>
    <x v="1"/>
    <s v="Warm"/>
    <d v="2025-10-23T00:00:00"/>
    <d v="2025-10-28T00:00:00"/>
    <d v="2025-10-29T00:00:00"/>
    <d v="2025-11-01T00:00:00"/>
    <s v="No"/>
    <s v="Nan"/>
    <d v="2025-11-19T00:00:00"/>
    <n v="5"/>
    <x v="4"/>
    <n v="3"/>
    <n v="6"/>
    <n v="9"/>
    <s v="Normal"/>
    <s v="Detractor"/>
    <m/>
  </r>
  <r>
    <s v="L1399"/>
    <x v="3"/>
    <s v="Warm"/>
    <d v="2025-10-16T00:00:00"/>
    <d v="2025-10-18T00:00:00"/>
    <d v="2025-10-19T00:00:00"/>
    <d v="2025-10-26T00:00:00"/>
    <s v="No"/>
    <s v="Nan"/>
    <d v="2025-11-17T00:00:00"/>
    <n v="2"/>
    <x v="4"/>
    <n v="7"/>
    <n v="7"/>
    <n v="10"/>
    <s v="Normal"/>
    <s v="Passive"/>
    <m/>
  </r>
  <r>
    <s v="L1400"/>
    <x v="1"/>
    <s v="Warm"/>
    <d v="2025-10-04T00:00:00"/>
    <d v="2025-10-08T00:00:00"/>
    <d v="2025-10-13T00:00:00"/>
    <d v="2025-10-20T00:00:00"/>
    <s v="No"/>
    <s v="Nan"/>
    <d v="2025-11-03T00:00:00"/>
    <n v="4"/>
    <x v="1"/>
    <n v="7"/>
    <n v="1"/>
    <n v="16"/>
    <s v="Normal"/>
    <s v="Detractor"/>
    <m/>
  </r>
  <r>
    <s v="L1401"/>
    <x v="0"/>
    <s v="Warm"/>
    <d v="2025-10-01T00:00:00"/>
    <d v="2025-10-02T00:00:00"/>
    <d v="2025-10-03T00:00:00"/>
    <d v="2025-10-06T00:00:00"/>
    <s v="No"/>
    <s v="Nan"/>
    <d v="2025-11-04T00:00:00"/>
    <n v="1"/>
    <x v="4"/>
    <n v="3"/>
    <n v="8"/>
    <n v="5"/>
    <s v="Normal"/>
    <s v="Passive"/>
    <m/>
  </r>
  <r>
    <s v="L1402"/>
    <x v="3"/>
    <s v="Warm"/>
    <d v="2025-10-21T00:00:00"/>
    <d v="2025-10-25T00:00:00"/>
    <d v="2025-10-29T00:00:00"/>
    <d v="2025-10-31T00:00:00"/>
    <s v="No"/>
    <s v="Nan"/>
    <d v="2025-11-29T00:00:00"/>
    <n v="4"/>
    <x v="0"/>
    <n v="2"/>
    <n v="7"/>
    <n v="10"/>
    <s v="Normal"/>
    <s v="Passive"/>
    <m/>
  </r>
  <r>
    <s v="L1403"/>
    <x v="1"/>
    <s v="Cold"/>
    <d v="2025-10-20T00:00:00"/>
    <m/>
    <m/>
    <m/>
    <s v="Yes"/>
    <s v="Changed Mind"/>
    <m/>
    <s v=""/>
    <x v="2"/>
    <s v=""/>
    <m/>
    <m/>
    <s v="Normal"/>
    <s v="Detractor"/>
    <m/>
  </r>
  <r>
    <s v="L1404"/>
    <x v="3"/>
    <s v="Warm"/>
    <d v="2025-10-26T00:00:00"/>
    <d v="2025-10-29T00:00:00"/>
    <d v="2025-11-03T00:00:00"/>
    <d v="2025-11-09T00:00:00"/>
    <s v="Yes"/>
    <s v="Other"/>
    <m/>
    <n v="3"/>
    <x v="1"/>
    <n v="6"/>
    <m/>
    <n v="14"/>
    <s v="Normal"/>
    <s v="Detractor"/>
    <m/>
  </r>
  <r>
    <s v="L1405"/>
    <x v="0"/>
    <s v="Warm"/>
    <d v="2025-10-08T00:00:00"/>
    <d v="2025-10-10T00:00:00"/>
    <d v="2025-10-11T00:00:00"/>
    <d v="2025-10-17T00:00:00"/>
    <s v="No"/>
    <s v="Nan"/>
    <d v="2025-11-08T00:00:00"/>
    <n v="2"/>
    <x v="4"/>
    <n v="6"/>
    <n v="7"/>
    <n v="9"/>
    <s v="Normal"/>
    <s v="Passive"/>
    <m/>
  </r>
  <r>
    <s v="L1406"/>
    <x v="2"/>
    <s v="Hot"/>
    <d v="2025-10-23T00:00:00"/>
    <d v="2025-10-27T00:00:00"/>
    <d v="2025-10-29T00:00:00"/>
    <d v="2025-10-31T00:00:00"/>
    <s v="No"/>
    <s v="Nan"/>
    <d v="2025-11-11T00:00:00"/>
    <n v="4"/>
    <x v="5"/>
    <n v="2"/>
    <n v="7"/>
    <n v="8"/>
    <s v="Normal"/>
    <s v="Passive"/>
    <m/>
  </r>
  <r>
    <s v="L1407"/>
    <x v="0"/>
    <s v="Cold"/>
    <d v="2025-10-06T00:00:00"/>
    <m/>
    <m/>
    <m/>
    <s v="Yes"/>
    <s v="Other"/>
    <m/>
    <s v=""/>
    <x v="2"/>
    <s v=""/>
    <m/>
    <m/>
    <s v="Normal"/>
    <s v="Detractor"/>
    <m/>
  </r>
  <r>
    <s v="L1408"/>
    <x v="0"/>
    <s v="Hot"/>
    <d v="2025-10-10T00:00:00"/>
    <d v="2025-10-15T00:00:00"/>
    <d v="2025-10-16T00:00:00"/>
    <d v="2025-10-22T00:00:00"/>
    <s v="Yes"/>
    <s v="Other"/>
    <m/>
    <n v="5"/>
    <x v="4"/>
    <n v="6"/>
    <m/>
    <n v="12"/>
    <s v="Normal"/>
    <s v="Detractor"/>
    <m/>
  </r>
  <r>
    <s v="L1409"/>
    <x v="0"/>
    <s v="Hot"/>
    <d v="2025-10-18T00:00:00"/>
    <d v="2025-10-21T00:00:00"/>
    <d v="2025-10-25T00:00:00"/>
    <d v="2025-11-01T00:00:00"/>
    <s v="No"/>
    <s v="Nan"/>
    <d v="2025-11-23T00:00:00"/>
    <n v="3"/>
    <x v="0"/>
    <n v="7"/>
    <n v="1"/>
    <n v="14"/>
    <s v="Normal"/>
    <s v="Detractor"/>
    <m/>
  </r>
  <r>
    <s v="L1410"/>
    <x v="0"/>
    <s v="Hot"/>
    <d v="2025-10-01T00:00:00"/>
    <d v="2025-10-05T00:00:00"/>
    <d v="2025-10-09T00:00:00"/>
    <d v="2025-10-12T00:00:00"/>
    <s v="No"/>
    <s v="Nan"/>
    <d v="2025-11-01T00:00:00"/>
    <n v="4"/>
    <x v="0"/>
    <n v="3"/>
    <n v="1"/>
    <n v="11"/>
    <s v="Normal"/>
    <s v="Detractor"/>
    <m/>
  </r>
  <r>
    <s v="L1411"/>
    <x v="2"/>
    <s v="Warm"/>
    <d v="2025-10-18T00:00:00"/>
    <d v="2025-10-20T00:00:00"/>
    <d v="2025-10-22T00:00:00"/>
    <d v="2025-10-27T00:00:00"/>
    <s v="No"/>
    <s v="Nan"/>
    <d v="2025-11-13T00:00:00"/>
    <n v="2"/>
    <x v="5"/>
    <n v="5"/>
    <n v="10"/>
    <n v="9"/>
    <s v="Normal"/>
    <s v="Promoter"/>
    <m/>
  </r>
  <r>
    <s v="L1412"/>
    <x v="2"/>
    <s v="Hot"/>
    <d v="2025-10-14T00:00:00"/>
    <d v="2025-10-19T00:00:00"/>
    <d v="2025-10-24T00:00:00"/>
    <d v="2025-10-28T00:00:00"/>
    <s v="No"/>
    <s v="Nan"/>
    <d v="2025-11-08T00:00:00"/>
    <n v="5"/>
    <x v="1"/>
    <n v="4"/>
    <n v="7"/>
    <n v="14"/>
    <s v="Normal"/>
    <s v="Passive"/>
    <m/>
  </r>
  <r>
    <s v="L1413"/>
    <x v="3"/>
    <s v="Hot"/>
    <d v="2025-10-03T00:00:00"/>
    <d v="2025-10-05T00:00:00"/>
    <d v="2025-10-07T00:00:00"/>
    <d v="2025-10-14T00:00:00"/>
    <s v="No"/>
    <s v="Nan"/>
    <d v="2025-11-08T00:00:00"/>
    <n v="2"/>
    <x v="5"/>
    <n v="7"/>
    <n v="3"/>
    <n v="11"/>
    <s v="Normal"/>
    <s v="Detractor"/>
    <m/>
  </r>
  <r>
    <s v="L1414"/>
    <x v="1"/>
    <s v="Hot"/>
    <d v="2025-10-08T00:00:00"/>
    <d v="2025-10-11T00:00:00"/>
    <d v="2025-10-12T00:00:00"/>
    <d v="2025-10-15T00:00:00"/>
    <s v="Yes"/>
    <s v="Price"/>
    <m/>
    <n v="3"/>
    <x v="4"/>
    <n v="3"/>
    <m/>
    <n v="7"/>
    <s v="Normal"/>
    <s v="Detractor"/>
    <m/>
  </r>
  <r>
    <s v="L1415"/>
    <x v="2"/>
    <s v="Hot"/>
    <d v="2025-10-27T00:00:00"/>
    <d v="2025-10-31T00:00:00"/>
    <d v="2025-11-02T00:00:00"/>
    <d v="2025-11-09T00:00:00"/>
    <s v="No"/>
    <s v="Nan"/>
    <d v="2025-11-27T00:00:00"/>
    <n v="4"/>
    <x v="5"/>
    <n v="7"/>
    <n v="0"/>
    <n v="13"/>
    <s v="Normal"/>
    <s v="Detractor"/>
    <m/>
  </r>
  <r>
    <s v="L1416"/>
    <x v="2"/>
    <s v="Warm"/>
    <d v="2025-10-30T00:00:00"/>
    <d v="2025-11-01T00:00:00"/>
    <d v="2025-11-06T00:00:00"/>
    <d v="2025-11-13T00:00:00"/>
    <s v="No"/>
    <s v="Nan"/>
    <d v="2025-12-04T00:00:00"/>
    <n v="2"/>
    <x v="1"/>
    <n v="7"/>
    <n v="4"/>
    <n v="14"/>
    <s v="Normal"/>
    <s v="Detractor"/>
    <m/>
  </r>
  <r>
    <s v="L1417"/>
    <x v="1"/>
    <s v="Warm"/>
    <d v="2025-10-04T00:00:00"/>
    <d v="2025-10-07T00:00:00"/>
    <d v="2025-10-10T00:00:00"/>
    <d v="2025-10-13T00:00:00"/>
    <s v="No"/>
    <s v="Nan"/>
    <d v="2025-10-23T00:00:00"/>
    <n v="3"/>
    <x v="3"/>
    <n v="3"/>
    <n v="10"/>
    <n v="9"/>
    <s v="Normal"/>
    <s v="Promoter"/>
    <m/>
  </r>
  <r>
    <s v="L1418"/>
    <x v="2"/>
    <s v="Warm"/>
    <d v="2025-10-15T00:00:00"/>
    <d v="2025-10-20T00:00:00"/>
    <d v="2025-10-22T00:00:00"/>
    <d v="2025-10-27T00:00:00"/>
    <s v="No"/>
    <s v="Nan"/>
    <d v="2025-11-16T00:00:00"/>
    <n v="5"/>
    <x v="5"/>
    <n v="5"/>
    <n v="9"/>
    <n v="12"/>
    <s v="Normal"/>
    <s v="Promoter"/>
    <m/>
  </r>
  <r>
    <s v="L1419"/>
    <x v="0"/>
    <s v="Warm"/>
    <d v="2025-10-31T00:00:00"/>
    <d v="2025-11-04T00:00:00"/>
    <d v="2025-11-09T00:00:00"/>
    <d v="2025-11-15T00:00:00"/>
    <s v="No"/>
    <s v="Nan"/>
    <d v="2025-12-04T00:00:00"/>
    <n v="4"/>
    <x v="1"/>
    <n v="6"/>
    <n v="5"/>
    <n v="15"/>
    <s v="Normal"/>
    <s v="Detractor"/>
    <m/>
  </r>
  <r>
    <s v="L1420"/>
    <x v="0"/>
    <s v="Warm"/>
    <d v="2025-10-04T00:00:00"/>
    <d v="2025-10-08T00:00:00"/>
    <d v="2025-10-11T00:00:00"/>
    <d v="2025-10-18T00:00:00"/>
    <s v="No"/>
    <s v="Nan"/>
    <d v="2025-11-06T00:00:00"/>
    <n v="4"/>
    <x v="3"/>
    <n v="7"/>
    <n v="1"/>
    <n v="14"/>
    <s v="Normal"/>
    <s v="Detractor"/>
    <m/>
  </r>
  <r>
    <s v="L1421"/>
    <x v="1"/>
    <s v="Hot"/>
    <d v="2025-10-21T00:00:00"/>
    <d v="2025-10-24T00:00:00"/>
    <d v="2025-10-29T00:00:00"/>
    <d v="2025-11-03T00:00:00"/>
    <s v="No"/>
    <s v="Nan"/>
    <d v="2025-11-21T00:00:00"/>
    <n v="3"/>
    <x v="1"/>
    <n v="5"/>
    <n v="7"/>
    <n v="13"/>
    <s v="Normal"/>
    <s v="Passive"/>
    <m/>
  </r>
  <r>
    <s v="L1422"/>
    <x v="3"/>
    <s v="Warm"/>
    <d v="2025-10-27T00:00:00"/>
    <d v="2025-10-31T00:00:00"/>
    <d v="2025-11-05T00:00:00"/>
    <d v="2025-11-08T00:00:00"/>
    <s v="No"/>
    <s v="Nan"/>
    <d v="2025-12-03T00:00:00"/>
    <n v="4"/>
    <x v="1"/>
    <n v="3"/>
    <n v="2"/>
    <n v="12"/>
    <s v="Normal"/>
    <s v="Detractor"/>
    <m/>
  </r>
  <r>
    <s v="L1423"/>
    <x v="3"/>
    <s v="Cold"/>
    <d v="2025-10-05T00:00:00"/>
    <m/>
    <m/>
    <m/>
    <s v="Yes"/>
    <s v="Price"/>
    <m/>
    <s v=""/>
    <x v="2"/>
    <s v=""/>
    <m/>
    <m/>
    <s v="Normal"/>
    <s v="Detractor"/>
    <m/>
  </r>
  <r>
    <s v="L1424"/>
    <x v="1"/>
    <s v="Warm"/>
    <d v="2025-10-16T00:00:00"/>
    <d v="2025-10-21T00:00:00"/>
    <d v="2025-10-24T00:00:00"/>
    <d v="2025-10-26T00:00:00"/>
    <s v="No"/>
    <s v="Nan"/>
    <d v="2025-11-08T00:00:00"/>
    <n v="5"/>
    <x v="3"/>
    <n v="2"/>
    <n v="3"/>
    <n v="10"/>
    <s v="Normal"/>
    <s v="Detractor"/>
    <m/>
  </r>
  <r>
    <s v="L1425"/>
    <x v="1"/>
    <s v="Hot"/>
    <d v="2025-10-30T00:00:00"/>
    <d v="2025-11-04T00:00:00"/>
    <d v="2025-11-06T00:00:00"/>
    <d v="2025-11-08T00:00:00"/>
    <s v="No"/>
    <s v="Nan"/>
    <d v="2025-11-25T00:00:00"/>
    <n v="5"/>
    <x v="5"/>
    <n v="2"/>
    <n v="3"/>
    <n v="9"/>
    <s v="Normal"/>
    <s v="Detractor"/>
    <m/>
  </r>
  <r>
    <s v="L1426"/>
    <x v="0"/>
    <s v="Warm"/>
    <d v="2025-10-23T00:00:00"/>
    <d v="2025-10-27T00:00:00"/>
    <d v="2025-10-30T00:00:00"/>
    <d v="2025-11-02T00:00:00"/>
    <s v="No"/>
    <s v="Nan"/>
    <d v="2025-11-16T00:00:00"/>
    <n v="4"/>
    <x v="3"/>
    <n v="3"/>
    <n v="6"/>
    <n v="10"/>
    <s v="Normal"/>
    <s v="Detractor"/>
    <m/>
  </r>
  <r>
    <s v="L1427"/>
    <x v="3"/>
    <s v="Warm"/>
    <d v="2025-10-10T00:00:00"/>
    <d v="2025-10-12T00:00:00"/>
    <d v="2025-10-14T00:00:00"/>
    <d v="2025-10-16T00:00:00"/>
    <s v="No"/>
    <s v="Nan"/>
    <d v="2025-11-04T00:00:00"/>
    <n v="2"/>
    <x v="5"/>
    <n v="2"/>
    <n v="7"/>
    <n v="6"/>
    <s v="Normal"/>
    <s v="Passive"/>
    <m/>
  </r>
  <r>
    <s v="L1428"/>
    <x v="2"/>
    <s v="Warm"/>
    <d v="2025-10-17T00:00:00"/>
    <d v="2025-10-19T00:00:00"/>
    <d v="2025-10-24T00:00:00"/>
    <d v="2025-10-30T00:00:00"/>
    <s v="No"/>
    <s v="Nan"/>
    <d v="2025-11-23T00:00:00"/>
    <n v="2"/>
    <x v="1"/>
    <n v="6"/>
    <n v="8"/>
    <n v="13"/>
    <s v="Normal"/>
    <s v="Passive"/>
    <m/>
  </r>
  <r>
    <s v="L1429"/>
    <x v="0"/>
    <s v="Hot"/>
    <d v="2025-10-23T00:00:00"/>
    <d v="2025-10-28T00:00:00"/>
    <d v="2025-10-30T00:00:00"/>
    <d v="2025-11-06T00:00:00"/>
    <s v="No"/>
    <s v="Nan"/>
    <d v="2025-11-26T00:00:00"/>
    <n v="5"/>
    <x v="5"/>
    <n v="7"/>
    <n v="6"/>
    <n v="14"/>
    <s v="Normal"/>
    <s v="Detractor"/>
    <m/>
  </r>
  <r>
    <s v="L1430"/>
    <x v="1"/>
    <s v="Hot"/>
    <d v="2025-10-09T00:00:00"/>
    <d v="2025-10-11T00:00:00"/>
    <d v="2025-10-15T00:00:00"/>
    <d v="2025-10-20T00:00:00"/>
    <s v="No"/>
    <s v="Nan"/>
    <d v="2025-11-07T00:00:00"/>
    <n v="2"/>
    <x v="0"/>
    <n v="5"/>
    <n v="10"/>
    <n v="11"/>
    <s v="Normal"/>
    <s v="Promoter"/>
    <m/>
  </r>
  <r>
    <s v="L1431"/>
    <x v="3"/>
    <s v="Hot"/>
    <d v="2025-10-14T00:00:00"/>
    <d v="2025-10-17T00:00:00"/>
    <d v="2025-10-20T00:00:00"/>
    <d v="2025-10-24T00:00:00"/>
    <s v="No"/>
    <s v="Nan"/>
    <d v="2025-11-16T00:00:00"/>
    <n v="3"/>
    <x v="3"/>
    <n v="4"/>
    <n v="4"/>
    <n v="10"/>
    <s v="Normal"/>
    <s v="Detractor"/>
    <m/>
  </r>
  <r>
    <s v="L1432"/>
    <x v="2"/>
    <s v="Cold"/>
    <d v="2025-10-27T00:00:00"/>
    <m/>
    <m/>
    <m/>
    <s v="Yes"/>
    <s v="Other"/>
    <m/>
    <s v=""/>
    <x v="2"/>
    <s v=""/>
    <m/>
    <m/>
    <s v="Normal"/>
    <s v="Detractor"/>
    <m/>
  </r>
  <r>
    <s v="L1433"/>
    <x v="2"/>
    <s v="Warm"/>
    <d v="2025-10-16T00:00:00"/>
    <d v="2025-10-17T00:00:00"/>
    <d v="2025-10-20T00:00:00"/>
    <d v="2025-10-25T00:00:00"/>
    <s v="No"/>
    <s v="Nan"/>
    <d v="2025-11-23T00:00:00"/>
    <n v="1"/>
    <x v="3"/>
    <n v="5"/>
    <n v="1"/>
    <n v="9"/>
    <s v="Normal"/>
    <s v="Detractor"/>
    <m/>
  </r>
  <r>
    <s v="L1434"/>
    <x v="0"/>
    <s v="Hot"/>
    <d v="2025-10-16T00:00:00"/>
    <d v="2025-10-20T00:00:00"/>
    <d v="2025-10-21T00:00:00"/>
    <d v="2025-10-25T00:00:00"/>
    <s v="No"/>
    <s v="Nan"/>
    <d v="2025-11-24T00:00:00"/>
    <n v="4"/>
    <x v="4"/>
    <n v="4"/>
    <n v="3"/>
    <n v="9"/>
    <s v="Normal"/>
    <s v="Detractor"/>
    <m/>
  </r>
  <r>
    <s v="L1435"/>
    <x v="3"/>
    <s v="Hot"/>
    <d v="2025-10-08T00:00:00"/>
    <d v="2025-10-11T00:00:00"/>
    <d v="2025-10-16T00:00:00"/>
    <d v="2025-10-19T00:00:00"/>
    <s v="No"/>
    <s v="Nan"/>
    <d v="2025-10-31T00:00:00"/>
    <n v="3"/>
    <x v="1"/>
    <n v="3"/>
    <n v="7"/>
    <n v="11"/>
    <s v="Normal"/>
    <s v="Passive"/>
    <m/>
  </r>
  <r>
    <s v="L1436"/>
    <x v="3"/>
    <s v="Warm"/>
    <d v="2025-10-15T00:00:00"/>
    <d v="2025-10-20T00:00:00"/>
    <d v="2025-10-25T00:00:00"/>
    <d v="2025-10-28T00:00:00"/>
    <s v="No"/>
    <s v="Nan"/>
    <d v="2025-11-13T00:00:00"/>
    <n v="5"/>
    <x v="1"/>
    <n v="3"/>
    <n v="3"/>
    <n v="13"/>
    <s v="Normal"/>
    <s v="Detractor"/>
    <m/>
  </r>
  <r>
    <s v="L1437"/>
    <x v="1"/>
    <s v="Hot"/>
    <d v="2025-10-18T00:00:00"/>
    <d v="2025-10-19T00:00:00"/>
    <d v="2025-10-21T00:00:00"/>
    <d v="2025-10-25T00:00:00"/>
    <s v="No"/>
    <s v="Nan"/>
    <d v="2025-11-18T00:00:00"/>
    <n v="1"/>
    <x v="5"/>
    <n v="4"/>
    <n v="8"/>
    <n v="7"/>
    <s v="High"/>
    <s v="Passive"/>
    <m/>
  </r>
  <r>
    <s v="L1438"/>
    <x v="3"/>
    <s v="Hot"/>
    <d v="2025-10-05T00:00:00"/>
    <d v="2025-10-10T00:00:00"/>
    <d v="2025-10-14T00:00:00"/>
    <d v="2025-10-21T00:00:00"/>
    <s v="No"/>
    <s v="Nan"/>
    <d v="2025-11-06T00:00:00"/>
    <n v="5"/>
    <x v="0"/>
    <n v="7"/>
    <n v="7"/>
    <n v="16"/>
    <s v="Normal"/>
    <s v="Passive"/>
    <m/>
  </r>
  <r>
    <s v="L1439"/>
    <x v="3"/>
    <s v="Cold"/>
    <d v="2025-10-13T00:00:00"/>
    <m/>
    <m/>
    <m/>
    <s v="Yes"/>
    <s v="Price"/>
    <m/>
    <s v=""/>
    <x v="2"/>
    <s v=""/>
    <m/>
    <m/>
    <s v="Normal"/>
    <s v="Detractor"/>
    <m/>
  </r>
  <r>
    <s v="L1440"/>
    <x v="0"/>
    <s v="Hot"/>
    <d v="2025-10-07T00:00:00"/>
    <d v="2025-10-08T00:00:00"/>
    <d v="2025-10-13T00:00:00"/>
    <d v="2025-10-15T00:00:00"/>
    <s v="No"/>
    <s v="Nan"/>
    <d v="2025-11-07T00:00:00"/>
    <n v="1"/>
    <x v="1"/>
    <n v="2"/>
    <n v="1"/>
    <n v="8"/>
    <s v="Normal"/>
    <s v="Detractor"/>
    <m/>
  </r>
  <r>
    <s v="L1441"/>
    <x v="3"/>
    <s v="Warm"/>
    <d v="2025-10-30T00:00:00"/>
    <d v="2025-11-02T00:00:00"/>
    <d v="2025-11-06T00:00:00"/>
    <d v="2025-11-09T00:00:00"/>
    <s v="No"/>
    <s v="Nan"/>
    <d v="2025-12-04T00:00:00"/>
    <n v="3"/>
    <x v="0"/>
    <n v="3"/>
    <n v="8"/>
    <n v="10"/>
    <s v="Normal"/>
    <s v="Passive"/>
    <m/>
  </r>
  <r>
    <s v="L1442"/>
    <x v="2"/>
    <s v="Cold"/>
    <d v="2025-10-20T00:00:00"/>
    <m/>
    <m/>
    <m/>
    <s v="Yes"/>
    <s v="Changed Mind"/>
    <m/>
    <s v=""/>
    <x v="2"/>
    <s v=""/>
    <m/>
    <m/>
    <s v="Normal"/>
    <s v="Detractor"/>
    <m/>
  </r>
  <r>
    <s v="L1443"/>
    <x v="0"/>
    <s v="Warm"/>
    <d v="2025-10-17T00:00:00"/>
    <d v="2025-10-18T00:00:00"/>
    <d v="2025-10-19T00:00:00"/>
    <d v="2025-10-25T00:00:00"/>
    <s v="No"/>
    <s v="Nan"/>
    <d v="2025-11-20T00:00:00"/>
    <n v="1"/>
    <x v="4"/>
    <n v="6"/>
    <n v="6"/>
    <n v="8"/>
    <s v="Normal"/>
    <s v="Detractor"/>
    <m/>
  </r>
  <r>
    <s v="L1444"/>
    <x v="0"/>
    <s v="Hot"/>
    <d v="2025-10-24T00:00:00"/>
    <d v="2025-10-26T00:00:00"/>
    <d v="2025-10-29T00:00:00"/>
    <d v="2025-11-04T00:00:00"/>
    <s v="Yes"/>
    <s v="Other"/>
    <m/>
    <n v="2"/>
    <x v="3"/>
    <n v="6"/>
    <m/>
    <n v="11"/>
    <s v="Normal"/>
    <s v="Detractor"/>
    <m/>
  </r>
  <r>
    <s v="L1445"/>
    <x v="1"/>
    <s v="Hot"/>
    <d v="2025-10-29T00:00:00"/>
    <d v="2025-11-01T00:00:00"/>
    <d v="2025-11-05T00:00:00"/>
    <d v="2025-11-11T00:00:00"/>
    <s v="No"/>
    <s v="Nan"/>
    <d v="2025-12-02T00:00:00"/>
    <n v="3"/>
    <x v="0"/>
    <n v="6"/>
    <n v="3"/>
    <n v="13"/>
    <s v="Normal"/>
    <s v="Detractor"/>
    <m/>
  </r>
  <r>
    <s v="L1446"/>
    <x v="3"/>
    <s v="Cold"/>
    <d v="2025-10-05T00:00:00"/>
    <m/>
    <m/>
    <m/>
    <s v="Yes"/>
    <s v="Price"/>
    <m/>
    <s v=""/>
    <x v="2"/>
    <s v=""/>
    <m/>
    <m/>
    <s v="Normal"/>
    <s v="Detractor"/>
    <m/>
  </r>
  <r>
    <s v="L1447"/>
    <x v="1"/>
    <s v="Cold"/>
    <d v="2025-10-28T00:00:00"/>
    <m/>
    <m/>
    <m/>
    <s v="Yes"/>
    <s v="Others"/>
    <m/>
    <s v=""/>
    <x v="2"/>
    <s v=""/>
    <m/>
    <m/>
    <s v="Normal"/>
    <s v="Detractor"/>
    <m/>
  </r>
  <r>
    <s v="L1448"/>
    <x v="2"/>
    <s v="Warm"/>
    <d v="2025-10-03T00:00:00"/>
    <d v="2025-10-07T00:00:00"/>
    <d v="2025-10-12T00:00:00"/>
    <d v="2025-10-19T00:00:00"/>
    <s v="No"/>
    <s v="Nan"/>
    <d v="2025-10-30T00:00:00"/>
    <n v="4"/>
    <x v="1"/>
    <n v="7"/>
    <n v="3"/>
    <n v="16"/>
    <s v="Normal"/>
    <s v="Detractor"/>
    <m/>
  </r>
  <r>
    <s v="L1449"/>
    <x v="0"/>
    <s v="Hot"/>
    <d v="2025-10-09T00:00:00"/>
    <d v="2025-10-14T00:00:00"/>
    <d v="2025-10-17T00:00:00"/>
    <d v="2025-10-23T00:00:00"/>
    <s v="No"/>
    <s v="Nan"/>
    <d v="2025-11-18T00:00:00"/>
    <n v="5"/>
    <x v="3"/>
    <n v="6"/>
    <n v="3"/>
    <n v="14"/>
    <s v="Normal"/>
    <s v="Detractor"/>
    <m/>
  </r>
  <r>
    <s v="L1450"/>
    <x v="0"/>
    <s v="Warm"/>
    <d v="2025-10-25T00:00:00"/>
    <d v="2025-10-27T00:00:00"/>
    <d v="2025-10-31T00:00:00"/>
    <d v="2025-11-04T00:00:00"/>
    <s v="No"/>
    <s v="Nan"/>
    <d v="2025-11-19T00:00:00"/>
    <n v="2"/>
    <x v="0"/>
    <n v="4"/>
    <n v="0"/>
    <n v="10"/>
    <s v="Normal"/>
    <s v="Detractor"/>
    <m/>
  </r>
  <r>
    <s v="L1451"/>
    <x v="0"/>
    <s v="Cold"/>
    <d v="2025-10-26T00:00:00"/>
    <m/>
    <m/>
    <m/>
    <s v="Yes"/>
    <s v="Other"/>
    <m/>
    <s v=""/>
    <x v="2"/>
    <s v=""/>
    <m/>
    <m/>
    <s v="Normal"/>
    <s v="Detractor"/>
    <m/>
  </r>
  <r>
    <s v="L1452"/>
    <x v="2"/>
    <s v="Warm"/>
    <d v="2025-10-28T00:00:00"/>
    <d v="2025-11-01T00:00:00"/>
    <d v="2025-11-05T00:00:00"/>
    <d v="2025-11-12T00:00:00"/>
    <s v="No"/>
    <s v="Nan"/>
    <d v="2025-11-24T00:00:00"/>
    <n v="4"/>
    <x v="0"/>
    <n v="7"/>
    <n v="4"/>
    <n v="15"/>
    <s v="Normal"/>
    <s v="Detractor"/>
    <m/>
  </r>
  <r>
    <s v="L1453"/>
    <x v="2"/>
    <s v="Cold"/>
    <d v="2025-10-14T00:00:00"/>
    <m/>
    <m/>
    <m/>
    <s v="Yes"/>
    <s v="Other"/>
    <m/>
    <s v=""/>
    <x v="2"/>
    <s v=""/>
    <m/>
    <m/>
    <s v="Normal"/>
    <s v="Detractor"/>
    <m/>
  </r>
  <r>
    <s v="L1454"/>
    <x v="1"/>
    <s v="Cold"/>
    <d v="2025-10-11T00:00:00"/>
    <m/>
    <m/>
    <m/>
    <s v="Yes"/>
    <s v="Changed Mind"/>
    <m/>
    <s v=""/>
    <x v="2"/>
    <s v=""/>
    <m/>
    <m/>
    <s v="Normal"/>
    <s v="Detractor"/>
    <m/>
  </r>
  <r>
    <s v="L1455"/>
    <x v="1"/>
    <s v="Warm"/>
    <d v="2025-10-30T00:00:00"/>
    <d v="2025-10-31T00:00:00"/>
    <d v="2025-11-02T00:00:00"/>
    <d v="2025-11-04T00:00:00"/>
    <s v="No"/>
    <s v="Nan"/>
    <d v="2025-11-23T00:00:00"/>
    <n v="1"/>
    <x v="5"/>
    <n v="2"/>
    <n v="9"/>
    <n v="5"/>
    <s v="Normal"/>
    <s v="Promoter"/>
    <m/>
  </r>
  <r>
    <s v="L1456"/>
    <x v="1"/>
    <s v="Warm"/>
    <d v="2025-10-26T00:00:00"/>
    <d v="2025-10-28T00:00:00"/>
    <d v="2025-10-31T00:00:00"/>
    <d v="2025-11-07T00:00:00"/>
    <s v="Yes"/>
    <s v="Financing Issue"/>
    <m/>
    <n v="2"/>
    <x v="3"/>
    <n v="7"/>
    <m/>
    <n v="12"/>
    <s v="Normal"/>
    <s v="Detractor"/>
    <m/>
  </r>
  <r>
    <s v="L1457"/>
    <x v="3"/>
    <s v="Warm"/>
    <d v="2025-10-17T00:00:00"/>
    <d v="2025-10-21T00:00:00"/>
    <d v="2025-10-25T00:00:00"/>
    <d v="2025-10-29T00:00:00"/>
    <s v="No"/>
    <s v="Nan"/>
    <d v="2025-11-24T00:00:00"/>
    <n v="4"/>
    <x v="0"/>
    <n v="4"/>
    <n v="5"/>
    <n v="12"/>
    <s v="Normal"/>
    <s v="Detractor"/>
    <m/>
  </r>
  <r>
    <s v="L1458"/>
    <x v="0"/>
    <s v="Hot"/>
    <d v="2025-10-09T00:00:00"/>
    <d v="2025-10-12T00:00:00"/>
    <d v="2025-10-14T00:00:00"/>
    <d v="2025-10-17T00:00:00"/>
    <s v="No"/>
    <s v="Nan"/>
    <d v="2025-11-08T00:00:00"/>
    <n v="3"/>
    <x v="5"/>
    <n v="3"/>
    <n v="5"/>
    <n v="8"/>
    <s v="Normal"/>
    <s v="Detractor"/>
    <m/>
  </r>
  <r>
    <s v="L1459"/>
    <x v="0"/>
    <s v="Warm"/>
    <d v="2025-10-27T00:00:00"/>
    <d v="2025-10-28T00:00:00"/>
    <d v="2025-11-02T00:00:00"/>
    <d v="2025-11-08T00:00:00"/>
    <s v="No"/>
    <s v="Nan"/>
    <d v="2025-11-22T00:00:00"/>
    <n v="1"/>
    <x v="1"/>
    <n v="6"/>
    <n v="1"/>
    <n v="12"/>
    <s v="Normal"/>
    <s v="Detractor"/>
    <m/>
  </r>
  <r>
    <s v="L1460"/>
    <x v="1"/>
    <s v="Warm"/>
    <d v="2025-10-01T00:00:00"/>
    <d v="2025-10-05T00:00:00"/>
    <d v="2025-10-09T00:00:00"/>
    <d v="2025-10-15T00:00:00"/>
    <s v="Yes"/>
    <s v="Financing Issue"/>
    <m/>
    <n v="4"/>
    <x v="0"/>
    <n v="6"/>
    <m/>
    <n v="14"/>
    <s v="Normal"/>
    <s v="Detractor"/>
    <m/>
  </r>
  <r>
    <s v="L1461"/>
    <x v="0"/>
    <s v="Cold"/>
    <d v="2025-10-10T00:00:00"/>
    <m/>
    <m/>
    <m/>
    <s v="Yes"/>
    <s v="Changed Mind"/>
    <m/>
    <s v=""/>
    <x v="2"/>
    <s v=""/>
    <m/>
    <m/>
    <s v="Normal"/>
    <s v="Detractor"/>
    <m/>
  </r>
  <r>
    <s v="L1462"/>
    <x v="1"/>
    <s v="Cold"/>
    <d v="2025-10-24T00:00:00"/>
    <m/>
    <m/>
    <m/>
    <s v="Yes"/>
    <s v="Changed Mind"/>
    <m/>
    <s v=""/>
    <x v="2"/>
    <s v=""/>
    <m/>
    <m/>
    <s v="Normal"/>
    <s v="Detractor"/>
    <m/>
  </r>
  <r>
    <s v="L1463"/>
    <x v="3"/>
    <s v="Warm"/>
    <d v="2025-10-10T00:00:00"/>
    <d v="2025-10-11T00:00:00"/>
    <d v="2025-10-13T00:00:00"/>
    <d v="2025-10-19T00:00:00"/>
    <s v="No"/>
    <s v="Nan"/>
    <d v="2025-11-14T00:00:00"/>
    <n v="1"/>
    <x v="5"/>
    <n v="6"/>
    <n v="1"/>
    <n v="9"/>
    <s v="Normal"/>
    <s v="Detractor"/>
    <m/>
  </r>
  <r>
    <s v="L1464"/>
    <x v="3"/>
    <s v="Hot"/>
    <d v="2025-10-27T00:00:00"/>
    <d v="2025-10-31T00:00:00"/>
    <d v="2025-11-02T00:00:00"/>
    <d v="2025-11-05T00:00:00"/>
    <s v="No"/>
    <s v="Nan"/>
    <d v="2025-12-03T00:00:00"/>
    <n v="4"/>
    <x v="5"/>
    <n v="3"/>
    <n v="4"/>
    <n v="9"/>
    <s v="Normal"/>
    <s v="Detractor"/>
    <m/>
  </r>
  <r>
    <s v="L1465"/>
    <x v="2"/>
    <s v="Hot"/>
    <d v="2025-10-19T00:00:00"/>
    <d v="2025-10-24T00:00:00"/>
    <d v="2025-10-27T00:00:00"/>
    <d v="2025-11-03T00:00:00"/>
    <s v="No"/>
    <s v="Nan"/>
    <d v="2025-11-13T00:00:00"/>
    <n v="5"/>
    <x v="3"/>
    <n v="7"/>
    <n v="4"/>
    <n v="15"/>
    <s v="Normal"/>
    <s v="Detractor"/>
    <m/>
  </r>
  <r>
    <s v="L1466"/>
    <x v="3"/>
    <s v="Hot"/>
    <d v="2025-10-19T00:00:00"/>
    <d v="2025-10-22T00:00:00"/>
    <d v="2025-10-24T00:00:00"/>
    <d v="2025-10-29T00:00:00"/>
    <s v="No"/>
    <s v="Nan"/>
    <d v="2025-11-13T00:00:00"/>
    <n v="3"/>
    <x v="5"/>
    <n v="5"/>
    <n v="1"/>
    <n v="10"/>
    <s v="Normal"/>
    <s v="Detractor"/>
    <m/>
  </r>
  <r>
    <s v="L1467"/>
    <x v="1"/>
    <s v="Warm"/>
    <d v="2025-10-22T00:00:00"/>
    <d v="2025-10-24T00:00:00"/>
    <d v="2025-10-28T00:00:00"/>
    <d v="2025-11-01T00:00:00"/>
    <s v="No"/>
    <s v="Nan"/>
    <d v="2025-11-17T00:00:00"/>
    <n v="2"/>
    <x v="0"/>
    <n v="4"/>
    <n v="1"/>
    <n v="10"/>
    <s v="Normal"/>
    <s v="Detractor"/>
    <m/>
  </r>
  <r>
    <s v="L1468"/>
    <x v="3"/>
    <s v="Warm"/>
    <d v="2025-10-16T00:00:00"/>
    <d v="2025-10-20T00:00:00"/>
    <d v="2025-10-21T00:00:00"/>
    <d v="2025-10-28T00:00:00"/>
    <s v="No"/>
    <s v="Nan"/>
    <d v="2025-11-13T00:00:00"/>
    <n v="4"/>
    <x v="4"/>
    <n v="7"/>
    <n v="0"/>
    <n v="12"/>
    <s v="Normal"/>
    <s v="Detractor"/>
    <m/>
  </r>
  <r>
    <s v="L1469"/>
    <x v="2"/>
    <s v="Cold"/>
    <d v="2025-10-28T00:00:00"/>
    <m/>
    <m/>
    <m/>
    <s v="Yes"/>
    <s v="Changed Mind"/>
    <m/>
    <s v=""/>
    <x v="2"/>
    <s v=""/>
    <m/>
    <m/>
    <s v="Normal"/>
    <s v="Detractor"/>
    <m/>
  </r>
  <r>
    <s v="L1470"/>
    <x v="0"/>
    <s v="Warm"/>
    <d v="2025-10-05T00:00:00"/>
    <d v="2025-10-06T00:00:00"/>
    <d v="2025-10-11T00:00:00"/>
    <d v="2025-10-13T00:00:00"/>
    <s v="No"/>
    <s v="Nan"/>
    <d v="2025-10-24T00:00:00"/>
    <n v="1"/>
    <x v="1"/>
    <n v="2"/>
    <n v="7"/>
    <n v="8"/>
    <s v="Normal"/>
    <s v="Passive"/>
    <m/>
  </r>
  <r>
    <s v="L1471"/>
    <x v="1"/>
    <s v="Cold"/>
    <d v="2025-10-15T00:00:00"/>
    <m/>
    <m/>
    <m/>
    <s v="Yes"/>
    <s v="Financing Issue"/>
    <m/>
    <s v=""/>
    <x v="2"/>
    <s v=""/>
    <m/>
    <m/>
    <s v="Normal"/>
    <s v="Detractor"/>
    <m/>
  </r>
  <r>
    <s v="L1472"/>
    <x v="0"/>
    <s v="Cold"/>
    <d v="2025-10-18T00:00:00"/>
    <m/>
    <m/>
    <m/>
    <s v="Yes"/>
    <s v="Changed Mind"/>
    <m/>
    <s v=""/>
    <x v="2"/>
    <s v=""/>
    <m/>
    <m/>
    <s v="Normal"/>
    <s v="Detractor"/>
    <m/>
  </r>
  <r>
    <s v="L1473"/>
    <x v="2"/>
    <s v="Warm"/>
    <d v="2025-10-16T00:00:00"/>
    <d v="2025-10-19T00:00:00"/>
    <d v="2025-10-23T00:00:00"/>
    <d v="2025-10-26T00:00:00"/>
    <s v="No"/>
    <s v="Nan"/>
    <d v="2025-11-12T00:00:00"/>
    <n v="3"/>
    <x v="0"/>
    <n v="3"/>
    <n v="8"/>
    <n v="10"/>
    <s v="Normal"/>
    <s v="Passive"/>
    <m/>
  </r>
  <r>
    <s v="L1474"/>
    <x v="2"/>
    <s v="Cold"/>
    <d v="2025-10-12T00:00:00"/>
    <m/>
    <m/>
    <m/>
    <s v="Yes"/>
    <s v="Price"/>
    <m/>
    <s v=""/>
    <x v="2"/>
    <s v=""/>
    <m/>
    <m/>
    <s v="Normal"/>
    <s v="Detractor"/>
    <m/>
  </r>
  <r>
    <s v="L1475"/>
    <x v="2"/>
    <s v="Warm"/>
    <d v="2025-10-11T00:00:00"/>
    <d v="2025-10-13T00:00:00"/>
    <d v="2025-10-17T00:00:00"/>
    <d v="2025-10-22T00:00:00"/>
    <s v="Yes"/>
    <s v="Other"/>
    <m/>
    <n v="2"/>
    <x v="0"/>
    <n v="5"/>
    <m/>
    <n v="11"/>
    <s v="Normal"/>
    <s v="Detractor"/>
    <m/>
  </r>
  <r>
    <s v="L1476"/>
    <x v="0"/>
    <s v="Hot"/>
    <d v="2025-10-18T00:00:00"/>
    <d v="2025-10-19T00:00:00"/>
    <d v="2025-10-24T00:00:00"/>
    <d v="2025-10-29T00:00:00"/>
    <s v="No"/>
    <s v="Nan"/>
    <d v="2025-11-09T00:00:00"/>
    <n v="1"/>
    <x v="1"/>
    <n v="5"/>
    <n v="2"/>
    <n v="11"/>
    <s v="Normal"/>
    <s v="Detractor"/>
    <m/>
  </r>
  <r>
    <s v="L1477"/>
    <x v="0"/>
    <s v="Warm"/>
    <d v="2025-10-25T00:00:00"/>
    <d v="2025-10-28T00:00:00"/>
    <d v="2025-11-02T00:00:00"/>
    <d v="2025-11-04T00:00:00"/>
    <s v="Yes"/>
    <s v="Other"/>
    <m/>
    <n v="3"/>
    <x v="1"/>
    <n v="2"/>
    <m/>
    <n v="10"/>
    <s v="Normal"/>
    <s v="Detractor"/>
    <m/>
  </r>
  <r>
    <s v="L1478"/>
    <x v="0"/>
    <s v="Warm"/>
    <d v="2025-10-18T00:00:00"/>
    <d v="2025-10-19T00:00:00"/>
    <d v="2025-10-21T00:00:00"/>
    <d v="2025-10-24T00:00:00"/>
    <s v="No"/>
    <s v="Nan"/>
    <d v="2025-11-17T00:00:00"/>
    <n v="1"/>
    <x v="5"/>
    <n v="3"/>
    <n v="7"/>
    <n v="6"/>
    <s v="Normal"/>
    <s v="Passive"/>
    <m/>
  </r>
  <r>
    <s v="L1479"/>
    <x v="0"/>
    <s v="Warm"/>
    <d v="2025-10-13T00:00:00"/>
    <d v="2025-10-16T00:00:00"/>
    <d v="2025-10-20T00:00:00"/>
    <d v="2025-10-25T00:00:00"/>
    <s v="Yes"/>
    <s v="Others"/>
    <m/>
    <n v="3"/>
    <x v="0"/>
    <n v="5"/>
    <m/>
    <n v="12"/>
    <s v="Normal"/>
    <s v="Detractor"/>
    <m/>
  </r>
  <r>
    <s v="L1480"/>
    <x v="2"/>
    <s v="Warm"/>
    <d v="2025-10-15T00:00:00"/>
    <d v="2025-10-17T00:00:00"/>
    <d v="2025-10-19T00:00:00"/>
    <d v="2025-10-26T00:00:00"/>
    <s v="No"/>
    <s v="Nan"/>
    <d v="2025-11-06T00:00:00"/>
    <n v="2"/>
    <x v="5"/>
    <n v="7"/>
    <n v="2"/>
    <n v="11"/>
    <s v="Normal"/>
    <s v="Detractor"/>
    <m/>
  </r>
  <r>
    <s v="L1481"/>
    <x v="2"/>
    <s v="Warm"/>
    <d v="2025-10-30T00:00:00"/>
    <d v="2025-11-01T00:00:00"/>
    <d v="2025-11-04T00:00:00"/>
    <d v="2025-11-10T00:00:00"/>
    <s v="No"/>
    <s v="Nan"/>
    <d v="2025-12-01T00:00:00"/>
    <n v="2"/>
    <x v="3"/>
    <n v="6"/>
    <n v="8"/>
    <n v="11"/>
    <s v="Normal"/>
    <s v="Passive"/>
    <m/>
  </r>
  <r>
    <s v="L1482"/>
    <x v="1"/>
    <s v="Warm"/>
    <d v="2025-10-11T00:00:00"/>
    <d v="2025-10-12T00:00:00"/>
    <d v="2025-10-14T00:00:00"/>
    <d v="2025-10-16T00:00:00"/>
    <s v="No"/>
    <s v="Nan"/>
    <d v="2025-11-01T00:00:00"/>
    <n v="1"/>
    <x v="5"/>
    <n v="2"/>
    <n v="5"/>
    <n v="5"/>
    <s v="Normal"/>
    <s v="Detractor"/>
    <m/>
  </r>
  <r>
    <s v="L1483"/>
    <x v="1"/>
    <s v="Warm"/>
    <d v="2025-10-28T00:00:00"/>
    <d v="2025-10-31T00:00:00"/>
    <d v="2025-11-03T00:00:00"/>
    <d v="2025-11-09T00:00:00"/>
    <s v="No"/>
    <s v="Nan"/>
    <d v="2025-11-27T00:00:00"/>
    <n v="3"/>
    <x v="3"/>
    <n v="6"/>
    <n v="5"/>
    <n v="12"/>
    <s v="Normal"/>
    <s v="Detractor"/>
    <m/>
  </r>
  <r>
    <s v="L1484"/>
    <x v="0"/>
    <s v="Warm"/>
    <d v="2025-10-07T00:00:00"/>
    <d v="2025-10-11T00:00:00"/>
    <d v="2025-10-12T00:00:00"/>
    <d v="2025-10-14T00:00:00"/>
    <s v="No"/>
    <s v="Nan"/>
    <d v="2025-11-04T00:00:00"/>
    <n v="4"/>
    <x v="4"/>
    <n v="2"/>
    <n v="6"/>
    <n v="7"/>
    <s v="Normal"/>
    <s v="Detractor"/>
    <m/>
  </r>
  <r>
    <s v="L1485"/>
    <x v="3"/>
    <s v="Warm"/>
    <d v="2025-10-23T00:00:00"/>
    <d v="2025-10-25T00:00:00"/>
    <d v="2025-10-29T00:00:00"/>
    <d v="2025-11-02T00:00:00"/>
    <s v="Yes"/>
    <s v="Others"/>
    <m/>
    <n v="2"/>
    <x v="0"/>
    <n v="4"/>
    <m/>
    <n v="10"/>
    <s v="Normal"/>
    <s v="Detractor"/>
    <m/>
  </r>
  <r>
    <s v="L1486"/>
    <x v="3"/>
    <s v="Warm"/>
    <d v="2025-10-08T00:00:00"/>
    <d v="2025-10-12T00:00:00"/>
    <d v="2025-10-15T00:00:00"/>
    <d v="2025-10-19T00:00:00"/>
    <s v="No"/>
    <s v="Nan"/>
    <d v="2025-11-12T00:00:00"/>
    <n v="4"/>
    <x v="3"/>
    <n v="4"/>
    <n v="9"/>
    <n v="11"/>
    <s v="Normal"/>
    <s v="Promoter"/>
    <m/>
  </r>
  <r>
    <s v="L1487"/>
    <x v="2"/>
    <s v="Hot"/>
    <d v="2025-10-19T00:00:00"/>
    <d v="2025-10-23T00:00:00"/>
    <d v="2025-10-24T00:00:00"/>
    <d v="2025-10-27T00:00:00"/>
    <s v="No"/>
    <s v="Nan"/>
    <d v="2025-11-22T00:00:00"/>
    <n v="4"/>
    <x v="4"/>
    <n v="3"/>
    <n v="4"/>
    <n v="8"/>
    <s v="Normal"/>
    <s v="Detractor"/>
    <m/>
  </r>
  <r>
    <s v="L1488"/>
    <x v="2"/>
    <s v="Warm"/>
    <d v="2025-10-13T00:00:00"/>
    <d v="2025-10-18T00:00:00"/>
    <d v="2025-10-23T00:00:00"/>
    <d v="2025-10-28T00:00:00"/>
    <s v="No"/>
    <s v="Nan"/>
    <d v="2025-11-19T00:00:00"/>
    <n v="5"/>
    <x v="1"/>
    <n v="5"/>
    <n v="5"/>
    <n v="15"/>
    <s v="Normal"/>
    <s v="Detractor"/>
    <m/>
  </r>
  <r>
    <s v="L1489"/>
    <x v="2"/>
    <s v="Hot"/>
    <d v="2025-10-08T00:00:00"/>
    <d v="2025-10-09T00:00:00"/>
    <d v="2025-10-11T00:00:00"/>
    <d v="2025-10-17T00:00:00"/>
    <s v="No"/>
    <s v="Nan"/>
    <d v="2025-11-16T00:00:00"/>
    <n v="1"/>
    <x v="5"/>
    <n v="6"/>
    <n v="2"/>
    <n v="9"/>
    <s v="Normal"/>
    <s v="Detractor"/>
    <m/>
  </r>
  <r>
    <s v="L1490"/>
    <x v="1"/>
    <s v="Warm"/>
    <d v="2025-10-28T00:00:00"/>
    <d v="2025-10-29T00:00:00"/>
    <d v="2025-10-30T00:00:00"/>
    <d v="2025-11-04T00:00:00"/>
    <s v="No"/>
    <s v="Nan"/>
    <d v="2025-11-17T00:00:00"/>
    <n v="1"/>
    <x v="4"/>
    <n v="5"/>
    <n v="9"/>
    <n v="7"/>
    <s v="Normal"/>
    <s v="Promoter"/>
    <m/>
  </r>
  <r>
    <s v="L1491"/>
    <x v="1"/>
    <s v="Warm"/>
    <d v="2025-10-25T00:00:00"/>
    <d v="2025-10-26T00:00:00"/>
    <d v="2025-10-29T00:00:00"/>
    <d v="2025-11-02T00:00:00"/>
    <s v="Yes"/>
    <s v="Other"/>
    <m/>
    <n v="1"/>
    <x v="3"/>
    <n v="4"/>
    <m/>
    <n v="8"/>
    <s v="Normal"/>
    <s v="Detractor"/>
    <m/>
  </r>
  <r>
    <s v="L1492"/>
    <x v="2"/>
    <s v="Warm"/>
    <d v="2025-10-14T00:00:00"/>
    <d v="2025-10-17T00:00:00"/>
    <d v="2025-10-21T00:00:00"/>
    <d v="2025-10-27T00:00:00"/>
    <s v="No"/>
    <s v="Nan"/>
    <d v="2025-11-06T00:00:00"/>
    <n v="3"/>
    <x v="0"/>
    <n v="6"/>
    <n v="3"/>
    <n v="13"/>
    <s v="Normal"/>
    <s v="Detractor"/>
    <m/>
  </r>
  <r>
    <s v="L1493"/>
    <x v="2"/>
    <s v="Warm"/>
    <d v="2025-10-02T00:00:00"/>
    <d v="2025-10-04T00:00:00"/>
    <d v="2025-10-09T00:00:00"/>
    <d v="2025-10-16T00:00:00"/>
    <s v="No"/>
    <s v="Nan"/>
    <d v="2025-11-02T00:00:00"/>
    <n v="2"/>
    <x v="1"/>
    <n v="7"/>
    <n v="1"/>
    <n v="14"/>
    <s v="Normal"/>
    <s v="Detractor"/>
    <m/>
  </r>
  <r>
    <s v="L1494"/>
    <x v="2"/>
    <s v="Cold"/>
    <d v="2025-10-11T00:00:00"/>
    <m/>
    <m/>
    <m/>
    <s v="Yes"/>
    <s v="Price"/>
    <m/>
    <s v=""/>
    <x v="2"/>
    <s v=""/>
    <m/>
    <m/>
    <s v="Normal"/>
    <s v="Detractor"/>
    <m/>
  </r>
  <r>
    <s v="L1495"/>
    <x v="3"/>
    <s v="Cold"/>
    <d v="2025-10-24T00:00:00"/>
    <m/>
    <m/>
    <m/>
    <s v="Yes"/>
    <s v="Financing Issue"/>
    <m/>
    <s v=""/>
    <x v="2"/>
    <s v=""/>
    <m/>
    <m/>
    <s v="Normal"/>
    <s v="Detractor"/>
    <m/>
  </r>
  <r>
    <s v="L1496"/>
    <x v="1"/>
    <s v="Cold"/>
    <d v="2025-10-16T00:00:00"/>
    <m/>
    <m/>
    <m/>
    <s v="Yes"/>
    <s v="Financing Issue"/>
    <m/>
    <s v=""/>
    <x v="2"/>
    <s v=""/>
    <m/>
    <m/>
    <s v="Normal"/>
    <s v="Detractor"/>
    <m/>
  </r>
  <r>
    <s v="L1497"/>
    <x v="3"/>
    <s v="Cold"/>
    <d v="2025-10-23T00:00:00"/>
    <m/>
    <m/>
    <m/>
    <s v="Yes"/>
    <s v="Price"/>
    <m/>
    <s v=""/>
    <x v="2"/>
    <s v=""/>
    <m/>
    <m/>
    <s v="Normal"/>
    <s v="Detractor"/>
    <m/>
  </r>
  <r>
    <s v="L1498"/>
    <x v="3"/>
    <s v="Hot"/>
    <d v="2025-10-30T00:00:00"/>
    <d v="2025-11-01T00:00:00"/>
    <d v="2025-11-06T00:00:00"/>
    <d v="2025-11-09T00:00:00"/>
    <s v="No"/>
    <s v="Nan"/>
    <d v="2025-11-30T00:00:00"/>
    <n v="2"/>
    <x v="1"/>
    <n v="3"/>
    <n v="8"/>
    <n v="10"/>
    <s v="Normal"/>
    <s v="Passive"/>
    <m/>
  </r>
  <r>
    <s v="L1499"/>
    <x v="2"/>
    <s v="Hot"/>
    <d v="2025-10-26T00:00:00"/>
    <d v="2025-10-31T00:00:00"/>
    <d v="2025-11-01T00:00:00"/>
    <d v="2025-11-06T00:00:00"/>
    <s v="No"/>
    <s v="Nan"/>
    <d v="2025-12-01T00:00:00"/>
    <n v="5"/>
    <x v="4"/>
    <n v="5"/>
    <n v="7"/>
    <n v="11"/>
    <s v="Normal"/>
    <s v="Passive"/>
    <m/>
  </r>
  <r>
    <s v="L1500"/>
    <x v="2"/>
    <s v="Warm"/>
    <d v="2025-10-13T00:00:00"/>
    <d v="2025-10-18T00:00:00"/>
    <d v="2025-10-19T00:00:00"/>
    <d v="2025-10-21T00:00:00"/>
    <s v="No"/>
    <s v="Nan"/>
    <d v="2025-11-19T00:00:00"/>
    <n v="5"/>
    <x v="4"/>
    <n v="2"/>
    <n v="9"/>
    <n v="8"/>
    <s v="Normal"/>
    <s v="Promoter"/>
    <m/>
  </r>
  <r>
    <s v="L1501"/>
    <x v="0"/>
    <s v="Hot"/>
    <d v="2025-10-13T00:00:00"/>
    <d v="2025-10-18T00:00:00"/>
    <d v="2025-10-20T00:00:00"/>
    <d v="2025-10-22T00:00:00"/>
    <s v="No"/>
    <s v="Nan"/>
    <d v="2025-11-15T00:00:00"/>
    <n v="5"/>
    <x v="5"/>
    <n v="2"/>
    <n v="4"/>
    <n v="9"/>
    <s v="Normal"/>
    <s v="Detractor"/>
    <m/>
  </r>
  <r>
    <s v="L1502"/>
    <x v="0"/>
    <s v="Warm"/>
    <d v="2025-10-22T00:00:00"/>
    <d v="2025-10-26T00:00:00"/>
    <d v="2025-10-31T00:00:00"/>
    <d v="2025-11-06T00:00:00"/>
    <s v="No"/>
    <s v="Nan"/>
    <d v="2025-11-21T00:00:00"/>
    <n v="4"/>
    <x v="1"/>
    <n v="6"/>
    <n v="5"/>
    <n v="15"/>
    <s v="Normal"/>
    <s v="Detractor"/>
    <m/>
  </r>
  <r>
    <s v="L1503"/>
    <x v="3"/>
    <s v="Warm"/>
    <d v="2025-10-26T00:00:00"/>
    <d v="2025-10-27T00:00:00"/>
    <d v="2025-11-01T00:00:00"/>
    <d v="2025-11-03T00:00:00"/>
    <s v="No"/>
    <s v="Nan"/>
    <d v="2025-11-28T00:00:00"/>
    <n v="1"/>
    <x v="1"/>
    <n v="2"/>
    <n v="10"/>
    <n v="8"/>
    <s v="Normal"/>
    <s v="Promoter"/>
    <m/>
  </r>
  <r>
    <s v="L1504"/>
    <x v="1"/>
    <s v="Warm"/>
    <d v="2025-10-27T00:00:00"/>
    <d v="2025-10-30T00:00:00"/>
    <d v="2025-11-01T00:00:00"/>
    <d v="2025-11-03T00:00:00"/>
    <s v="No"/>
    <s v="Nan"/>
    <d v="2025-12-01T00:00:00"/>
    <n v="3"/>
    <x v="5"/>
    <n v="2"/>
    <n v="1"/>
    <n v="7"/>
    <s v="Normal"/>
    <s v="Detractor"/>
    <m/>
  </r>
  <r>
    <s v="L1505"/>
    <x v="2"/>
    <s v="Warm"/>
    <d v="2025-10-21T00:00:00"/>
    <d v="2025-10-23T00:00:00"/>
    <d v="2025-10-27T00:00:00"/>
    <d v="2025-10-31T00:00:00"/>
    <s v="No"/>
    <s v="Nan"/>
    <d v="2025-11-27T00:00:00"/>
    <n v="2"/>
    <x v="0"/>
    <n v="4"/>
    <n v="10"/>
    <n v="10"/>
    <s v="Normal"/>
    <s v="Promoter"/>
    <m/>
  </r>
  <r>
    <s v="L1506"/>
    <x v="2"/>
    <s v="Warm"/>
    <d v="2025-10-05T00:00:00"/>
    <d v="2025-10-08T00:00:00"/>
    <d v="2025-10-10T00:00:00"/>
    <d v="2025-10-13T00:00:00"/>
    <s v="No"/>
    <s v="Nan"/>
    <d v="2025-11-03T00:00:00"/>
    <n v="3"/>
    <x v="5"/>
    <n v="3"/>
    <n v="5"/>
    <n v="8"/>
    <s v="Normal"/>
    <s v="Detractor"/>
    <m/>
  </r>
  <r>
    <s v="L1507"/>
    <x v="3"/>
    <s v="Warm"/>
    <d v="2025-10-16T00:00:00"/>
    <d v="2025-10-17T00:00:00"/>
    <d v="2025-10-20T00:00:00"/>
    <d v="2025-10-22T00:00:00"/>
    <s v="No"/>
    <s v="Nan"/>
    <d v="2025-11-12T00:00:00"/>
    <n v="1"/>
    <x v="3"/>
    <n v="2"/>
    <n v="5"/>
    <n v="6"/>
    <s v="Normal"/>
    <s v="Detractor"/>
    <m/>
  </r>
  <r>
    <s v="L1508"/>
    <x v="0"/>
    <s v="Cold"/>
    <d v="2025-10-31T00:00:00"/>
    <m/>
    <m/>
    <m/>
    <s v="Yes"/>
    <s v="Financing Issue"/>
    <m/>
    <s v=""/>
    <x v="2"/>
    <s v=""/>
    <m/>
    <m/>
    <s v="Normal"/>
    <s v="Detractor"/>
    <m/>
  </r>
  <r>
    <s v="L1509"/>
    <x v="1"/>
    <s v="Warm"/>
    <d v="2025-10-02T00:00:00"/>
    <d v="2025-10-03T00:00:00"/>
    <d v="2025-10-06T00:00:00"/>
    <d v="2025-10-08T00:00:00"/>
    <s v="No"/>
    <s v="Nan"/>
    <d v="2025-10-23T00:00:00"/>
    <n v="1"/>
    <x v="3"/>
    <n v="2"/>
    <n v="7"/>
    <n v="6"/>
    <s v="Normal"/>
    <s v="Passive"/>
    <m/>
  </r>
  <r>
    <s v="L1510"/>
    <x v="0"/>
    <s v="Cold"/>
    <d v="2025-10-05T00:00:00"/>
    <m/>
    <m/>
    <m/>
    <s v="Yes"/>
    <s v="Changed Mind"/>
    <m/>
    <s v=""/>
    <x v="2"/>
    <s v=""/>
    <m/>
    <m/>
    <s v="Normal"/>
    <s v="Detractor"/>
    <m/>
  </r>
  <r>
    <s v="L1511"/>
    <x v="0"/>
    <s v="Hot"/>
    <d v="2025-10-17T00:00:00"/>
    <d v="2025-10-19T00:00:00"/>
    <d v="2025-10-20T00:00:00"/>
    <d v="2025-10-25T00:00:00"/>
    <s v="No"/>
    <s v="Nan"/>
    <d v="2025-11-12T00:00:00"/>
    <n v="2"/>
    <x v="4"/>
    <n v="5"/>
    <n v="7"/>
    <n v="8"/>
    <s v="Normal"/>
    <s v="Passive"/>
    <m/>
  </r>
  <r>
    <s v="L1512"/>
    <x v="0"/>
    <s v="Cold"/>
    <d v="2025-10-31T00:00:00"/>
    <m/>
    <m/>
    <m/>
    <s v="Yes"/>
    <s v="Other"/>
    <m/>
    <s v=""/>
    <x v="2"/>
    <s v=""/>
    <m/>
    <m/>
    <s v="Normal"/>
    <s v="Detractor"/>
    <m/>
  </r>
  <r>
    <s v="L1513"/>
    <x v="0"/>
    <s v="Warm"/>
    <d v="2025-10-19T00:00:00"/>
    <d v="2025-10-23T00:00:00"/>
    <d v="2025-10-25T00:00:00"/>
    <d v="2025-10-31T00:00:00"/>
    <s v="No"/>
    <s v="Nan"/>
    <d v="2025-11-12T00:00:00"/>
    <n v="4"/>
    <x v="5"/>
    <n v="6"/>
    <n v="3"/>
    <n v="12"/>
    <s v="Normal"/>
    <s v="Detractor"/>
    <m/>
  </r>
  <r>
    <s v="L1514"/>
    <x v="2"/>
    <s v="Warm"/>
    <d v="2025-10-11T00:00:00"/>
    <d v="2025-10-16T00:00:00"/>
    <d v="2025-10-18T00:00:00"/>
    <d v="2025-10-22T00:00:00"/>
    <s v="No"/>
    <s v="Nan"/>
    <d v="2025-11-10T00:00:00"/>
    <n v="5"/>
    <x v="5"/>
    <n v="4"/>
    <n v="5"/>
    <n v="11"/>
    <s v="Normal"/>
    <s v="Detractor"/>
    <m/>
  </r>
  <r>
    <s v="L1515"/>
    <x v="2"/>
    <s v="Hot"/>
    <d v="2025-10-28T00:00:00"/>
    <d v="2025-11-01T00:00:00"/>
    <d v="2025-11-02T00:00:00"/>
    <d v="2025-11-09T00:00:00"/>
    <s v="Yes"/>
    <s v="Other"/>
    <m/>
    <n v="4"/>
    <x v="4"/>
    <n v="7"/>
    <m/>
    <n v="12"/>
    <s v="Normal"/>
    <s v="Detractor"/>
    <m/>
  </r>
  <r>
    <s v="L1516"/>
    <x v="0"/>
    <s v="Warm"/>
    <d v="2025-10-04T00:00:00"/>
    <d v="2025-10-05T00:00:00"/>
    <d v="2025-10-09T00:00:00"/>
    <d v="2025-10-16T00:00:00"/>
    <s v="No"/>
    <s v="Nan"/>
    <d v="2025-10-26T00:00:00"/>
    <n v="1"/>
    <x v="0"/>
    <n v="7"/>
    <n v="2"/>
    <n v="12"/>
    <s v="Normal"/>
    <s v="Detractor"/>
    <m/>
  </r>
  <r>
    <s v="L1517"/>
    <x v="1"/>
    <s v="Hot"/>
    <d v="2025-10-28T00:00:00"/>
    <d v="2025-10-29T00:00:00"/>
    <d v="2025-10-31T00:00:00"/>
    <d v="2025-11-06T00:00:00"/>
    <s v="No"/>
    <s v="Nan"/>
    <d v="2025-11-28T00:00:00"/>
    <n v="1"/>
    <x v="5"/>
    <n v="6"/>
    <n v="1"/>
    <n v="9"/>
    <s v="Normal"/>
    <s v="Detractor"/>
    <m/>
  </r>
  <r>
    <s v="L1518"/>
    <x v="3"/>
    <s v="Hot"/>
    <d v="2025-10-28T00:00:00"/>
    <d v="2025-11-01T00:00:00"/>
    <d v="2025-11-06T00:00:00"/>
    <d v="2025-11-11T00:00:00"/>
    <s v="No"/>
    <s v="Nan"/>
    <d v="2025-11-22T00:00:00"/>
    <n v="4"/>
    <x v="1"/>
    <n v="5"/>
    <n v="10"/>
    <n v="14"/>
    <s v="Normal"/>
    <s v="Promoter"/>
    <m/>
  </r>
  <r>
    <s v="L1519"/>
    <x v="1"/>
    <s v="Warm"/>
    <d v="2025-10-15T00:00:00"/>
    <d v="2025-10-20T00:00:00"/>
    <d v="2025-10-22T00:00:00"/>
    <d v="2025-10-27T00:00:00"/>
    <s v="No"/>
    <s v="Nan"/>
    <d v="2025-11-11T00:00:00"/>
    <n v="5"/>
    <x v="5"/>
    <n v="5"/>
    <n v="6"/>
    <n v="12"/>
    <s v="Normal"/>
    <s v="Detractor"/>
    <m/>
  </r>
  <r>
    <s v="L1520"/>
    <x v="1"/>
    <s v="Warm"/>
    <d v="2025-10-04T00:00:00"/>
    <d v="2025-10-09T00:00:00"/>
    <d v="2025-10-13T00:00:00"/>
    <d v="2025-10-20T00:00:00"/>
    <s v="No"/>
    <s v="Nan"/>
    <d v="2025-11-17T00:00:00"/>
    <n v="5"/>
    <x v="0"/>
    <n v="7"/>
    <n v="7"/>
    <n v="16"/>
    <s v="Normal"/>
    <s v="Passive"/>
    <m/>
  </r>
  <r>
    <s v="L1521"/>
    <x v="1"/>
    <s v="Warm"/>
    <d v="2025-10-17T00:00:00"/>
    <d v="2025-10-18T00:00:00"/>
    <d v="2025-10-20T00:00:00"/>
    <d v="2025-10-25T00:00:00"/>
    <s v="No"/>
    <s v="Nan"/>
    <d v="2025-11-10T00:00:00"/>
    <n v="1"/>
    <x v="5"/>
    <n v="5"/>
    <n v="4"/>
    <n v="8"/>
    <s v="Normal"/>
    <s v="Detractor"/>
    <m/>
  </r>
  <r>
    <s v="L1522"/>
    <x v="0"/>
    <s v="Cold"/>
    <d v="2025-10-30T00:00:00"/>
    <m/>
    <m/>
    <m/>
    <s v="Yes"/>
    <s v="Price"/>
    <m/>
    <s v=""/>
    <x v="2"/>
    <s v=""/>
    <m/>
    <m/>
    <s v="Normal"/>
    <s v="Detractor"/>
    <m/>
  </r>
  <r>
    <s v="L1523"/>
    <x v="2"/>
    <s v="Warm"/>
    <d v="2025-10-15T00:00:00"/>
    <d v="2025-10-20T00:00:00"/>
    <d v="2025-10-25T00:00:00"/>
    <d v="2025-10-27T00:00:00"/>
    <s v="No"/>
    <s v="Nan"/>
    <d v="2025-11-13T00:00:00"/>
    <n v="5"/>
    <x v="1"/>
    <n v="2"/>
    <n v="4"/>
    <n v="12"/>
    <s v="Normal"/>
    <s v="Detractor"/>
    <m/>
  </r>
  <r>
    <s v="L1524"/>
    <x v="1"/>
    <s v="Warm"/>
    <d v="2025-10-01T00:00:00"/>
    <d v="2025-10-06T00:00:00"/>
    <d v="2025-10-09T00:00:00"/>
    <d v="2025-10-16T00:00:00"/>
    <s v="No"/>
    <s v="Nan"/>
    <d v="2025-11-15T00:00:00"/>
    <n v="5"/>
    <x v="3"/>
    <n v="7"/>
    <n v="8"/>
    <n v="15"/>
    <s v="Normal"/>
    <s v="Passive"/>
    <m/>
  </r>
  <r>
    <s v="L1525"/>
    <x v="0"/>
    <s v="Hot"/>
    <d v="2025-10-24T00:00:00"/>
    <d v="2025-10-26T00:00:00"/>
    <d v="2025-10-29T00:00:00"/>
    <d v="2025-11-04T00:00:00"/>
    <s v="No"/>
    <s v="Nan"/>
    <d v="2025-11-21T00:00:00"/>
    <n v="2"/>
    <x v="3"/>
    <n v="6"/>
    <n v="8"/>
    <n v="11"/>
    <s v="Normal"/>
    <s v="Passive"/>
    <m/>
  </r>
  <r>
    <s v="L1526"/>
    <x v="1"/>
    <s v="Warm"/>
    <d v="2025-10-05T00:00:00"/>
    <d v="2025-10-07T00:00:00"/>
    <d v="2025-10-11T00:00:00"/>
    <d v="2025-10-17T00:00:00"/>
    <s v="No"/>
    <s v="Nan"/>
    <d v="2025-11-02T00:00:00"/>
    <n v="2"/>
    <x v="0"/>
    <n v="6"/>
    <n v="6"/>
    <n v="12"/>
    <s v="Normal"/>
    <s v="Detractor"/>
    <m/>
  </r>
  <r>
    <s v="L1527"/>
    <x v="1"/>
    <s v="Warm"/>
    <d v="2025-10-14T00:00:00"/>
    <d v="2025-10-17T00:00:00"/>
    <d v="2025-10-21T00:00:00"/>
    <d v="2025-10-27T00:00:00"/>
    <s v="No"/>
    <s v="Nan"/>
    <d v="2025-11-14T00:00:00"/>
    <n v="3"/>
    <x v="0"/>
    <n v="6"/>
    <n v="4"/>
    <n v="13"/>
    <s v="Normal"/>
    <s v="Detractor"/>
    <m/>
  </r>
  <r>
    <s v="L1528"/>
    <x v="0"/>
    <s v="Cold"/>
    <d v="2025-10-28T00:00:00"/>
    <m/>
    <m/>
    <m/>
    <s v="Yes"/>
    <s v="Financing Issue"/>
    <m/>
    <s v=""/>
    <x v="2"/>
    <s v=""/>
    <m/>
    <m/>
    <s v="Normal"/>
    <s v="Detractor"/>
    <m/>
  </r>
  <r>
    <s v="L1529"/>
    <x v="2"/>
    <s v="Cold"/>
    <d v="2025-10-21T00:00:00"/>
    <m/>
    <m/>
    <m/>
    <s v="Yes"/>
    <s v="Others"/>
    <m/>
    <s v=""/>
    <x v="2"/>
    <s v=""/>
    <m/>
    <m/>
    <s v="Normal"/>
    <s v="Detractor"/>
    <m/>
  </r>
  <r>
    <s v="L1530"/>
    <x v="2"/>
    <s v="Warm"/>
    <d v="2025-10-05T00:00:00"/>
    <d v="2025-10-09T00:00:00"/>
    <d v="2025-10-14T00:00:00"/>
    <d v="2025-10-17T00:00:00"/>
    <s v="No"/>
    <s v="Nan"/>
    <d v="2025-11-16T00:00:00"/>
    <n v="4"/>
    <x v="1"/>
    <n v="3"/>
    <n v="2"/>
    <n v="12"/>
    <s v="Normal"/>
    <s v="Detractor"/>
    <m/>
  </r>
  <r>
    <s v="L1531"/>
    <x v="3"/>
    <s v="Hot"/>
    <d v="2025-10-03T00:00:00"/>
    <d v="2025-10-04T00:00:00"/>
    <d v="2025-10-07T00:00:00"/>
    <d v="2025-10-11T00:00:00"/>
    <s v="No"/>
    <s v="Nan"/>
    <d v="2025-11-03T00:00:00"/>
    <n v="1"/>
    <x v="3"/>
    <n v="4"/>
    <n v="2"/>
    <n v="8"/>
    <s v="Normal"/>
    <s v="Detractor"/>
    <m/>
  </r>
  <r>
    <s v="L1532"/>
    <x v="0"/>
    <s v="Cold"/>
    <d v="2025-10-16T00:00:00"/>
    <m/>
    <m/>
    <m/>
    <s v="Yes"/>
    <s v="Others"/>
    <m/>
    <s v=""/>
    <x v="2"/>
    <s v=""/>
    <m/>
    <m/>
    <s v="Normal"/>
    <s v="Detractor"/>
    <m/>
  </r>
  <r>
    <s v="L1533"/>
    <x v="3"/>
    <s v="Warm"/>
    <d v="2025-10-26T00:00:00"/>
    <d v="2025-10-31T00:00:00"/>
    <d v="2025-11-03T00:00:00"/>
    <d v="2025-11-05T00:00:00"/>
    <s v="No"/>
    <s v="Nan"/>
    <d v="2025-12-01T00:00:00"/>
    <n v="5"/>
    <x v="3"/>
    <n v="2"/>
    <n v="1"/>
    <n v="10"/>
    <s v="Normal"/>
    <s v="Detractor"/>
    <m/>
  </r>
  <r>
    <s v="L1534"/>
    <x v="3"/>
    <s v="Hot"/>
    <d v="2025-10-09T00:00:00"/>
    <d v="2025-10-12T00:00:00"/>
    <d v="2025-10-15T00:00:00"/>
    <d v="2025-10-19T00:00:00"/>
    <s v="No"/>
    <s v="Nan"/>
    <d v="2025-10-29T00:00:00"/>
    <n v="3"/>
    <x v="3"/>
    <n v="4"/>
    <n v="0"/>
    <n v="10"/>
    <s v="Normal"/>
    <s v="Detractor"/>
    <m/>
  </r>
  <r>
    <s v="L1535"/>
    <x v="3"/>
    <s v="Hot"/>
    <d v="2025-10-11T00:00:00"/>
    <d v="2025-10-13T00:00:00"/>
    <d v="2025-10-16T00:00:00"/>
    <d v="2025-10-18T00:00:00"/>
    <s v="Yes"/>
    <s v="Financing Issue"/>
    <m/>
    <n v="2"/>
    <x v="3"/>
    <n v="2"/>
    <m/>
    <n v="7"/>
    <s v="Normal"/>
    <s v="Detractor"/>
    <m/>
  </r>
  <r>
    <s v="L1536"/>
    <x v="2"/>
    <s v="Warm"/>
    <d v="2025-10-20T00:00:00"/>
    <d v="2025-10-25T00:00:00"/>
    <d v="2025-10-30T00:00:00"/>
    <d v="2025-11-05T00:00:00"/>
    <s v="No"/>
    <s v="Nan"/>
    <d v="2025-11-15T00:00:00"/>
    <n v="5"/>
    <x v="1"/>
    <n v="6"/>
    <n v="0"/>
    <n v="16"/>
    <s v="Normal"/>
    <s v="Detractor"/>
    <m/>
  </r>
  <r>
    <s v="L1537"/>
    <x v="0"/>
    <s v="Hot"/>
    <d v="2025-10-23T00:00:00"/>
    <d v="2025-10-27T00:00:00"/>
    <d v="2025-10-31T00:00:00"/>
    <d v="2025-11-03T00:00:00"/>
    <s v="No"/>
    <s v="Nan"/>
    <d v="2025-11-28T00:00:00"/>
    <n v="4"/>
    <x v="0"/>
    <n v="3"/>
    <n v="3"/>
    <n v="11"/>
    <s v="Normal"/>
    <s v="Detractor"/>
    <m/>
  </r>
  <r>
    <s v="L1538"/>
    <x v="3"/>
    <s v="Cold"/>
    <d v="2025-10-13T00:00:00"/>
    <m/>
    <m/>
    <m/>
    <s v="Yes"/>
    <s v="Others"/>
    <m/>
    <s v=""/>
    <x v="2"/>
    <s v=""/>
    <m/>
    <m/>
    <s v="Normal"/>
    <s v="Detractor"/>
    <m/>
  </r>
  <r>
    <s v="L1539"/>
    <x v="0"/>
    <s v="Warm"/>
    <d v="2025-10-21T00:00:00"/>
    <d v="2025-10-23T00:00:00"/>
    <d v="2025-10-27T00:00:00"/>
    <d v="2025-10-30T00:00:00"/>
    <s v="Yes"/>
    <s v="Price"/>
    <m/>
    <n v="2"/>
    <x v="0"/>
    <n v="3"/>
    <m/>
    <n v="9"/>
    <s v="Normal"/>
    <s v="Detractor"/>
    <m/>
  </r>
  <r>
    <s v="L1540"/>
    <x v="0"/>
    <s v="Hot"/>
    <d v="2025-10-03T00:00:00"/>
    <d v="2025-10-04T00:00:00"/>
    <d v="2025-10-05T00:00:00"/>
    <d v="2025-10-11T00:00:00"/>
    <s v="No"/>
    <s v="Nan"/>
    <d v="2025-10-25T00:00:00"/>
    <n v="1"/>
    <x v="4"/>
    <n v="6"/>
    <n v="9"/>
    <n v="8"/>
    <s v="Normal"/>
    <s v="Promoter"/>
    <m/>
  </r>
  <r>
    <s v="L1541"/>
    <x v="2"/>
    <s v="Cold"/>
    <d v="2025-10-28T00:00:00"/>
    <m/>
    <m/>
    <m/>
    <s v="Yes"/>
    <s v="Price"/>
    <m/>
    <s v=""/>
    <x v="2"/>
    <s v=""/>
    <m/>
    <m/>
    <s v="Normal"/>
    <s v="Detractor"/>
    <m/>
  </r>
  <r>
    <s v="L1542"/>
    <x v="3"/>
    <s v="Warm"/>
    <d v="2025-10-11T00:00:00"/>
    <d v="2025-10-16T00:00:00"/>
    <d v="2025-10-20T00:00:00"/>
    <d v="2025-10-24T00:00:00"/>
    <s v="No"/>
    <s v="Nan"/>
    <d v="2025-11-23T00:00:00"/>
    <n v="5"/>
    <x v="0"/>
    <n v="4"/>
    <n v="9"/>
    <n v="13"/>
    <s v="Normal"/>
    <s v="Promoter"/>
    <m/>
  </r>
  <r>
    <s v="L1543"/>
    <x v="3"/>
    <s v="Warm"/>
    <d v="2025-10-28T00:00:00"/>
    <d v="2025-10-31T00:00:00"/>
    <d v="2025-11-03T00:00:00"/>
    <d v="2025-11-08T00:00:00"/>
    <s v="No"/>
    <s v="Nan"/>
    <d v="2025-11-23T00:00:00"/>
    <n v="3"/>
    <x v="3"/>
    <n v="5"/>
    <n v="4"/>
    <n v="11"/>
    <s v="Normal"/>
    <s v="Detractor"/>
    <m/>
  </r>
  <r>
    <s v="L1544"/>
    <x v="0"/>
    <s v="Hot"/>
    <d v="2025-10-22T00:00:00"/>
    <d v="2025-10-23T00:00:00"/>
    <d v="2025-10-25T00:00:00"/>
    <d v="2025-10-31T00:00:00"/>
    <s v="No"/>
    <s v="Nan"/>
    <d v="2025-11-29T00:00:00"/>
    <n v="1"/>
    <x v="5"/>
    <n v="6"/>
    <n v="1"/>
    <n v="9"/>
    <s v="Normal"/>
    <s v="Detractor"/>
    <m/>
  </r>
  <r>
    <s v="L1545"/>
    <x v="1"/>
    <s v="Hot"/>
    <d v="2025-10-28T00:00:00"/>
    <d v="2025-11-02T00:00:00"/>
    <d v="2025-11-05T00:00:00"/>
    <d v="2025-11-12T00:00:00"/>
    <s v="No"/>
    <s v="Nan"/>
    <d v="2025-11-22T00:00:00"/>
    <n v="5"/>
    <x v="3"/>
    <n v="7"/>
    <n v="6"/>
    <n v="15"/>
    <s v="Normal"/>
    <s v="Detractor"/>
    <m/>
  </r>
  <r>
    <s v="L1546"/>
    <x v="2"/>
    <s v="Warm"/>
    <d v="2025-10-18T00:00:00"/>
    <d v="2025-10-23T00:00:00"/>
    <d v="2025-10-26T00:00:00"/>
    <d v="2025-11-02T00:00:00"/>
    <s v="No"/>
    <s v="Nan"/>
    <d v="2025-11-19T00:00:00"/>
    <n v="5"/>
    <x v="3"/>
    <n v="7"/>
    <n v="3"/>
    <n v="15"/>
    <s v="Normal"/>
    <s v="Detractor"/>
    <m/>
  </r>
  <r>
    <s v="L1547"/>
    <x v="2"/>
    <s v="Warm"/>
    <d v="2025-10-13T00:00:00"/>
    <d v="2025-10-18T00:00:00"/>
    <d v="2025-10-22T00:00:00"/>
    <d v="2025-10-29T00:00:00"/>
    <s v="No"/>
    <s v="Nan"/>
    <d v="2025-11-16T00:00:00"/>
    <n v="5"/>
    <x v="0"/>
    <n v="7"/>
    <n v="4"/>
    <n v="16"/>
    <s v="Normal"/>
    <s v="Detractor"/>
    <m/>
  </r>
  <r>
    <s v="L1548"/>
    <x v="2"/>
    <s v="Warm"/>
    <d v="2025-10-31T00:00:00"/>
    <d v="2025-11-05T00:00:00"/>
    <d v="2025-11-06T00:00:00"/>
    <d v="2025-11-13T00:00:00"/>
    <s v="No"/>
    <s v="Nan"/>
    <d v="2025-12-12T00:00:00"/>
    <n v="5"/>
    <x v="4"/>
    <n v="7"/>
    <n v="6"/>
    <n v="13"/>
    <s v="Normal"/>
    <s v="Detractor"/>
    <m/>
  </r>
  <r>
    <s v="L1549"/>
    <x v="2"/>
    <s v="Warm"/>
    <d v="2025-10-11T00:00:00"/>
    <d v="2025-10-16T00:00:00"/>
    <d v="2025-10-21T00:00:00"/>
    <d v="2025-10-23T00:00:00"/>
    <s v="No"/>
    <s v="Nan"/>
    <d v="2025-11-11T00:00:00"/>
    <n v="5"/>
    <x v="1"/>
    <n v="2"/>
    <n v="5"/>
    <n v="12"/>
    <s v="Normal"/>
    <s v="Detractor"/>
    <m/>
  </r>
  <r>
    <s v="L1550"/>
    <x v="3"/>
    <s v="Warm"/>
    <d v="2025-10-21T00:00:00"/>
    <d v="2025-10-22T00:00:00"/>
    <d v="2025-10-24T00:00:00"/>
    <d v="2025-10-28T00:00:00"/>
    <s v="No"/>
    <s v="Nan"/>
    <d v="2025-11-27T00:00:00"/>
    <n v="1"/>
    <x v="5"/>
    <n v="4"/>
    <n v="3"/>
    <n v="7"/>
    <s v="Normal"/>
    <s v="Detractor"/>
    <m/>
  </r>
  <r>
    <s v="L1551"/>
    <x v="3"/>
    <s v="Hot"/>
    <d v="2025-10-23T00:00:00"/>
    <d v="2025-10-27T00:00:00"/>
    <d v="2025-10-29T00:00:00"/>
    <d v="2025-11-05T00:00:00"/>
    <s v="No"/>
    <s v="Nan"/>
    <d v="2025-11-23T00:00:00"/>
    <n v="4"/>
    <x v="5"/>
    <n v="7"/>
    <n v="3"/>
    <n v="13"/>
    <s v="Normal"/>
    <s v="Detractor"/>
    <m/>
  </r>
  <r>
    <s v="L1552"/>
    <x v="1"/>
    <s v="Warm"/>
    <d v="2025-10-29T00:00:00"/>
    <d v="2025-11-02T00:00:00"/>
    <d v="2025-11-03T00:00:00"/>
    <d v="2025-11-08T00:00:00"/>
    <s v="No"/>
    <s v="Nan"/>
    <d v="2025-12-01T00:00:00"/>
    <n v="4"/>
    <x v="4"/>
    <n v="5"/>
    <n v="9"/>
    <n v="10"/>
    <s v="Normal"/>
    <s v="Promoter"/>
    <m/>
  </r>
  <r>
    <s v="L1553"/>
    <x v="2"/>
    <s v="Cold"/>
    <d v="2025-10-25T00:00:00"/>
    <m/>
    <m/>
    <m/>
    <s v="Yes"/>
    <s v="Financing Issue"/>
    <m/>
    <s v=""/>
    <x v="2"/>
    <s v=""/>
    <m/>
    <m/>
    <s v="Normal"/>
    <s v="Detractor"/>
    <m/>
  </r>
  <r>
    <s v="L1554"/>
    <x v="2"/>
    <s v="Warm"/>
    <d v="2025-10-16T00:00:00"/>
    <d v="2025-10-17T00:00:00"/>
    <d v="2025-10-20T00:00:00"/>
    <d v="2025-10-27T00:00:00"/>
    <s v="No"/>
    <s v="Nan"/>
    <d v="2025-11-18T00:00:00"/>
    <n v="1"/>
    <x v="3"/>
    <n v="7"/>
    <n v="2"/>
    <n v="11"/>
    <s v="Normal"/>
    <s v="Detractor"/>
    <m/>
  </r>
  <r>
    <s v="L1555"/>
    <x v="0"/>
    <s v="Warm"/>
    <d v="2025-10-28T00:00:00"/>
    <d v="2025-11-01T00:00:00"/>
    <d v="2025-11-06T00:00:00"/>
    <d v="2025-11-09T00:00:00"/>
    <s v="No"/>
    <s v="Nan"/>
    <d v="2025-11-30T00:00:00"/>
    <n v="4"/>
    <x v="1"/>
    <n v="3"/>
    <n v="8"/>
    <n v="12"/>
    <s v="Normal"/>
    <s v="Passive"/>
    <m/>
  </r>
  <r>
    <s v="L1556"/>
    <x v="3"/>
    <s v="Hot"/>
    <d v="2025-10-18T00:00:00"/>
    <d v="2025-10-21T00:00:00"/>
    <d v="2025-10-26T00:00:00"/>
    <d v="2025-10-28T00:00:00"/>
    <s v="No"/>
    <s v="Nan"/>
    <d v="2025-11-21T00:00:00"/>
    <n v="3"/>
    <x v="1"/>
    <n v="2"/>
    <n v="1"/>
    <n v="10"/>
    <s v="Normal"/>
    <s v="Detractor"/>
    <m/>
  </r>
  <r>
    <s v="L1557"/>
    <x v="2"/>
    <s v="Warm"/>
    <d v="2025-10-02T00:00:00"/>
    <d v="2025-10-05T00:00:00"/>
    <d v="2025-10-10T00:00:00"/>
    <d v="2025-10-13T00:00:00"/>
    <s v="No"/>
    <s v="Nan"/>
    <d v="2025-10-31T00:00:00"/>
    <n v="3"/>
    <x v="1"/>
    <n v="3"/>
    <n v="2"/>
    <n v="11"/>
    <s v="Normal"/>
    <s v="Detractor"/>
    <m/>
  </r>
  <r>
    <s v="L1558"/>
    <x v="1"/>
    <s v="Warm"/>
    <d v="2025-10-20T00:00:00"/>
    <d v="2025-10-21T00:00:00"/>
    <d v="2025-10-25T00:00:00"/>
    <d v="2025-10-27T00:00:00"/>
    <s v="No"/>
    <s v="Nan"/>
    <d v="2025-11-12T00:00:00"/>
    <n v="1"/>
    <x v="0"/>
    <n v="2"/>
    <n v="6"/>
    <n v="7"/>
    <s v="Normal"/>
    <s v="Detractor"/>
    <m/>
  </r>
  <r>
    <s v="L1559"/>
    <x v="1"/>
    <s v="Cold"/>
    <d v="2025-10-03T00:00:00"/>
    <m/>
    <m/>
    <m/>
    <s v="Yes"/>
    <s v="Others"/>
    <m/>
    <s v=""/>
    <x v="2"/>
    <s v=""/>
    <m/>
    <m/>
    <s v="Normal"/>
    <s v="Detractor"/>
    <m/>
  </r>
  <r>
    <s v="L1560"/>
    <x v="3"/>
    <s v="Warm"/>
    <d v="2025-10-08T00:00:00"/>
    <d v="2025-10-11T00:00:00"/>
    <d v="2025-10-14T00:00:00"/>
    <d v="2025-10-19T00:00:00"/>
    <s v="No"/>
    <s v="Nan"/>
    <d v="2025-11-12T00:00:00"/>
    <n v="3"/>
    <x v="3"/>
    <n v="5"/>
    <n v="6"/>
    <n v="11"/>
    <s v="Normal"/>
    <s v="Detractor"/>
    <m/>
  </r>
  <r>
    <s v="L1561"/>
    <x v="1"/>
    <s v="Cold"/>
    <d v="2025-10-21T00:00:00"/>
    <m/>
    <m/>
    <m/>
    <s v="Yes"/>
    <s v="Price"/>
    <m/>
    <s v=""/>
    <x v="2"/>
    <s v=""/>
    <m/>
    <m/>
    <s v="Normal"/>
    <s v="Detractor"/>
    <m/>
  </r>
  <r>
    <s v="L1562"/>
    <x v="1"/>
    <s v="Warm"/>
    <d v="2025-10-22T00:00:00"/>
    <d v="2025-10-23T00:00:00"/>
    <d v="2025-10-25T00:00:00"/>
    <d v="2025-10-27T00:00:00"/>
    <s v="No"/>
    <s v="Nan"/>
    <d v="2025-11-15T00:00:00"/>
    <n v="1"/>
    <x v="5"/>
    <n v="2"/>
    <n v="1"/>
    <n v="5"/>
    <s v="Normal"/>
    <s v="Detractor"/>
    <m/>
  </r>
  <r>
    <s v="L1563"/>
    <x v="3"/>
    <s v="Hot"/>
    <d v="2025-10-30T00:00:00"/>
    <d v="2025-11-02T00:00:00"/>
    <d v="2025-11-04T00:00:00"/>
    <d v="2025-11-09T00:00:00"/>
    <s v="No"/>
    <s v="Nan"/>
    <d v="2025-12-05T00:00:00"/>
    <n v="3"/>
    <x v="5"/>
    <n v="5"/>
    <n v="3"/>
    <n v="10"/>
    <s v="Normal"/>
    <s v="Detractor"/>
    <m/>
  </r>
  <r>
    <s v="L1564"/>
    <x v="2"/>
    <s v="Warm"/>
    <d v="2025-10-10T00:00:00"/>
    <d v="2025-10-12T00:00:00"/>
    <d v="2025-10-15T00:00:00"/>
    <d v="2025-10-21T00:00:00"/>
    <s v="No"/>
    <s v="Nan"/>
    <d v="2025-11-19T00:00:00"/>
    <n v="2"/>
    <x v="3"/>
    <n v="6"/>
    <n v="4"/>
    <n v="11"/>
    <s v="Normal"/>
    <s v="Detractor"/>
    <m/>
  </r>
  <r>
    <s v="L1565"/>
    <x v="2"/>
    <s v="Hot"/>
    <d v="2025-10-08T00:00:00"/>
    <d v="2025-10-09T00:00:00"/>
    <d v="2025-10-11T00:00:00"/>
    <d v="2025-10-17T00:00:00"/>
    <s v="No"/>
    <s v="Nan"/>
    <d v="2025-11-08T00:00:00"/>
    <n v="1"/>
    <x v="5"/>
    <n v="6"/>
    <n v="5"/>
    <n v="9"/>
    <s v="Normal"/>
    <s v="Detractor"/>
    <m/>
  </r>
  <r>
    <s v="L1566"/>
    <x v="1"/>
    <s v="Hot"/>
    <d v="2025-10-24T00:00:00"/>
    <d v="2025-10-29T00:00:00"/>
    <d v="2025-11-02T00:00:00"/>
    <d v="2025-11-04T00:00:00"/>
    <s v="No"/>
    <s v="Nan"/>
    <d v="2025-12-02T00:00:00"/>
    <n v="5"/>
    <x v="0"/>
    <n v="2"/>
    <n v="3"/>
    <n v="11"/>
    <s v="Normal"/>
    <s v="Detractor"/>
    <m/>
  </r>
  <r>
    <s v="L1567"/>
    <x v="1"/>
    <s v="Cold"/>
    <d v="2025-10-03T00:00:00"/>
    <m/>
    <m/>
    <m/>
    <s v="Yes"/>
    <s v="Price"/>
    <m/>
    <s v=""/>
    <x v="2"/>
    <s v=""/>
    <m/>
    <m/>
    <s v="Normal"/>
    <s v="Detractor"/>
    <m/>
  </r>
  <r>
    <s v="L1568"/>
    <x v="2"/>
    <s v="Warm"/>
    <d v="2025-10-14T00:00:00"/>
    <d v="2025-10-17T00:00:00"/>
    <d v="2025-10-22T00:00:00"/>
    <d v="2025-10-26T00:00:00"/>
    <s v="No"/>
    <s v="Nan"/>
    <d v="2025-11-08T00:00:00"/>
    <n v="3"/>
    <x v="1"/>
    <n v="4"/>
    <n v="9"/>
    <n v="12"/>
    <s v="Normal"/>
    <s v="Promoter"/>
    <m/>
  </r>
  <r>
    <s v="L1569"/>
    <x v="3"/>
    <s v="Warm"/>
    <d v="2025-10-04T00:00:00"/>
    <d v="2025-10-06T00:00:00"/>
    <d v="2025-10-08T00:00:00"/>
    <d v="2025-10-15T00:00:00"/>
    <s v="No"/>
    <s v="Nan"/>
    <d v="2025-10-25T00:00:00"/>
    <n v="2"/>
    <x v="5"/>
    <n v="7"/>
    <n v="4"/>
    <n v="11"/>
    <s v="Normal"/>
    <s v="Detractor"/>
    <m/>
  </r>
  <r>
    <s v="L1570"/>
    <x v="1"/>
    <s v="Hot"/>
    <d v="2025-10-25T00:00:00"/>
    <d v="2025-10-26T00:00:00"/>
    <d v="2025-10-30T00:00:00"/>
    <d v="2025-11-06T00:00:00"/>
    <s v="No"/>
    <s v="Nan"/>
    <d v="2025-12-02T00:00:00"/>
    <n v="1"/>
    <x v="0"/>
    <n v="7"/>
    <n v="9"/>
    <n v="12"/>
    <s v="Normal"/>
    <s v="Promoter"/>
    <m/>
  </r>
  <r>
    <s v="L1571"/>
    <x v="0"/>
    <s v="Warm"/>
    <d v="2025-10-21T00:00:00"/>
    <d v="2025-10-24T00:00:00"/>
    <d v="2025-10-29T00:00:00"/>
    <d v="2025-11-05T00:00:00"/>
    <s v="No"/>
    <s v="Nan"/>
    <d v="2025-11-26T00:00:00"/>
    <n v="3"/>
    <x v="1"/>
    <n v="7"/>
    <n v="2"/>
    <n v="15"/>
    <s v="Normal"/>
    <s v="Detractor"/>
    <m/>
  </r>
  <r>
    <s v="L1572"/>
    <x v="3"/>
    <s v="Hot"/>
    <d v="2025-10-23T00:00:00"/>
    <d v="2025-10-28T00:00:00"/>
    <d v="2025-10-31T00:00:00"/>
    <d v="2025-11-07T00:00:00"/>
    <s v="No"/>
    <s v="Nan"/>
    <d v="2025-12-04T00:00:00"/>
    <n v="5"/>
    <x v="3"/>
    <n v="7"/>
    <n v="1"/>
    <n v="15"/>
    <s v="Normal"/>
    <s v="Detractor"/>
    <m/>
  </r>
  <r>
    <s v="L1573"/>
    <x v="1"/>
    <s v="Hot"/>
    <d v="2025-10-28T00:00:00"/>
    <d v="2025-10-31T00:00:00"/>
    <d v="2025-11-03T00:00:00"/>
    <d v="2025-11-06T00:00:00"/>
    <s v="No"/>
    <s v="Nan"/>
    <d v="2025-12-06T00:00:00"/>
    <n v="3"/>
    <x v="3"/>
    <n v="3"/>
    <n v="7"/>
    <n v="9"/>
    <s v="Normal"/>
    <s v="Passive"/>
    <m/>
  </r>
  <r>
    <s v="L1574"/>
    <x v="1"/>
    <s v="Warm"/>
    <d v="2025-10-04T00:00:00"/>
    <d v="2025-10-06T00:00:00"/>
    <d v="2025-10-10T00:00:00"/>
    <d v="2025-10-12T00:00:00"/>
    <s v="No"/>
    <s v="Nan"/>
    <d v="2025-11-10T00:00:00"/>
    <n v="2"/>
    <x v="0"/>
    <n v="2"/>
    <n v="0"/>
    <n v="8"/>
    <s v="Normal"/>
    <s v="Detractor"/>
    <m/>
  </r>
  <r>
    <s v="L1575"/>
    <x v="0"/>
    <s v="Hot"/>
    <d v="2025-10-15T00:00:00"/>
    <d v="2025-10-19T00:00:00"/>
    <d v="2025-10-23T00:00:00"/>
    <d v="2025-10-25T00:00:00"/>
    <s v="No"/>
    <s v="Nan"/>
    <d v="2025-11-23T00:00:00"/>
    <n v="4"/>
    <x v="0"/>
    <n v="2"/>
    <n v="10"/>
    <n v="10"/>
    <s v="Normal"/>
    <s v="Promoter"/>
    <m/>
  </r>
  <r>
    <s v="L1576"/>
    <x v="0"/>
    <s v="Warm"/>
    <d v="2025-10-06T00:00:00"/>
    <d v="2025-10-10T00:00:00"/>
    <d v="2025-10-14T00:00:00"/>
    <d v="2025-10-21T00:00:00"/>
    <s v="No"/>
    <s v="Nan"/>
    <d v="2025-11-09T00:00:00"/>
    <n v="4"/>
    <x v="0"/>
    <n v="7"/>
    <n v="7"/>
    <n v="15"/>
    <s v="Normal"/>
    <s v="Passive"/>
    <m/>
  </r>
  <r>
    <s v="L1577"/>
    <x v="2"/>
    <s v="Hot"/>
    <d v="2025-10-23T00:00:00"/>
    <d v="2025-10-25T00:00:00"/>
    <d v="2025-10-27T00:00:00"/>
    <d v="2025-10-30T00:00:00"/>
    <s v="No"/>
    <s v="Nan"/>
    <d v="2025-11-18T00:00:00"/>
    <n v="2"/>
    <x v="5"/>
    <n v="3"/>
    <n v="3"/>
    <n v="7"/>
    <s v="Normal"/>
    <s v="Detractor"/>
    <m/>
  </r>
  <r>
    <s v="L1578"/>
    <x v="3"/>
    <s v="Hot"/>
    <d v="2025-10-10T00:00:00"/>
    <d v="2025-10-12T00:00:00"/>
    <d v="2025-10-15T00:00:00"/>
    <d v="2025-10-22T00:00:00"/>
    <s v="No"/>
    <s v="Nan"/>
    <d v="2025-11-04T00:00:00"/>
    <n v="2"/>
    <x v="3"/>
    <n v="7"/>
    <n v="6"/>
    <n v="12"/>
    <s v="Normal"/>
    <s v="Detractor"/>
    <m/>
  </r>
  <r>
    <s v="L1579"/>
    <x v="3"/>
    <s v="Hot"/>
    <d v="2025-10-29T00:00:00"/>
    <d v="2025-10-30T00:00:00"/>
    <d v="2025-11-01T00:00:00"/>
    <d v="2025-11-03T00:00:00"/>
    <s v="No"/>
    <s v="Nan"/>
    <d v="2025-11-28T00:00:00"/>
    <n v="1"/>
    <x v="5"/>
    <n v="2"/>
    <n v="9"/>
    <n v="5"/>
    <s v="High"/>
    <s v="Promoter"/>
    <m/>
  </r>
  <r>
    <s v="L1580"/>
    <x v="2"/>
    <s v="Warm"/>
    <d v="2025-10-01T00:00:00"/>
    <d v="2025-10-05T00:00:00"/>
    <d v="2025-10-07T00:00:00"/>
    <d v="2025-10-10T00:00:00"/>
    <s v="No"/>
    <s v="Nan"/>
    <d v="2025-10-22T00:00:00"/>
    <n v="4"/>
    <x v="5"/>
    <n v="3"/>
    <n v="6"/>
    <n v="9"/>
    <s v="Normal"/>
    <s v="Detractor"/>
    <m/>
  </r>
  <r>
    <s v="L1581"/>
    <x v="3"/>
    <s v="Warm"/>
    <d v="2025-10-02T00:00:00"/>
    <d v="2025-10-03T00:00:00"/>
    <d v="2025-10-08T00:00:00"/>
    <d v="2025-10-13T00:00:00"/>
    <s v="No"/>
    <s v="Nan"/>
    <d v="2025-11-02T00:00:00"/>
    <n v="1"/>
    <x v="1"/>
    <n v="5"/>
    <n v="3"/>
    <n v="11"/>
    <s v="Normal"/>
    <s v="Detractor"/>
    <m/>
  </r>
  <r>
    <s v="L1582"/>
    <x v="3"/>
    <s v="Warm"/>
    <d v="2025-10-11T00:00:00"/>
    <d v="2025-10-14T00:00:00"/>
    <d v="2025-10-18T00:00:00"/>
    <d v="2025-10-22T00:00:00"/>
    <s v="No"/>
    <s v="Nan"/>
    <d v="2025-11-09T00:00:00"/>
    <n v="3"/>
    <x v="0"/>
    <n v="4"/>
    <n v="1"/>
    <n v="11"/>
    <s v="Normal"/>
    <s v="Detractor"/>
    <m/>
  </r>
  <r>
    <s v="L1583"/>
    <x v="3"/>
    <s v="Warm"/>
    <d v="2025-10-26T00:00:00"/>
    <d v="2025-10-28T00:00:00"/>
    <d v="2025-10-30T00:00:00"/>
    <d v="2025-11-05T00:00:00"/>
    <s v="No"/>
    <s v="Nan"/>
    <d v="2025-12-05T00:00:00"/>
    <n v="2"/>
    <x v="5"/>
    <n v="6"/>
    <n v="5"/>
    <n v="10"/>
    <s v="Normal"/>
    <s v="Detractor"/>
    <m/>
  </r>
  <r>
    <s v="L1584"/>
    <x v="3"/>
    <s v="Warm"/>
    <d v="2025-10-02T00:00:00"/>
    <d v="2025-10-03T00:00:00"/>
    <d v="2025-10-08T00:00:00"/>
    <d v="2025-10-14T00:00:00"/>
    <s v="Yes"/>
    <s v="Changed Mind"/>
    <m/>
    <n v="1"/>
    <x v="1"/>
    <n v="6"/>
    <m/>
    <n v="12"/>
    <s v="Normal"/>
    <s v="Detractor"/>
    <m/>
  </r>
  <r>
    <s v="L1585"/>
    <x v="3"/>
    <s v="Hot"/>
    <d v="2025-10-10T00:00:00"/>
    <d v="2025-10-12T00:00:00"/>
    <d v="2025-10-13T00:00:00"/>
    <d v="2025-10-20T00:00:00"/>
    <s v="No"/>
    <s v="Nan"/>
    <d v="2025-11-09T00:00:00"/>
    <n v="2"/>
    <x v="4"/>
    <n v="7"/>
    <n v="5"/>
    <n v="10"/>
    <s v="Normal"/>
    <s v="Detractor"/>
    <m/>
  </r>
  <r>
    <s v="L1586"/>
    <x v="0"/>
    <s v="Warm"/>
    <d v="2025-10-12T00:00:00"/>
    <d v="2025-10-13T00:00:00"/>
    <d v="2025-10-18T00:00:00"/>
    <d v="2025-10-22T00:00:00"/>
    <s v="No"/>
    <s v="Nan"/>
    <d v="2025-11-09T00:00:00"/>
    <n v="1"/>
    <x v="1"/>
    <n v="4"/>
    <n v="8"/>
    <n v="10"/>
    <s v="Normal"/>
    <s v="Passive"/>
    <m/>
  </r>
  <r>
    <s v="L1587"/>
    <x v="3"/>
    <s v="Cold"/>
    <d v="2025-10-12T00:00:00"/>
    <m/>
    <m/>
    <m/>
    <s v="Yes"/>
    <s v="Changed Mind"/>
    <m/>
    <s v=""/>
    <x v="2"/>
    <s v=""/>
    <m/>
    <m/>
    <s v="Normal"/>
    <s v="Detractor"/>
    <m/>
  </r>
  <r>
    <s v="L1588"/>
    <x v="0"/>
    <s v="Warm"/>
    <d v="2025-10-14T00:00:00"/>
    <d v="2025-10-17T00:00:00"/>
    <d v="2025-10-18T00:00:00"/>
    <d v="2025-10-21T00:00:00"/>
    <s v="Yes"/>
    <s v="Price"/>
    <m/>
    <n v="3"/>
    <x v="4"/>
    <n v="3"/>
    <m/>
    <n v="7"/>
    <s v="Normal"/>
    <s v="Detractor"/>
    <m/>
  </r>
  <r>
    <s v="L1589"/>
    <x v="3"/>
    <s v="Warm"/>
    <d v="2025-10-05T00:00:00"/>
    <d v="2025-10-08T00:00:00"/>
    <d v="2025-10-09T00:00:00"/>
    <d v="2025-10-13T00:00:00"/>
    <s v="No"/>
    <s v="Nan"/>
    <d v="2025-10-31T00:00:00"/>
    <n v="3"/>
    <x v="4"/>
    <n v="4"/>
    <n v="9"/>
    <n v="8"/>
    <s v="Normal"/>
    <s v="Promoter"/>
    <m/>
  </r>
  <r>
    <s v="L1590"/>
    <x v="2"/>
    <s v="Cold"/>
    <d v="2025-10-08T00:00:00"/>
    <m/>
    <m/>
    <m/>
    <s v="Yes"/>
    <s v="Financing Issue"/>
    <m/>
    <s v=""/>
    <x v="2"/>
    <s v=""/>
    <m/>
    <m/>
    <s v="Normal"/>
    <s v="Detractor"/>
    <m/>
  </r>
  <r>
    <s v="L1591"/>
    <x v="1"/>
    <s v="Warm"/>
    <d v="2025-10-17T00:00:00"/>
    <d v="2025-10-22T00:00:00"/>
    <d v="2025-10-23T00:00:00"/>
    <d v="2025-10-26T00:00:00"/>
    <s v="No"/>
    <s v="Nan"/>
    <d v="2025-11-25T00:00:00"/>
    <n v="5"/>
    <x v="4"/>
    <n v="3"/>
    <n v="0"/>
    <n v="9"/>
    <s v="Normal"/>
    <s v="Detractor"/>
    <m/>
  </r>
  <r>
    <s v="L1592"/>
    <x v="0"/>
    <s v="Hot"/>
    <d v="2025-10-14T00:00:00"/>
    <d v="2025-10-18T00:00:00"/>
    <d v="2025-10-19T00:00:00"/>
    <d v="2025-10-26T00:00:00"/>
    <s v="Yes"/>
    <s v="Other"/>
    <m/>
    <n v="4"/>
    <x v="4"/>
    <n v="7"/>
    <m/>
    <n v="12"/>
    <s v="Normal"/>
    <s v="Detractor"/>
    <m/>
  </r>
  <r>
    <s v="L1593"/>
    <x v="3"/>
    <s v="Warm"/>
    <d v="2025-10-19T00:00:00"/>
    <d v="2025-10-24T00:00:00"/>
    <d v="2025-10-28T00:00:00"/>
    <d v="2025-11-01T00:00:00"/>
    <s v="No"/>
    <s v="Nan"/>
    <d v="2025-12-01T00:00:00"/>
    <n v="5"/>
    <x v="0"/>
    <n v="4"/>
    <n v="7"/>
    <n v="13"/>
    <s v="Normal"/>
    <s v="Passive"/>
    <m/>
  </r>
  <r>
    <s v="L1594"/>
    <x v="2"/>
    <s v="Warm"/>
    <d v="2025-10-22T00:00:00"/>
    <d v="2025-10-26T00:00:00"/>
    <d v="2025-10-28T00:00:00"/>
    <d v="2025-11-04T00:00:00"/>
    <s v="No"/>
    <s v="Nan"/>
    <d v="2025-11-23T00:00:00"/>
    <n v="4"/>
    <x v="5"/>
    <n v="7"/>
    <n v="2"/>
    <n v="13"/>
    <s v="Normal"/>
    <s v="Detractor"/>
    <m/>
  </r>
  <r>
    <s v="L1595"/>
    <x v="1"/>
    <s v="Warm"/>
    <d v="2025-10-26T00:00:00"/>
    <d v="2025-10-29T00:00:00"/>
    <d v="2025-10-31T00:00:00"/>
    <d v="2025-11-02T00:00:00"/>
    <s v="No"/>
    <s v="Nan"/>
    <d v="2025-11-18T00:00:00"/>
    <n v="3"/>
    <x v="5"/>
    <n v="2"/>
    <n v="8"/>
    <n v="7"/>
    <s v="Normal"/>
    <s v="Passive"/>
    <m/>
  </r>
  <r>
    <s v="L1596"/>
    <x v="0"/>
    <s v="Warm"/>
    <d v="2025-10-06T00:00:00"/>
    <d v="2025-10-07T00:00:00"/>
    <d v="2025-10-08T00:00:00"/>
    <d v="2025-10-10T00:00:00"/>
    <s v="Yes"/>
    <s v="Other"/>
    <m/>
    <n v="1"/>
    <x v="4"/>
    <n v="2"/>
    <m/>
    <n v="4"/>
    <s v="Normal"/>
    <s v="Detractor"/>
    <m/>
  </r>
  <r>
    <s v="L1597"/>
    <x v="1"/>
    <s v="Warm"/>
    <d v="2025-10-06T00:00:00"/>
    <d v="2025-10-08T00:00:00"/>
    <d v="2025-10-10T00:00:00"/>
    <d v="2025-10-14T00:00:00"/>
    <s v="No"/>
    <s v="Nan"/>
    <d v="2025-10-28T00:00:00"/>
    <n v="2"/>
    <x v="5"/>
    <n v="4"/>
    <n v="3"/>
    <n v="8"/>
    <s v="Normal"/>
    <s v="Detractor"/>
    <m/>
  </r>
  <r>
    <s v="L1598"/>
    <x v="2"/>
    <s v="Warm"/>
    <d v="2025-10-06T00:00:00"/>
    <d v="2025-10-09T00:00:00"/>
    <d v="2025-10-10T00:00:00"/>
    <d v="2025-10-15T00:00:00"/>
    <s v="No"/>
    <s v="Nan"/>
    <d v="2025-11-10T00:00:00"/>
    <n v="3"/>
    <x v="4"/>
    <n v="5"/>
    <n v="1"/>
    <n v="9"/>
    <s v="Normal"/>
    <s v="Detractor"/>
    <m/>
  </r>
  <r>
    <s v="L1599"/>
    <x v="0"/>
    <s v="Warm"/>
    <d v="2025-10-03T00:00:00"/>
    <d v="2025-10-06T00:00:00"/>
    <d v="2025-10-08T00:00:00"/>
    <d v="2025-10-12T00:00:00"/>
    <s v="No"/>
    <s v="Nan"/>
    <d v="2025-10-29T00:00:00"/>
    <n v="3"/>
    <x v="5"/>
    <n v="4"/>
    <n v="4"/>
    <n v="9"/>
    <s v="Normal"/>
    <s v="Detractor"/>
    <m/>
  </r>
  <r>
    <s v="L1600"/>
    <x v="1"/>
    <s v="Cold"/>
    <d v="2025-10-20T00:00:00"/>
    <m/>
    <m/>
    <m/>
    <s v="Yes"/>
    <s v="Price"/>
    <m/>
    <s v=""/>
    <x v="2"/>
    <s v=""/>
    <m/>
    <m/>
    <s v="Normal"/>
    <s v="Detractor"/>
    <m/>
  </r>
  <r>
    <s v="L1601"/>
    <x v="3"/>
    <s v="Warm"/>
    <d v="2025-10-28T00:00:00"/>
    <d v="2025-10-29T00:00:00"/>
    <d v="2025-11-03T00:00:00"/>
    <d v="2025-11-09T00:00:00"/>
    <s v="No"/>
    <s v="Nan"/>
    <d v="2025-11-20T00:00:00"/>
    <n v="1"/>
    <x v="1"/>
    <n v="6"/>
    <n v="3"/>
    <n v="12"/>
    <s v="Normal"/>
    <s v="Detractor"/>
    <m/>
  </r>
  <r>
    <s v="L1602"/>
    <x v="0"/>
    <s v="Hot"/>
    <d v="2025-10-13T00:00:00"/>
    <d v="2025-10-16T00:00:00"/>
    <d v="2025-10-20T00:00:00"/>
    <d v="2025-10-22T00:00:00"/>
    <s v="No"/>
    <s v="Nan"/>
    <d v="2025-11-20T00:00:00"/>
    <n v="3"/>
    <x v="0"/>
    <n v="2"/>
    <n v="8"/>
    <n v="9"/>
    <s v="Normal"/>
    <s v="Passive"/>
    <m/>
  </r>
  <r>
    <s v="L1603"/>
    <x v="1"/>
    <s v="Warm"/>
    <d v="2025-10-20T00:00:00"/>
    <d v="2025-10-23T00:00:00"/>
    <d v="2025-10-26T00:00:00"/>
    <d v="2025-10-30T00:00:00"/>
    <s v="No"/>
    <s v="Nan"/>
    <d v="2025-11-21T00:00:00"/>
    <n v="3"/>
    <x v="3"/>
    <n v="4"/>
    <n v="6"/>
    <n v="10"/>
    <s v="Normal"/>
    <s v="Detractor"/>
    <m/>
  </r>
  <r>
    <s v="L1604"/>
    <x v="2"/>
    <s v="Hot"/>
    <d v="2025-10-22T00:00:00"/>
    <d v="2025-10-23T00:00:00"/>
    <d v="2025-10-24T00:00:00"/>
    <d v="2025-10-31T00:00:00"/>
    <s v="No"/>
    <s v="Nan"/>
    <d v="2025-11-20T00:00:00"/>
    <n v="1"/>
    <x v="4"/>
    <n v="7"/>
    <n v="9"/>
    <n v="9"/>
    <s v="Normal"/>
    <s v="Promoter"/>
    <m/>
  </r>
  <r>
    <s v="L1605"/>
    <x v="2"/>
    <s v="Warm"/>
    <d v="2025-10-08T00:00:00"/>
    <d v="2025-10-11T00:00:00"/>
    <d v="2025-10-16T00:00:00"/>
    <d v="2025-10-22T00:00:00"/>
    <s v="No"/>
    <s v="Nan"/>
    <d v="2025-11-05T00:00:00"/>
    <n v="3"/>
    <x v="1"/>
    <n v="6"/>
    <n v="3"/>
    <n v="14"/>
    <s v="Normal"/>
    <s v="Detractor"/>
    <m/>
  </r>
  <r>
    <s v="L1606"/>
    <x v="0"/>
    <s v="Warm"/>
    <d v="2025-10-16T00:00:00"/>
    <d v="2025-10-20T00:00:00"/>
    <d v="2025-10-25T00:00:00"/>
    <d v="2025-11-01T00:00:00"/>
    <s v="No"/>
    <s v="Nan"/>
    <d v="2025-11-11T00:00:00"/>
    <n v="4"/>
    <x v="1"/>
    <n v="7"/>
    <n v="2"/>
    <n v="16"/>
    <s v="Normal"/>
    <s v="Detractor"/>
    <m/>
  </r>
  <r>
    <s v="L1607"/>
    <x v="1"/>
    <s v="Hot"/>
    <d v="2025-10-30T00:00:00"/>
    <d v="2025-11-03T00:00:00"/>
    <d v="2025-11-07T00:00:00"/>
    <d v="2025-11-09T00:00:00"/>
    <s v="No"/>
    <s v="Nan"/>
    <d v="2025-12-09T00:00:00"/>
    <n v="4"/>
    <x v="0"/>
    <n v="2"/>
    <n v="4"/>
    <n v="10"/>
    <s v="Normal"/>
    <s v="Detractor"/>
    <m/>
  </r>
  <r>
    <s v="L1608"/>
    <x v="0"/>
    <s v="Warm"/>
    <d v="2025-10-19T00:00:00"/>
    <d v="2025-10-23T00:00:00"/>
    <d v="2025-10-27T00:00:00"/>
    <d v="2025-11-01T00:00:00"/>
    <s v="No"/>
    <s v="Nan"/>
    <d v="2025-11-26T00:00:00"/>
    <n v="4"/>
    <x v="0"/>
    <n v="5"/>
    <n v="0"/>
    <n v="13"/>
    <s v="Normal"/>
    <s v="Detractor"/>
    <m/>
  </r>
  <r>
    <s v="L1609"/>
    <x v="0"/>
    <s v="Hot"/>
    <d v="2025-10-05T00:00:00"/>
    <d v="2025-10-09T00:00:00"/>
    <d v="2025-10-10T00:00:00"/>
    <d v="2025-10-15T00:00:00"/>
    <s v="No"/>
    <s v="Nan"/>
    <d v="2025-11-03T00:00:00"/>
    <n v="4"/>
    <x v="4"/>
    <n v="5"/>
    <n v="1"/>
    <n v="10"/>
    <s v="Normal"/>
    <s v="Detractor"/>
    <m/>
  </r>
  <r>
    <s v="L1610"/>
    <x v="1"/>
    <s v="Hot"/>
    <d v="2025-10-08T00:00:00"/>
    <d v="2025-10-11T00:00:00"/>
    <d v="2025-10-12T00:00:00"/>
    <d v="2025-10-18T00:00:00"/>
    <s v="No"/>
    <s v="Nan"/>
    <d v="2025-11-05T00:00:00"/>
    <n v="3"/>
    <x v="4"/>
    <n v="6"/>
    <n v="1"/>
    <n v="10"/>
    <s v="Normal"/>
    <s v="Detractor"/>
    <m/>
  </r>
  <r>
    <s v="L1611"/>
    <x v="1"/>
    <s v="Warm"/>
    <d v="2025-10-15T00:00:00"/>
    <d v="2025-10-17T00:00:00"/>
    <d v="2025-10-22T00:00:00"/>
    <d v="2025-10-26T00:00:00"/>
    <s v="No"/>
    <s v="Nan"/>
    <d v="2025-11-18T00:00:00"/>
    <n v="2"/>
    <x v="1"/>
    <n v="4"/>
    <n v="2"/>
    <n v="11"/>
    <s v="Normal"/>
    <s v="Detractor"/>
    <m/>
  </r>
  <r>
    <s v="L1612"/>
    <x v="3"/>
    <s v="Warm"/>
    <d v="2025-10-21T00:00:00"/>
    <d v="2025-10-25T00:00:00"/>
    <d v="2025-10-30T00:00:00"/>
    <d v="2025-11-01T00:00:00"/>
    <s v="No"/>
    <s v="Nan"/>
    <d v="2025-11-23T00:00:00"/>
    <n v="4"/>
    <x v="1"/>
    <n v="2"/>
    <n v="8"/>
    <n v="11"/>
    <s v="Normal"/>
    <s v="Passive"/>
    <m/>
  </r>
  <r>
    <s v="L1613"/>
    <x v="1"/>
    <s v="Cold"/>
    <d v="2025-10-09T00:00:00"/>
    <m/>
    <m/>
    <m/>
    <s v="Yes"/>
    <s v="Price"/>
    <m/>
    <s v=""/>
    <x v="2"/>
    <s v=""/>
    <m/>
    <m/>
    <s v="Normal"/>
    <s v="Detractor"/>
    <m/>
  </r>
  <r>
    <s v="L1614"/>
    <x v="2"/>
    <s v="Warm"/>
    <d v="2025-10-15T00:00:00"/>
    <d v="2025-10-19T00:00:00"/>
    <d v="2025-10-23T00:00:00"/>
    <d v="2025-10-28T00:00:00"/>
    <s v="No"/>
    <s v="Nan"/>
    <d v="2025-11-19T00:00:00"/>
    <n v="4"/>
    <x v="0"/>
    <n v="5"/>
    <n v="6"/>
    <n v="13"/>
    <s v="Normal"/>
    <s v="Detractor"/>
    <m/>
  </r>
  <r>
    <s v="L1615"/>
    <x v="0"/>
    <s v="Warm"/>
    <d v="2025-10-09T00:00:00"/>
    <d v="2025-10-12T00:00:00"/>
    <d v="2025-10-13T00:00:00"/>
    <d v="2025-10-19T00:00:00"/>
    <s v="No"/>
    <s v="Nan"/>
    <d v="2025-10-30T00:00:00"/>
    <n v="3"/>
    <x v="4"/>
    <n v="6"/>
    <n v="6"/>
    <n v="10"/>
    <s v="Normal"/>
    <s v="Detractor"/>
    <m/>
  </r>
  <r>
    <s v="L1616"/>
    <x v="0"/>
    <s v="Warm"/>
    <d v="2025-10-22T00:00:00"/>
    <d v="2025-10-27T00:00:00"/>
    <d v="2025-10-28T00:00:00"/>
    <d v="2025-10-31T00:00:00"/>
    <s v="No"/>
    <s v="Nan"/>
    <d v="2025-11-28T00:00:00"/>
    <n v="5"/>
    <x v="4"/>
    <n v="3"/>
    <n v="3"/>
    <n v="9"/>
    <s v="Normal"/>
    <s v="Detractor"/>
    <m/>
  </r>
  <r>
    <s v="L1617"/>
    <x v="2"/>
    <s v="Hot"/>
    <d v="2025-10-01T00:00:00"/>
    <d v="2025-10-04T00:00:00"/>
    <d v="2025-10-09T00:00:00"/>
    <d v="2025-10-13T00:00:00"/>
    <s v="No"/>
    <s v="Nan"/>
    <d v="2025-11-10T00:00:00"/>
    <n v="3"/>
    <x v="1"/>
    <n v="4"/>
    <n v="4"/>
    <n v="12"/>
    <s v="Normal"/>
    <s v="Detractor"/>
    <m/>
  </r>
  <r>
    <s v="L1618"/>
    <x v="1"/>
    <s v="Cold"/>
    <d v="2025-10-29T00:00:00"/>
    <m/>
    <m/>
    <m/>
    <s v="Yes"/>
    <s v="Price"/>
    <m/>
    <s v=""/>
    <x v="2"/>
    <s v=""/>
    <m/>
    <m/>
    <s v="Normal"/>
    <s v="Detractor"/>
    <m/>
  </r>
  <r>
    <s v="L1619"/>
    <x v="2"/>
    <s v="Warm"/>
    <d v="2025-10-26T00:00:00"/>
    <d v="2025-10-27T00:00:00"/>
    <d v="2025-10-30T00:00:00"/>
    <d v="2025-11-02T00:00:00"/>
    <s v="Yes"/>
    <s v="Financing Issue"/>
    <m/>
    <n v="1"/>
    <x v="3"/>
    <n v="3"/>
    <m/>
    <n v="7"/>
    <s v="Normal"/>
    <s v="Detractor"/>
    <m/>
  </r>
  <r>
    <s v="L1620"/>
    <x v="2"/>
    <s v="Warm"/>
    <d v="2025-10-15T00:00:00"/>
    <d v="2025-10-19T00:00:00"/>
    <d v="2025-10-24T00:00:00"/>
    <d v="2025-10-28T00:00:00"/>
    <s v="Yes"/>
    <s v="Changed Mind"/>
    <m/>
    <n v="4"/>
    <x v="1"/>
    <n v="4"/>
    <m/>
    <n v="13"/>
    <s v="Normal"/>
    <s v="Detractor"/>
    <m/>
  </r>
  <r>
    <s v="L1621"/>
    <x v="3"/>
    <s v="Hot"/>
    <d v="2025-10-29T00:00:00"/>
    <d v="2025-10-30T00:00:00"/>
    <d v="2025-11-02T00:00:00"/>
    <d v="2025-11-04T00:00:00"/>
    <s v="No"/>
    <s v="Nan"/>
    <d v="2025-11-20T00:00:00"/>
    <n v="1"/>
    <x v="3"/>
    <n v="2"/>
    <n v="6"/>
    <n v="6"/>
    <s v="Normal"/>
    <s v="Detractor"/>
    <m/>
  </r>
  <r>
    <s v="L1622"/>
    <x v="2"/>
    <s v="Warm"/>
    <d v="2025-10-10T00:00:00"/>
    <d v="2025-10-14T00:00:00"/>
    <d v="2025-10-15T00:00:00"/>
    <d v="2025-10-21T00:00:00"/>
    <s v="No"/>
    <s v="Nan"/>
    <d v="2025-11-10T00:00:00"/>
    <n v="4"/>
    <x v="4"/>
    <n v="6"/>
    <n v="9"/>
    <n v="11"/>
    <s v="Normal"/>
    <s v="Promoter"/>
    <m/>
  </r>
  <r>
    <s v="L1623"/>
    <x v="0"/>
    <s v="Warm"/>
    <d v="2025-10-22T00:00:00"/>
    <d v="2025-10-27T00:00:00"/>
    <d v="2025-11-01T00:00:00"/>
    <d v="2025-11-08T00:00:00"/>
    <s v="No"/>
    <s v="Nan"/>
    <d v="2025-11-25T00:00:00"/>
    <n v="5"/>
    <x v="1"/>
    <n v="7"/>
    <n v="8"/>
    <n v="17"/>
    <s v="Normal"/>
    <s v="Passive"/>
    <m/>
  </r>
  <r>
    <s v="L1624"/>
    <x v="2"/>
    <s v="Cold"/>
    <d v="2025-10-18T00:00:00"/>
    <m/>
    <m/>
    <m/>
    <s v="Yes"/>
    <s v="Price"/>
    <m/>
    <s v=""/>
    <x v="2"/>
    <s v=""/>
    <m/>
    <m/>
    <s v="Normal"/>
    <s v="Detractor"/>
    <m/>
  </r>
  <r>
    <s v="L1625"/>
    <x v="0"/>
    <s v="Hot"/>
    <d v="2025-10-06T00:00:00"/>
    <d v="2025-10-08T00:00:00"/>
    <d v="2025-10-12T00:00:00"/>
    <d v="2025-10-19T00:00:00"/>
    <s v="No"/>
    <s v="Nan"/>
    <d v="2025-11-15T00:00:00"/>
    <n v="2"/>
    <x v="0"/>
    <n v="7"/>
    <n v="0"/>
    <n v="13"/>
    <s v="Normal"/>
    <s v="Detractor"/>
    <m/>
  </r>
  <r>
    <s v="L1626"/>
    <x v="0"/>
    <s v="Warm"/>
    <d v="2025-10-03T00:00:00"/>
    <d v="2025-10-08T00:00:00"/>
    <d v="2025-10-10T00:00:00"/>
    <d v="2025-10-12T00:00:00"/>
    <s v="No"/>
    <s v="Nan"/>
    <d v="2025-11-11T00:00:00"/>
    <n v="5"/>
    <x v="5"/>
    <n v="2"/>
    <n v="1"/>
    <n v="9"/>
    <s v="Normal"/>
    <s v="Detractor"/>
    <m/>
  </r>
  <r>
    <s v="L1627"/>
    <x v="0"/>
    <s v="Cold"/>
    <d v="2025-10-15T00:00:00"/>
    <m/>
    <m/>
    <m/>
    <s v="Yes"/>
    <s v="Price"/>
    <m/>
    <s v=""/>
    <x v="2"/>
    <s v=""/>
    <m/>
    <m/>
    <s v="Normal"/>
    <s v="Detractor"/>
    <m/>
  </r>
  <r>
    <s v="L1628"/>
    <x v="1"/>
    <s v="Warm"/>
    <d v="2025-10-31T00:00:00"/>
    <d v="2025-11-03T00:00:00"/>
    <d v="2025-11-04T00:00:00"/>
    <d v="2025-11-07T00:00:00"/>
    <s v="Yes"/>
    <s v="Others"/>
    <m/>
    <n v="3"/>
    <x v="4"/>
    <n v="3"/>
    <m/>
    <n v="7"/>
    <s v="Normal"/>
    <s v="Detractor"/>
    <m/>
  </r>
  <r>
    <s v="L1629"/>
    <x v="3"/>
    <s v="Warm"/>
    <d v="2025-10-12T00:00:00"/>
    <d v="2025-10-15T00:00:00"/>
    <d v="2025-10-16T00:00:00"/>
    <d v="2025-10-23T00:00:00"/>
    <s v="No"/>
    <s v="Nan"/>
    <d v="2025-11-17T00:00:00"/>
    <n v="3"/>
    <x v="4"/>
    <n v="7"/>
    <n v="3"/>
    <n v="11"/>
    <s v="Normal"/>
    <s v="Detractor"/>
    <m/>
  </r>
  <r>
    <s v="L1630"/>
    <x v="0"/>
    <s v="Hot"/>
    <d v="2025-10-19T00:00:00"/>
    <d v="2025-10-20T00:00:00"/>
    <d v="2025-10-25T00:00:00"/>
    <d v="2025-10-31T00:00:00"/>
    <s v="No"/>
    <s v="Nan"/>
    <d v="2025-11-21T00:00:00"/>
    <n v="1"/>
    <x v="1"/>
    <n v="6"/>
    <n v="1"/>
    <n v="12"/>
    <s v="Normal"/>
    <s v="Detractor"/>
    <m/>
  </r>
  <r>
    <s v="L1631"/>
    <x v="0"/>
    <s v="Cold"/>
    <d v="2025-10-10T00:00:00"/>
    <m/>
    <m/>
    <m/>
    <s v="Yes"/>
    <s v="Financing Issue"/>
    <m/>
    <s v=""/>
    <x v="2"/>
    <s v=""/>
    <m/>
    <m/>
    <s v="Normal"/>
    <s v="Detractor"/>
    <m/>
  </r>
  <r>
    <s v="L1632"/>
    <x v="1"/>
    <s v="Hot"/>
    <d v="2025-10-21T00:00:00"/>
    <d v="2025-10-22T00:00:00"/>
    <d v="2025-10-24T00:00:00"/>
    <d v="2025-10-26T00:00:00"/>
    <s v="No"/>
    <s v="Nan"/>
    <d v="2025-11-21T00:00:00"/>
    <n v="1"/>
    <x v="5"/>
    <n v="2"/>
    <n v="9"/>
    <n v="5"/>
    <s v="High"/>
    <s v="Promoter"/>
    <m/>
  </r>
  <r>
    <s v="L1633"/>
    <x v="0"/>
    <s v="Warm"/>
    <d v="2025-10-31T00:00:00"/>
    <d v="2025-11-03T00:00:00"/>
    <d v="2025-11-05T00:00:00"/>
    <d v="2025-11-07T00:00:00"/>
    <s v="No"/>
    <s v="Nan"/>
    <d v="2025-11-26T00:00:00"/>
    <n v="3"/>
    <x v="5"/>
    <n v="2"/>
    <n v="3"/>
    <n v="7"/>
    <s v="Normal"/>
    <s v="Detractor"/>
    <m/>
  </r>
  <r>
    <s v="L1634"/>
    <x v="2"/>
    <s v="Warm"/>
    <d v="2025-10-14T00:00:00"/>
    <d v="2025-10-17T00:00:00"/>
    <d v="2025-10-19T00:00:00"/>
    <d v="2025-10-21T00:00:00"/>
    <s v="No"/>
    <s v="Nan"/>
    <d v="2025-11-05T00:00:00"/>
    <n v="3"/>
    <x v="5"/>
    <n v="2"/>
    <n v="5"/>
    <n v="7"/>
    <s v="Normal"/>
    <s v="Detractor"/>
    <m/>
  </r>
  <r>
    <s v="L1635"/>
    <x v="2"/>
    <s v="Hot"/>
    <d v="2025-10-23T00:00:00"/>
    <d v="2025-10-26T00:00:00"/>
    <d v="2025-10-31T00:00:00"/>
    <d v="2025-11-03T00:00:00"/>
    <s v="Yes"/>
    <s v="Price"/>
    <m/>
    <n v="3"/>
    <x v="1"/>
    <n v="3"/>
    <m/>
    <n v="11"/>
    <s v="Normal"/>
    <s v="Detractor"/>
    <m/>
  </r>
  <r>
    <s v="L1636"/>
    <x v="3"/>
    <s v="Warm"/>
    <d v="2025-10-09T00:00:00"/>
    <d v="2025-10-13T00:00:00"/>
    <d v="2025-10-18T00:00:00"/>
    <d v="2025-10-20T00:00:00"/>
    <s v="No"/>
    <s v="Nan"/>
    <d v="2025-11-16T00:00:00"/>
    <n v="4"/>
    <x v="1"/>
    <n v="2"/>
    <n v="3"/>
    <n v="11"/>
    <s v="Normal"/>
    <s v="Detractor"/>
    <m/>
  </r>
  <r>
    <s v="L1637"/>
    <x v="0"/>
    <s v="Hot"/>
    <d v="2025-10-15T00:00:00"/>
    <d v="2025-10-20T00:00:00"/>
    <d v="2025-10-23T00:00:00"/>
    <d v="2025-10-28T00:00:00"/>
    <s v="No"/>
    <s v="Nan"/>
    <d v="2025-11-12T00:00:00"/>
    <n v="5"/>
    <x v="3"/>
    <n v="5"/>
    <n v="2"/>
    <n v="13"/>
    <s v="Normal"/>
    <s v="Detractor"/>
    <m/>
  </r>
  <r>
    <s v="L1638"/>
    <x v="1"/>
    <s v="Hot"/>
    <d v="2025-10-28T00:00:00"/>
    <d v="2025-11-01T00:00:00"/>
    <d v="2025-11-04T00:00:00"/>
    <d v="2025-11-08T00:00:00"/>
    <s v="No"/>
    <s v="Nan"/>
    <d v="2025-11-27T00:00:00"/>
    <n v="4"/>
    <x v="3"/>
    <n v="4"/>
    <n v="1"/>
    <n v="11"/>
    <s v="Normal"/>
    <s v="Detractor"/>
    <m/>
  </r>
  <r>
    <s v="L1639"/>
    <x v="2"/>
    <s v="Warm"/>
    <d v="2025-10-10T00:00:00"/>
    <d v="2025-10-12T00:00:00"/>
    <d v="2025-10-15T00:00:00"/>
    <d v="2025-10-20T00:00:00"/>
    <s v="No"/>
    <s v="Nan"/>
    <d v="2025-11-02T00:00:00"/>
    <n v="2"/>
    <x v="3"/>
    <n v="5"/>
    <n v="8"/>
    <n v="10"/>
    <s v="Normal"/>
    <s v="Passive"/>
    <m/>
  </r>
  <r>
    <s v="L1640"/>
    <x v="1"/>
    <s v="Cold"/>
    <d v="2025-10-07T00:00:00"/>
    <m/>
    <m/>
    <m/>
    <s v="Yes"/>
    <s v="Others"/>
    <m/>
    <s v=""/>
    <x v="2"/>
    <s v=""/>
    <m/>
    <m/>
    <s v="Normal"/>
    <s v="Detractor"/>
    <m/>
  </r>
  <r>
    <s v="L1641"/>
    <x v="1"/>
    <s v="Warm"/>
    <d v="2025-10-13T00:00:00"/>
    <d v="2025-10-17T00:00:00"/>
    <d v="2025-10-21T00:00:00"/>
    <d v="2025-10-24T00:00:00"/>
    <s v="No"/>
    <s v="Nan"/>
    <d v="2025-11-18T00:00:00"/>
    <n v="4"/>
    <x v="0"/>
    <n v="3"/>
    <n v="9"/>
    <n v="11"/>
    <s v="Normal"/>
    <s v="Promoter"/>
    <m/>
  </r>
  <r>
    <s v="L1642"/>
    <x v="2"/>
    <s v="Warm"/>
    <d v="2025-10-28T00:00:00"/>
    <d v="2025-10-31T00:00:00"/>
    <d v="2025-11-01T00:00:00"/>
    <d v="2025-11-04T00:00:00"/>
    <s v="No"/>
    <s v="Nan"/>
    <d v="2025-11-18T00:00:00"/>
    <n v="3"/>
    <x v="4"/>
    <n v="3"/>
    <n v="4"/>
    <n v="7"/>
    <s v="Normal"/>
    <s v="Detractor"/>
    <m/>
  </r>
  <r>
    <s v="L1643"/>
    <x v="1"/>
    <s v="Hot"/>
    <d v="2025-10-16T00:00:00"/>
    <d v="2025-10-20T00:00:00"/>
    <d v="2025-10-23T00:00:00"/>
    <d v="2025-10-25T00:00:00"/>
    <s v="No"/>
    <s v="Nan"/>
    <d v="2025-11-12T00:00:00"/>
    <n v="4"/>
    <x v="3"/>
    <n v="2"/>
    <n v="4"/>
    <n v="9"/>
    <s v="Normal"/>
    <s v="Detractor"/>
    <m/>
  </r>
  <r>
    <s v="L1644"/>
    <x v="2"/>
    <s v="Hot"/>
    <d v="2025-10-04T00:00:00"/>
    <d v="2025-10-05T00:00:00"/>
    <d v="2025-10-09T00:00:00"/>
    <d v="2025-10-15T00:00:00"/>
    <s v="No"/>
    <s v="Nan"/>
    <d v="2025-11-11T00:00:00"/>
    <n v="1"/>
    <x v="0"/>
    <n v="6"/>
    <n v="1"/>
    <n v="11"/>
    <s v="Normal"/>
    <s v="Detractor"/>
    <m/>
  </r>
  <r>
    <s v="L1645"/>
    <x v="1"/>
    <s v="Hot"/>
    <d v="2025-10-08T00:00:00"/>
    <d v="2025-10-11T00:00:00"/>
    <d v="2025-10-15T00:00:00"/>
    <d v="2025-10-22T00:00:00"/>
    <s v="No"/>
    <s v="Nan"/>
    <d v="2025-11-06T00:00:00"/>
    <n v="3"/>
    <x v="0"/>
    <n v="7"/>
    <n v="0"/>
    <n v="14"/>
    <s v="Normal"/>
    <s v="Detractor"/>
    <m/>
  </r>
  <r>
    <s v="L1646"/>
    <x v="2"/>
    <s v="Hot"/>
    <d v="2025-10-13T00:00:00"/>
    <d v="2025-10-18T00:00:00"/>
    <d v="2025-10-23T00:00:00"/>
    <d v="2025-10-30T00:00:00"/>
    <s v="No"/>
    <s v="Nan"/>
    <d v="2025-11-19T00:00:00"/>
    <n v="5"/>
    <x v="1"/>
    <n v="7"/>
    <n v="6"/>
    <n v="17"/>
    <s v="Normal"/>
    <s v="Detractor"/>
    <m/>
  </r>
  <r>
    <s v="L1647"/>
    <x v="0"/>
    <s v="Warm"/>
    <d v="2025-10-19T00:00:00"/>
    <d v="2025-10-23T00:00:00"/>
    <d v="2025-10-25T00:00:00"/>
    <d v="2025-11-01T00:00:00"/>
    <s v="No"/>
    <s v="Nan"/>
    <d v="2025-12-01T00:00:00"/>
    <n v="4"/>
    <x v="5"/>
    <n v="7"/>
    <n v="5"/>
    <n v="13"/>
    <s v="Normal"/>
    <s v="Detractor"/>
    <m/>
  </r>
  <r>
    <s v="L1648"/>
    <x v="3"/>
    <s v="Warm"/>
    <d v="2025-10-12T00:00:00"/>
    <d v="2025-10-15T00:00:00"/>
    <d v="2025-10-17T00:00:00"/>
    <d v="2025-10-22T00:00:00"/>
    <s v="No"/>
    <s v="Nan"/>
    <d v="2025-11-03T00:00:00"/>
    <n v="3"/>
    <x v="5"/>
    <n v="5"/>
    <n v="0"/>
    <n v="10"/>
    <s v="Normal"/>
    <s v="Detractor"/>
    <m/>
  </r>
  <r>
    <s v="L1649"/>
    <x v="2"/>
    <s v="Warm"/>
    <d v="2025-10-19T00:00:00"/>
    <d v="2025-10-20T00:00:00"/>
    <d v="2025-10-23T00:00:00"/>
    <d v="2025-10-26T00:00:00"/>
    <s v="Yes"/>
    <s v="Other"/>
    <m/>
    <n v="1"/>
    <x v="3"/>
    <n v="3"/>
    <m/>
    <n v="7"/>
    <s v="Normal"/>
    <s v="Detractor"/>
    <m/>
  </r>
  <r>
    <s v="L1650"/>
    <x v="2"/>
    <s v="Hot"/>
    <d v="2025-10-10T00:00:00"/>
    <d v="2025-10-11T00:00:00"/>
    <d v="2025-10-12T00:00:00"/>
    <d v="2025-10-16T00:00:00"/>
    <s v="Yes"/>
    <s v="Price"/>
    <m/>
    <n v="1"/>
    <x v="4"/>
    <n v="4"/>
    <m/>
    <n v="6"/>
    <s v="Normal"/>
    <s v="Detractor"/>
    <m/>
  </r>
  <r>
    <s v="L1651"/>
    <x v="3"/>
    <s v="Warm"/>
    <d v="2025-10-23T00:00:00"/>
    <d v="2025-10-27T00:00:00"/>
    <d v="2025-10-28T00:00:00"/>
    <d v="2025-10-31T00:00:00"/>
    <s v="Yes"/>
    <s v="Price"/>
    <m/>
    <n v="4"/>
    <x v="4"/>
    <n v="3"/>
    <m/>
    <n v="8"/>
    <s v="Normal"/>
    <s v="Detractor"/>
    <m/>
  </r>
  <r>
    <s v="L1652"/>
    <x v="2"/>
    <s v="Cold"/>
    <d v="2025-10-10T00:00:00"/>
    <m/>
    <m/>
    <m/>
    <s v="Yes"/>
    <s v="Others"/>
    <m/>
    <s v=""/>
    <x v="2"/>
    <s v=""/>
    <m/>
    <m/>
    <s v="Normal"/>
    <s v="Detractor"/>
    <m/>
  </r>
  <r>
    <s v="L1653"/>
    <x v="2"/>
    <s v="Hot"/>
    <d v="2025-10-01T00:00:00"/>
    <d v="2025-10-04T00:00:00"/>
    <d v="2025-10-05T00:00:00"/>
    <d v="2025-10-10T00:00:00"/>
    <s v="No"/>
    <s v="Nan"/>
    <d v="2025-10-27T00:00:00"/>
    <n v="3"/>
    <x v="4"/>
    <n v="5"/>
    <n v="3"/>
    <n v="9"/>
    <s v="Normal"/>
    <s v="Detractor"/>
    <m/>
  </r>
  <r>
    <s v="L1654"/>
    <x v="1"/>
    <s v="Cold"/>
    <d v="2025-10-27T00:00:00"/>
    <m/>
    <m/>
    <m/>
    <s v="Yes"/>
    <s v="Financing Issue"/>
    <m/>
    <s v=""/>
    <x v="2"/>
    <s v=""/>
    <m/>
    <m/>
    <s v="Normal"/>
    <s v="Detractor"/>
    <m/>
  </r>
  <r>
    <s v="L1655"/>
    <x v="3"/>
    <s v="Cold"/>
    <d v="2025-10-22T00:00:00"/>
    <m/>
    <m/>
    <m/>
    <s v="Yes"/>
    <s v="Price"/>
    <m/>
    <s v=""/>
    <x v="2"/>
    <s v=""/>
    <m/>
    <m/>
    <s v="Normal"/>
    <s v="Detractor"/>
    <m/>
  </r>
  <r>
    <s v="L1656"/>
    <x v="0"/>
    <s v="Hot"/>
    <d v="2025-10-13T00:00:00"/>
    <d v="2025-10-18T00:00:00"/>
    <d v="2025-10-22T00:00:00"/>
    <d v="2025-10-29T00:00:00"/>
    <s v="No"/>
    <s v="Nan"/>
    <d v="2025-11-19T00:00:00"/>
    <n v="5"/>
    <x v="0"/>
    <n v="7"/>
    <n v="2"/>
    <n v="16"/>
    <s v="Normal"/>
    <s v="Detractor"/>
    <m/>
  </r>
  <r>
    <s v="L1657"/>
    <x v="2"/>
    <s v="Warm"/>
    <d v="2025-10-09T00:00:00"/>
    <d v="2025-10-11T00:00:00"/>
    <d v="2025-10-15T00:00:00"/>
    <d v="2025-10-19T00:00:00"/>
    <s v="Yes"/>
    <s v="Other"/>
    <m/>
    <n v="2"/>
    <x v="0"/>
    <n v="4"/>
    <m/>
    <n v="10"/>
    <s v="Normal"/>
    <s v="Detractor"/>
    <m/>
  </r>
  <r>
    <s v="L1658"/>
    <x v="3"/>
    <s v="Warm"/>
    <d v="2025-10-01T00:00:00"/>
    <d v="2025-10-02T00:00:00"/>
    <d v="2025-10-06T00:00:00"/>
    <d v="2025-10-10T00:00:00"/>
    <s v="Yes"/>
    <s v="Price"/>
    <m/>
    <n v="1"/>
    <x v="0"/>
    <n v="4"/>
    <m/>
    <n v="9"/>
    <s v="Normal"/>
    <s v="Detractor"/>
    <m/>
  </r>
  <r>
    <s v="L1659"/>
    <x v="1"/>
    <s v="Warm"/>
    <d v="2025-10-19T00:00:00"/>
    <d v="2025-10-21T00:00:00"/>
    <d v="2025-10-26T00:00:00"/>
    <d v="2025-10-28T00:00:00"/>
    <s v="No"/>
    <s v="Nan"/>
    <d v="2025-11-14T00:00:00"/>
    <n v="2"/>
    <x v="1"/>
    <n v="2"/>
    <n v="2"/>
    <n v="9"/>
    <s v="Normal"/>
    <s v="Detractor"/>
    <m/>
  </r>
  <r>
    <s v="L1660"/>
    <x v="0"/>
    <s v="Warm"/>
    <d v="2025-10-28T00:00:00"/>
    <d v="2025-11-02T00:00:00"/>
    <d v="2025-11-06T00:00:00"/>
    <d v="2025-11-12T00:00:00"/>
    <s v="No"/>
    <s v="Nan"/>
    <d v="2025-12-01T00:00:00"/>
    <n v="5"/>
    <x v="0"/>
    <n v="6"/>
    <n v="1"/>
    <n v="15"/>
    <s v="Normal"/>
    <s v="Detractor"/>
    <m/>
  </r>
  <r>
    <s v="L1661"/>
    <x v="3"/>
    <s v="Warm"/>
    <d v="2025-10-22T00:00:00"/>
    <d v="2025-10-26T00:00:00"/>
    <d v="2025-10-27T00:00:00"/>
    <d v="2025-10-31T00:00:00"/>
    <s v="No"/>
    <s v="Nan"/>
    <d v="2025-11-23T00:00:00"/>
    <n v="4"/>
    <x v="4"/>
    <n v="4"/>
    <n v="9"/>
    <n v="9"/>
    <s v="Normal"/>
    <s v="Promoter"/>
    <m/>
  </r>
  <r>
    <s v="L1662"/>
    <x v="0"/>
    <s v="Warm"/>
    <d v="2025-10-25T00:00:00"/>
    <d v="2025-10-26T00:00:00"/>
    <d v="2025-10-27T00:00:00"/>
    <d v="2025-10-29T00:00:00"/>
    <s v="No"/>
    <s v="Nan"/>
    <d v="2025-11-18T00:00:00"/>
    <n v="1"/>
    <x v="4"/>
    <n v="2"/>
    <n v="5"/>
    <n v="4"/>
    <s v="Normal"/>
    <s v="Detractor"/>
    <m/>
  </r>
  <r>
    <s v="L1663"/>
    <x v="0"/>
    <s v="Warm"/>
    <d v="2025-10-24T00:00:00"/>
    <d v="2025-10-26T00:00:00"/>
    <d v="2025-10-28T00:00:00"/>
    <d v="2025-11-03T00:00:00"/>
    <s v="No"/>
    <s v="Nan"/>
    <d v="2025-11-24T00:00:00"/>
    <n v="2"/>
    <x v="5"/>
    <n v="6"/>
    <n v="4"/>
    <n v="10"/>
    <s v="Normal"/>
    <s v="Detractor"/>
    <m/>
  </r>
  <r>
    <s v="L1664"/>
    <x v="0"/>
    <s v="Warm"/>
    <d v="2025-10-02T00:00:00"/>
    <d v="2025-10-03T00:00:00"/>
    <d v="2025-10-04T00:00:00"/>
    <d v="2025-10-11T00:00:00"/>
    <s v="No"/>
    <s v="Nan"/>
    <d v="2025-10-29T00:00:00"/>
    <n v="1"/>
    <x v="4"/>
    <n v="7"/>
    <n v="9"/>
    <n v="9"/>
    <s v="Normal"/>
    <s v="Promoter"/>
    <m/>
  </r>
  <r>
    <s v="L1665"/>
    <x v="2"/>
    <s v="Warm"/>
    <d v="2025-10-30T00:00:00"/>
    <d v="2025-11-01T00:00:00"/>
    <d v="2025-11-05T00:00:00"/>
    <d v="2025-11-07T00:00:00"/>
    <s v="No"/>
    <s v="Nan"/>
    <d v="2025-12-05T00:00:00"/>
    <n v="2"/>
    <x v="0"/>
    <n v="2"/>
    <n v="2"/>
    <n v="8"/>
    <s v="Normal"/>
    <s v="Detractor"/>
    <m/>
  </r>
  <r>
    <s v="L1666"/>
    <x v="2"/>
    <s v="Warm"/>
    <d v="2025-10-20T00:00:00"/>
    <d v="2025-10-23T00:00:00"/>
    <d v="2025-10-27T00:00:00"/>
    <d v="2025-10-30T00:00:00"/>
    <s v="No"/>
    <s v="Nan"/>
    <d v="2025-11-18T00:00:00"/>
    <n v="3"/>
    <x v="0"/>
    <n v="3"/>
    <n v="7"/>
    <n v="10"/>
    <s v="Normal"/>
    <s v="Passive"/>
    <m/>
  </r>
  <r>
    <s v="L1667"/>
    <x v="1"/>
    <s v="Warm"/>
    <d v="2025-10-24T00:00:00"/>
    <d v="2025-10-27T00:00:00"/>
    <d v="2025-10-30T00:00:00"/>
    <d v="2025-11-02T00:00:00"/>
    <s v="No"/>
    <s v="Nan"/>
    <d v="2025-11-26T00:00:00"/>
    <n v="3"/>
    <x v="3"/>
    <n v="3"/>
    <n v="0"/>
    <n v="9"/>
    <s v="Normal"/>
    <s v="Detractor"/>
    <m/>
  </r>
  <r>
    <s v="L1668"/>
    <x v="1"/>
    <s v="Hot"/>
    <d v="2025-10-16T00:00:00"/>
    <d v="2025-10-20T00:00:00"/>
    <d v="2025-10-25T00:00:00"/>
    <d v="2025-10-31T00:00:00"/>
    <s v="No"/>
    <s v="Nan"/>
    <d v="2025-11-13T00:00:00"/>
    <n v="4"/>
    <x v="1"/>
    <n v="6"/>
    <n v="2"/>
    <n v="15"/>
    <s v="Normal"/>
    <s v="Detractor"/>
    <m/>
  </r>
  <r>
    <s v="L1669"/>
    <x v="3"/>
    <s v="Hot"/>
    <d v="2025-10-27T00:00:00"/>
    <d v="2025-11-01T00:00:00"/>
    <d v="2025-11-02T00:00:00"/>
    <d v="2025-11-04T00:00:00"/>
    <s v="Yes"/>
    <s v="Other"/>
    <m/>
    <n v="5"/>
    <x v="4"/>
    <n v="2"/>
    <m/>
    <n v="8"/>
    <s v="Normal"/>
    <s v="Detractor"/>
    <m/>
  </r>
  <r>
    <s v="L1670"/>
    <x v="1"/>
    <s v="Cold"/>
    <d v="2025-10-29T00:00:00"/>
    <m/>
    <m/>
    <m/>
    <s v="Yes"/>
    <s v="Changed Mind"/>
    <m/>
    <s v=""/>
    <x v="2"/>
    <s v=""/>
    <m/>
    <m/>
    <s v="Normal"/>
    <s v="Detractor"/>
    <m/>
  </r>
  <r>
    <s v="L1671"/>
    <x v="0"/>
    <s v="Warm"/>
    <d v="2025-10-29T00:00:00"/>
    <d v="2025-10-30T00:00:00"/>
    <d v="2025-11-04T00:00:00"/>
    <d v="2025-11-09T00:00:00"/>
    <s v="No"/>
    <s v="Nan"/>
    <d v="2025-12-04T00:00:00"/>
    <n v="1"/>
    <x v="1"/>
    <n v="5"/>
    <n v="0"/>
    <n v="11"/>
    <s v="Normal"/>
    <s v="Detractor"/>
    <m/>
  </r>
  <r>
    <s v="L1672"/>
    <x v="0"/>
    <s v="Hot"/>
    <d v="2025-10-10T00:00:00"/>
    <d v="2025-10-15T00:00:00"/>
    <d v="2025-10-16T00:00:00"/>
    <d v="2025-10-18T00:00:00"/>
    <s v="No"/>
    <s v="Nan"/>
    <d v="2025-10-29T00:00:00"/>
    <n v="5"/>
    <x v="4"/>
    <n v="2"/>
    <n v="6"/>
    <n v="8"/>
    <s v="Normal"/>
    <s v="Detractor"/>
    <m/>
  </r>
  <r>
    <s v="L1673"/>
    <x v="2"/>
    <s v="Hot"/>
    <d v="2025-10-25T00:00:00"/>
    <d v="2025-10-27T00:00:00"/>
    <d v="2025-10-29T00:00:00"/>
    <d v="2025-11-03T00:00:00"/>
    <s v="No"/>
    <s v="Nan"/>
    <d v="2025-12-03T00:00:00"/>
    <n v="2"/>
    <x v="5"/>
    <n v="5"/>
    <n v="10"/>
    <n v="9"/>
    <s v="Normal"/>
    <s v="Promoter"/>
    <m/>
  </r>
  <r>
    <s v="L1674"/>
    <x v="0"/>
    <s v="Hot"/>
    <d v="2025-10-26T00:00:00"/>
    <d v="2025-10-30T00:00:00"/>
    <d v="2025-11-01T00:00:00"/>
    <d v="2025-11-05T00:00:00"/>
    <s v="No"/>
    <s v="Nan"/>
    <d v="2025-12-03T00:00:00"/>
    <n v="4"/>
    <x v="5"/>
    <n v="4"/>
    <n v="8"/>
    <n v="10"/>
    <s v="Normal"/>
    <s v="Passive"/>
    <m/>
  </r>
  <r>
    <s v="L1675"/>
    <x v="3"/>
    <s v="Cold"/>
    <d v="2025-10-08T00:00:00"/>
    <m/>
    <m/>
    <m/>
    <s v="Yes"/>
    <s v="Changed Mind"/>
    <m/>
    <s v=""/>
    <x v="2"/>
    <s v=""/>
    <m/>
    <m/>
    <s v="Normal"/>
    <s v="Detractor"/>
    <m/>
  </r>
  <r>
    <s v="L1676"/>
    <x v="0"/>
    <s v="Warm"/>
    <d v="2025-10-20T00:00:00"/>
    <d v="2025-10-23T00:00:00"/>
    <d v="2025-10-28T00:00:00"/>
    <d v="2025-11-01T00:00:00"/>
    <s v="No"/>
    <s v="Nan"/>
    <d v="2025-11-29T00:00:00"/>
    <n v="3"/>
    <x v="1"/>
    <n v="4"/>
    <n v="10"/>
    <n v="12"/>
    <s v="Normal"/>
    <s v="Promoter"/>
    <m/>
  </r>
  <r>
    <s v="L1677"/>
    <x v="0"/>
    <s v="Cold"/>
    <d v="2025-10-26T00:00:00"/>
    <m/>
    <m/>
    <m/>
    <s v="Yes"/>
    <s v="Other"/>
    <m/>
    <s v=""/>
    <x v="2"/>
    <s v=""/>
    <m/>
    <m/>
    <s v="Normal"/>
    <s v="Detractor"/>
    <m/>
  </r>
  <r>
    <s v="L1678"/>
    <x v="3"/>
    <s v="Warm"/>
    <d v="2025-10-12T00:00:00"/>
    <d v="2025-10-15T00:00:00"/>
    <d v="2025-10-19T00:00:00"/>
    <d v="2025-10-23T00:00:00"/>
    <s v="Yes"/>
    <s v="Financing Issue"/>
    <m/>
    <n v="3"/>
    <x v="0"/>
    <n v="4"/>
    <m/>
    <n v="11"/>
    <s v="Normal"/>
    <s v="Detractor"/>
    <m/>
  </r>
  <r>
    <s v="L1679"/>
    <x v="1"/>
    <s v="Warm"/>
    <d v="2025-10-08T00:00:00"/>
    <d v="2025-10-12T00:00:00"/>
    <d v="2025-10-15T00:00:00"/>
    <d v="2025-10-17T00:00:00"/>
    <s v="No"/>
    <s v="Nan"/>
    <d v="2025-11-15T00:00:00"/>
    <n v="4"/>
    <x v="3"/>
    <n v="2"/>
    <n v="10"/>
    <n v="9"/>
    <s v="Normal"/>
    <s v="Promoter"/>
    <m/>
  </r>
  <r>
    <s v="L1680"/>
    <x v="1"/>
    <s v="Warm"/>
    <d v="2025-10-21T00:00:00"/>
    <d v="2025-10-22T00:00:00"/>
    <d v="2025-10-23T00:00:00"/>
    <d v="2025-10-29T00:00:00"/>
    <s v="No"/>
    <s v="Nan"/>
    <d v="2025-11-10T00:00:00"/>
    <n v="1"/>
    <x v="4"/>
    <n v="6"/>
    <n v="2"/>
    <n v="8"/>
    <s v="Normal"/>
    <s v="Detractor"/>
    <m/>
  </r>
  <r>
    <s v="L1681"/>
    <x v="3"/>
    <s v="Warm"/>
    <d v="2025-10-07T00:00:00"/>
    <d v="2025-10-12T00:00:00"/>
    <d v="2025-10-13T00:00:00"/>
    <d v="2025-10-18T00:00:00"/>
    <s v="No"/>
    <s v="Nan"/>
    <d v="2025-11-12T00:00:00"/>
    <n v="5"/>
    <x v="4"/>
    <n v="5"/>
    <n v="9"/>
    <n v="11"/>
    <s v="Normal"/>
    <s v="Promoter"/>
    <m/>
  </r>
  <r>
    <s v="L1682"/>
    <x v="2"/>
    <s v="Hot"/>
    <d v="2025-10-20T00:00:00"/>
    <d v="2025-10-22T00:00:00"/>
    <d v="2025-10-25T00:00:00"/>
    <d v="2025-10-27T00:00:00"/>
    <s v="No"/>
    <s v="Nan"/>
    <d v="2025-11-12T00:00:00"/>
    <n v="2"/>
    <x v="3"/>
    <n v="2"/>
    <n v="8"/>
    <n v="7"/>
    <s v="High"/>
    <s v="Passive"/>
    <m/>
  </r>
  <r>
    <s v="L1683"/>
    <x v="0"/>
    <s v="Cold"/>
    <d v="2025-10-09T00:00:00"/>
    <m/>
    <m/>
    <m/>
    <s v="Yes"/>
    <s v="Price"/>
    <m/>
    <s v=""/>
    <x v="2"/>
    <s v=""/>
    <m/>
    <m/>
    <s v="Normal"/>
    <s v="Detractor"/>
    <m/>
  </r>
  <r>
    <s v="L1684"/>
    <x v="3"/>
    <s v="Cold"/>
    <d v="2025-10-22T00:00:00"/>
    <m/>
    <m/>
    <m/>
    <s v="Yes"/>
    <s v="Price"/>
    <m/>
    <s v=""/>
    <x v="2"/>
    <s v=""/>
    <m/>
    <m/>
    <s v="Normal"/>
    <s v="Detractor"/>
    <m/>
  </r>
  <r>
    <s v="L1685"/>
    <x v="0"/>
    <s v="Warm"/>
    <d v="2025-10-25T00:00:00"/>
    <d v="2025-10-30T00:00:00"/>
    <d v="2025-11-04T00:00:00"/>
    <d v="2025-11-08T00:00:00"/>
    <s v="No"/>
    <s v="Nan"/>
    <d v="2025-12-04T00:00:00"/>
    <n v="5"/>
    <x v="1"/>
    <n v="4"/>
    <n v="5"/>
    <n v="14"/>
    <s v="Normal"/>
    <s v="Detractor"/>
    <m/>
  </r>
  <r>
    <s v="L1686"/>
    <x v="2"/>
    <s v="Cold"/>
    <d v="2025-10-24T00:00:00"/>
    <m/>
    <m/>
    <m/>
    <s v="Yes"/>
    <s v="Changed Mind"/>
    <m/>
    <s v=""/>
    <x v="2"/>
    <s v=""/>
    <m/>
    <m/>
    <s v="Normal"/>
    <s v="Detractor"/>
    <m/>
  </r>
  <r>
    <s v="L1687"/>
    <x v="0"/>
    <s v="Cold"/>
    <d v="2025-10-25T00:00:00"/>
    <m/>
    <m/>
    <m/>
    <s v="Yes"/>
    <s v="Other"/>
    <m/>
    <s v=""/>
    <x v="2"/>
    <s v=""/>
    <m/>
    <m/>
    <s v="Normal"/>
    <s v="Detractor"/>
    <m/>
  </r>
  <r>
    <s v="L1688"/>
    <x v="3"/>
    <s v="Warm"/>
    <d v="2025-10-22T00:00:00"/>
    <d v="2025-10-25T00:00:00"/>
    <d v="2025-10-30T00:00:00"/>
    <d v="2025-11-02T00:00:00"/>
    <s v="No"/>
    <s v="Nan"/>
    <d v="2025-11-15T00:00:00"/>
    <n v="3"/>
    <x v="1"/>
    <n v="3"/>
    <n v="5"/>
    <n v="11"/>
    <s v="Normal"/>
    <s v="Detractor"/>
    <m/>
  </r>
  <r>
    <s v="L1689"/>
    <x v="0"/>
    <s v="Hot"/>
    <d v="2025-10-22T00:00:00"/>
    <d v="2025-10-26T00:00:00"/>
    <d v="2025-10-27T00:00:00"/>
    <d v="2025-10-31T00:00:00"/>
    <s v="No"/>
    <s v="Nan"/>
    <d v="2025-11-22T00:00:00"/>
    <n v="4"/>
    <x v="4"/>
    <n v="4"/>
    <n v="2"/>
    <n v="9"/>
    <s v="Normal"/>
    <s v="Detractor"/>
    <m/>
  </r>
  <r>
    <s v="L1690"/>
    <x v="1"/>
    <s v="Warm"/>
    <d v="2025-10-27T00:00:00"/>
    <d v="2025-10-30T00:00:00"/>
    <d v="2025-11-01T00:00:00"/>
    <d v="2025-11-07T00:00:00"/>
    <s v="No"/>
    <s v="Nan"/>
    <d v="2025-12-03T00:00:00"/>
    <n v="3"/>
    <x v="5"/>
    <n v="6"/>
    <n v="7"/>
    <n v="11"/>
    <s v="Normal"/>
    <s v="Passive"/>
    <m/>
  </r>
  <r>
    <s v="L1691"/>
    <x v="2"/>
    <s v="Warm"/>
    <d v="2025-10-05T00:00:00"/>
    <d v="2025-10-08T00:00:00"/>
    <d v="2025-10-11T00:00:00"/>
    <d v="2025-10-15T00:00:00"/>
    <s v="No"/>
    <s v="Nan"/>
    <d v="2025-11-03T00:00:00"/>
    <n v="3"/>
    <x v="3"/>
    <n v="4"/>
    <n v="3"/>
    <n v="10"/>
    <s v="Normal"/>
    <s v="Detractor"/>
    <m/>
  </r>
  <r>
    <s v="L1692"/>
    <x v="2"/>
    <s v="Hot"/>
    <d v="2025-10-21T00:00:00"/>
    <d v="2025-10-23T00:00:00"/>
    <d v="2025-10-24T00:00:00"/>
    <d v="2025-10-31T00:00:00"/>
    <s v="No"/>
    <s v="Nan"/>
    <d v="2025-11-23T00:00:00"/>
    <n v="2"/>
    <x v="4"/>
    <n v="7"/>
    <n v="8"/>
    <n v="10"/>
    <s v="Normal"/>
    <s v="Passive"/>
    <m/>
  </r>
  <r>
    <s v="L1693"/>
    <x v="2"/>
    <s v="Hot"/>
    <d v="2025-10-04T00:00:00"/>
    <d v="2025-10-05T00:00:00"/>
    <d v="2025-10-07T00:00:00"/>
    <d v="2025-10-13T00:00:00"/>
    <s v="No"/>
    <s v="Nan"/>
    <d v="2025-10-24T00:00:00"/>
    <n v="1"/>
    <x v="5"/>
    <n v="6"/>
    <n v="7"/>
    <n v="9"/>
    <s v="Normal"/>
    <s v="Passive"/>
    <m/>
  </r>
  <r>
    <s v="L1694"/>
    <x v="3"/>
    <s v="Warm"/>
    <d v="2025-10-29T00:00:00"/>
    <d v="2025-10-30T00:00:00"/>
    <d v="2025-11-04T00:00:00"/>
    <d v="2025-11-07T00:00:00"/>
    <s v="No"/>
    <s v="Nan"/>
    <d v="2025-11-21T00:00:00"/>
    <n v="1"/>
    <x v="1"/>
    <n v="3"/>
    <n v="2"/>
    <n v="9"/>
    <s v="Normal"/>
    <s v="Detractor"/>
    <m/>
  </r>
  <r>
    <s v="L1695"/>
    <x v="2"/>
    <s v="Hot"/>
    <d v="2025-10-21T00:00:00"/>
    <d v="2025-10-23T00:00:00"/>
    <d v="2025-10-25T00:00:00"/>
    <d v="2025-10-30T00:00:00"/>
    <s v="No"/>
    <s v="Nan"/>
    <d v="2025-11-13T00:00:00"/>
    <n v="2"/>
    <x v="5"/>
    <n v="5"/>
    <n v="2"/>
    <n v="9"/>
    <s v="Normal"/>
    <s v="Detractor"/>
    <m/>
  </r>
  <r>
    <s v="L1696"/>
    <x v="1"/>
    <s v="Warm"/>
    <d v="2025-10-21T00:00:00"/>
    <d v="2025-10-25T00:00:00"/>
    <d v="2025-10-29T00:00:00"/>
    <d v="2025-11-02T00:00:00"/>
    <s v="No"/>
    <s v="Nan"/>
    <d v="2025-11-18T00:00:00"/>
    <n v="4"/>
    <x v="0"/>
    <n v="4"/>
    <n v="9"/>
    <n v="12"/>
    <s v="Normal"/>
    <s v="Promoter"/>
    <m/>
  </r>
  <r>
    <s v="L1697"/>
    <x v="3"/>
    <s v="Cold"/>
    <d v="2025-10-02T00:00:00"/>
    <m/>
    <m/>
    <m/>
    <s v="Yes"/>
    <s v="Price"/>
    <m/>
    <s v=""/>
    <x v="2"/>
    <s v=""/>
    <m/>
    <m/>
    <s v="Normal"/>
    <s v="Detractor"/>
    <m/>
  </r>
  <r>
    <s v="L1698"/>
    <x v="1"/>
    <s v="Cold"/>
    <d v="2025-10-10T00:00:00"/>
    <m/>
    <m/>
    <m/>
    <s v="Yes"/>
    <s v="Price"/>
    <m/>
    <s v=""/>
    <x v="2"/>
    <s v=""/>
    <m/>
    <m/>
    <s v="Normal"/>
    <s v="Detractor"/>
    <m/>
  </r>
  <r>
    <s v="L1699"/>
    <x v="0"/>
    <s v="Hot"/>
    <d v="2025-10-26T00:00:00"/>
    <d v="2025-10-31T00:00:00"/>
    <d v="2025-11-01T00:00:00"/>
    <d v="2025-11-07T00:00:00"/>
    <s v="No"/>
    <s v="Nan"/>
    <d v="2025-11-27T00:00:00"/>
    <n v="5"/>
    <x v="4"/>
    <n v="6"/>
    <n v="7"/>
    <n v="12"/>
    <s v="Normal"/>
    <s v="Passive"/>
    <m/>
  </r>
  <r>
    <s v="L1700"/>
    <x v="0"/>
    <s v="Cold"/>
    <d v="2025-10-15T00:00:00"/>
    <m/>
    <m/>
    <m/>
    <s v="Yes"/>
    <s v="Financing Issue"/>
    <m/>
    <s v=""/>
    <x v="2"/>
    <s v=""/>
    <m/>
    <m/>
    <s v="Normal"/>
    <s v="Detractor"/>
    <m/>
  </r>
  <r>
    <s v="L1701"/>
    <x v="0"/>
    <s v="Hot"/>
    <d v="2025-10-02T00:00:00"/>
    <d v="2025-10-06T00:00:00"/>
    <d v="2025-10-09T00:00:00"/>
    <d v="2025-10-14T00:00:00"/>
    <s v="No"/>
    <s v="Nan"/>
    <d v="2025-11-06T00:00:00"/>
    <n v="4"/>
    <x v="3"/>
    <n v="5"/>
    <n v="9"/>
    <n v="12"/>
    <s v="Normal"/>
    <s v="Promoter"/>
    <m/>
  </r>
  <r>
    <s v="L1702"/>
    <x v="0"/>
    <s v="Hot"/>
    <d v="2025-10-19T00:00:00"/>
    <d v="2025-10-24T00:00:00"/>
    <d v="2025-10-26T00:00:00"/>
    <d v="2025-10-29T00:00:00"/>
    <s v="Yes"/>
    <s v="Others"/>
    <m/>
    <n v="5"/>
    <x v="5"/>
    <n v="3"/>
    <m/>
    <n v="10"/>
    <s v="Normal"/>
    <s v="Detractor"/>
    <m/>
  </r>
  <r>
    <s v="L1703"/>
    <x v="1"/>
    <s v="Warm"/>
    <d v="2025-10-12T00:00:00"/>
    <d v="2025-10-13T00:00:00"/>
    <d v="2025-10-18T00:00:00"/>
    <d v="2025-10-25T00:00:00"/>
    <s v="No"/>
    <s v="Nan"/>
    <d v="2025-11-22T00:00:00"/>
    <n v="1"/>
    <x v="1"/>
    <n v="7"/>
    <n v="2"/>
    <n v="13"/>
    <s v="Normal"/>
    <s v="Detractor"/>
    <m/>
  </r>
  <r>
    <s v="L1704"/>
    <x v="3"/>
    <s v="Warm"/>
    <d v="2025-10-24T00:00:00"/>
    <d v="2025-10-27T00:00:00"/>
    <d v="2025-10-29T00:00:00"/>
    <d v="2025-11-04T00:00:00"/>
    <s v="No"/>
    <s v="Nan"/>
    <d v="2025-11-28T00:00:00"/>
    <n v="3"/>
    <x v="5"/>
    <n v="6"/>
    <n v="9"/>
    <n v="11"/>
    <s v="Normal"/>
    <s v="Promoter"/>
    <m/>
  </r>
  <r>
    <s v="L1705"/>
    <x v="3"/>
    <s v="Warm"/>
    <d v="2025-10-05T00:00:00"/>
    <d v="2025-10-08T00:00:00"/>
    <d v="2025-10-13T00:00:00"/>
    <d v="2025-10-16T00:00:00"/>
    <s v="No"/>
    <s v="Nan"/>
    <d v="2025-10-30T00:00:00"/>
    <n v="3"/>
    <x v="1"/>
    <n v="3"/>
    <n v="2"/>
    <n v="11"/>
    <s v="Normal"/>
    <s v="Detractor"/>
    <m/>
  </r>
  <r>
    <s v="L1706"/>
    <x v="2"/>
    <s v="Warm"/>
    <d v="2025-10-03T00:00:00"/>
    <d v="2025-10-07T00:00:00"/>
    <d v="2025-10-11T00:00:00"/>
    <d v="2025-10-14T00:00:00"/>
    <s v="No"/>
    <s v="Nan"/>
    <d v="2025-11-03T00:00:00"/>
    <n v="4"/>
    <x v="0"/>
    <n v="3"/>
    <n v="6"/>
    <n v="11"/>
    <s v="Normal"/>
    <s v="Detractor"/>
    <m/>
  </r>
  <r>
    <s v="L1707"/>
    <x v="1"/>
    <s v="Hot"/>
    <d v="2025-10-30T00:00:00"/>
    <d v="2025-11-01T00:00:00"/>
    <d v="2025-11-06T00:00:00"/>
    <d v="2025-11-08T00:00:00"/>
    <s v="Yes"/>
    <s v="Changed Mind"/>
    <m/>
    <n v="2"/>
    <x v="1"/>
    <n v="2"/>
    <m/>
    <n v="9"/>
    <s v="Normal"/>
    <s v="Detractor"/>
    <m/>
  </r>
  <r>
    <s v="L1708"/>
    <x v="0"/>
    <s v="Hot"/>
    <d v="2025-10-10T00:00:00"/>
    <d v="2025-10-15T00:00:00"/>
    <d v="2025-10-18T00:00:00"/>
    <d v="2025-10-23T00:00:00"/>
    <s v="No"/>
    <s v="Nan"/>
    <d v="2025-11-07T00:00:00"/>
    <n v="5"/>
    <x v="3"/>
    <n v="5"/>
    <n v="2"/>
    <n v="13"/>
    <s v="Normal"/>
    <s v="Detractor"/>
    <m/>
  </r>
  <r>
    <s v="L1709"/>
    <x v="1"/>
    <s v="Warm"/>
    <d v="2025-10-11T00:00:00"/>
    <d v="2025-10-14T00:00:00"/>
    <d v="2025-10-18T00:00:00"/>
    <d v="2025-10-20T00:00:00"/>
    <s v="No"/>
    <s v="Nan"/>
    <d v="2025-11-01T00:00:00"/>
    <n v="3"/>
    <x v="0"/>
    <n v="2"/>
    <n v="6"/>
    <n v="9"/>
    <s v="Normal"/>
    <s v="Detractor"/>
    <m/>
  </r>
  <r>
    <s v="L1710"/>
    <x v="2"/>
    <s v="Warm"/>
    <d v="2025-10-24T00:00:00"/>
    <d v="2025-10-28T00:00:00"/>
    <d v="2025-10-30T00:00:00"/>
    <d v="2025-11-02T00:00:00"/>
    <s v="No"/>
    <s v="Nan"/>
    <d v="2025-11-27T00:00:00"/>
    <n v="4"/>
    <x v="5"/>
    <n v="3"/>
    <n v="8"/>
    <n v="9"/>
    <s v="Normal"/>
    <s v="Passive"/>
    <m/>
  </r>
  <r>
    <s v="L1711"/>
    <x v="2"/>
    <s v="Warm"/>
    <d v="2025-10-14T00:00:00"/>
    <d v="2025-10-16T00:00:00"/>
    <d v="2025-10-17T00:00:00"/>
    <d v="2025-10-23T00:00:00"/>
    <s v="No"/>
    <s v="Nan"/>
    <d v="2025-11-12T00:00:00"/>
    <n v="2"/>
    <x v="4"/>
    <n v="6"/>
    <n v="2"/>
    <n v="9"/>
    <s v="Normal"/>
    <s v="Detractor"/>
    <m/>
  </r>
  <r>
    <s v="L1712"/>
    <x v="1"/>
    <s v="Hot"/>
    <d v="2025-10-06T00:00:00"/>
    <d v="2025-10-07T00:00:00"/>
    <d v="2025-10-12T00:00:00"/>
    <d v="2025-10-16T00:00:00"/>
    <s v="No"/>
    <s v="Nan"/>
    <d v="2025-11-15T00:00:00"/>
    <n v="1"/>
    <x v="1"/>
    <n v="4"/>
    <n v="5"/>
    <n v="10"/>
    <s v="Normal"/>
    <s v="Detractor"/>
    <m/>
  </r>
  <r>
    <s v="L1713"/>
    <x v="1"/>
    <s v="Warm"/>
    <d v="2025-10-07T00:00:00"/>
    <d v="2025-10-09T00:00:00"/>
    <d v="2025-10-12T00:00:00"/>
    <d v="2025-10-19T00:00:00"/>
    <s v="No"/>
    <s v="Nan"/>
    <d v="2025-11-03T00:00:00"/>
    <n v="2"/>
    <x v="3"/>
    <n v="7"/>
    <n v="8"/>
    <n v="12"/>
    <s v="Normal"/>
    <s v="Passive"/>
    <m/>
  </r>
  <r>
    <s v="L1714"/>
    <x v="1"/>
    <s v="Hot"/>
    <d v="2025-10-05T00:00:00"/>
    <d v="2025-10-06T00:00:00"/>
    <d v="2025-10-07T00:00:00"/>
    <d v="2025-10-14T00:00:00"/>
    <s v="No"/>
    <s v="Nan"/>
    <d v="2025-11-03T00:00:00"/>
    <n v="1"/>
    <x v="4"/>
    <n v="7"/>
    <n v="7"/>
    <n v="9"/>
    <s v="Normal"/>
    <s v="Passive"/>
    <m/>
  </r>
  <r>
    <s v="L1715"/>
    <x v="3"/>
    <s v="Hot"/>
    <d v="2025-10-26T00:00:00"/>
    <d v="2025-10-30T00:00:00"/>
    <d v="2025-10-31T00:00:00"/>
    <d v="2025-11-02T00:00:00"/>
    <s v="No"/>
    <s v="Nan"/>
    <d v="2025-12-02T00:00:00"/>
    <n v="4"/>
    <x v="4"/>
    <n v="2"/>
    <n v="7"/>
    <n v="7"/>
    <s v="Normal"/>
    <s v="Passive"/>
    <m/>
  </r>
  <r>
    <s v="L1716"/>
    <x v="0"/>
    <s v="Warm"/>
    <d v="2025-10-18T00:00:00"/>
    <d v="2025-10-20T00:00:00"/>
    <d v="2025-10-24T00:00:00"/>
    <d v="2025-10-28T00:00:00"/>
    <s v="No"/>
    <s v="Nan"/>
    <d v="2025-11-08T00:00:00"/>
    <n v="2"/>
    <x v="0"/>
    <n v="4"/>
    <n v="9"/>
    <n v="10"/>
    <s v="Normal"/>
    <s v="Promoter"/>
    <m/>
  </r>
  <r>
    <s v="L1717"/>
    <x v="1"/>
    <s v="Hot"/>
    <d v="2025-10-29T00:00:00"/>
    <d v="2025-11-02T00:00:00"/>
    <d v="2025-11-04T00:00:00"/>
    <d v="2025-11-06T00:00:00"/>
    <s v="No"/>
    <s v="Nan"/>
    <d v="2025-11-16T00:00:00"/>
    <n v="4"/>
    <x v="5"/>
    <n v="2"/>
    <n v="7"/>
    <n v="8"/>
    <s v="Normal"/>
    <s v="Passive"/>
    <m/>
  </r>
  <r>
    <s v="L1718"/>
    <x v="1"/>
    <s v="Hot"/>
    <d v="2025-10-12T00:00:00"/>
    <d v="2025-10-13T00:00:00"/>
    <d v="2025-10-14T00:00:00"/>
    <d v="2025-10-21T00:00:00"/>
    <s v="No"/>
    <s v="Nan"/>
    <d v="2025-11-14T00:00:00"/>
    <n v="1"/>
    <x v="4"/>
    <n v="7"/>
    <n v="2"/>
    <n v="9"/>
    <s v="Normal"/>
    <s v="Detractor"/>
    <m/>
  </r>
  <r>
    <s v="L1719"/>
    <x v="1"/>
    <s v="Warm"/>
    <d v="2025-10-17T00:00:00"/>
    <d v="2025-10-20T00:00:00"/>
    <d v="2025-10-23T00:00:00"/>
    <d v="2025-10-28T00:00:00"/>
    <s v="No"/>
    <s v="Nan"/>
    <d v="2025-11-15T00:00:00"/>
    <n v="3"/>
    <x v="3"/>
    <n v="5"/>
    <n v="7"/>
    <n v="11"/>
    <s v="Normal"/>
    <s v="Passive"/>
    <m/>
  </r>
  <r>
    <s v="L1720"/>
    <x v="2"/>
    <s v="Warm"/>
    <d v="2025-10-17T00:00:00"/>
    <d v="2025-10-20T00:00:00"/>
    <d v="2025-10-25T00:00:00"/>
    <d v="2025-11-01T00:00:00"/>
    <s v="No"/>
    <s v="Nan"/>
    <d v="2025-11-17T00:00:00"/>
    <n v="3"/>
    <x v="1"/>
    <n v="7"/>
    <n v="4"/>
    <n v="15"/>
    <s v="Normal"/>
    <s v="Detractor"/>
    <m/>
  </r>
  <r>
    <s v="L1721"/>
    <x v="2"/>
    <s v="Warm"/>
    <d v="2025-10-30T00:00:00"/>
    <d v="2025-10-31T00:00:00"/>
    <d v="2025-11-05T00:00:00"/>
    <d v="2025-11-12T00:00:00"/>
    <s v="No"/>
    <s v="Nan"/>
    <d v="2025-11-27T00:00:00"/>
    <n v="1"/>
    <x v="1"/>
    <n v="7"/>
    <n v="6"/>
    <n v="13"/>
    <s v="Normal"/>
    <s v="Detractor"/>
    <m/>
  </r>
  <r>
    <s v="L1722"/>
    <x v="3"/>
    <s v="Hot"/>
    <d v="2025-10-09T00:00:00"/>
    <d v="2025-10-14T00:00:00"/>
    <d v="2025-10-19T00:00:00"/>
    <d v="2025-10-23T00:00:00"/>
    <s v="No"/>
    <s v="Nan"/>
    <d v="2025-11-20T00:00:00"/>
    <n v="5"/>
    <x v="1"/>
    <n v="4"/>
    <n v="3"/>
    <n v="14"/>
    <s v="Normal"/>
    <s v="Detractor"/>
    <m/>
  </r>
  <r>
    <s v="L1723"/>
    <x v="0"/>
    <s v="Hot"/>
    <d v="2025-10-27T00:00:00"/>
    <d v="2025-11-01T00:00:00"/>
    <d v="2025-11-05T00:00:00"/>
    <d v="2025-11-07T00:00:00"/>
    <s v="No"/>
    <s v="Nan"/>
    <d v="2025-11-22T00:00:00"/>
    <n v="5"/>
    <x v="0"/>
    <n v="2"/>
    <n v="4"/>
    <n v="11"/>
    <s v="Normal"/>
    <s v="Detractor"/>
    <m/>
  </r>
  <r>
    <s v="L1724"/>
    <x v="3"/>
    <s v="Hot"/>
    <d v="2025-10-06T00:00:00"/>
    <d v="2025-10-09T00:00:00"/>
    <d v="2025-10-12T00:00:00"/>
    <d v="2025-10-15T00:00:00"/>
    <s v="No"/>
    <s v="Nan"/>
    <d v="2025-11-09T00:00:00"/>
    <n v="3"/>
    <x v="3"/>
    <n v="3"/>
    <n v="10"/>
    <n v="9"/>
    <s v="Normal"/>
    <s v="Promoter"/>
    <m/>
  </r>
  <r>
    <s v="L1725"/>
    <x v="0"/>
    <s v="Hot"/>
    <d v="2025-10-09T00:00:00"/>
    <d v="2025-10-12T00:00:00"/>
    <d v="2025-10-13T00:00:00"/>
    <d v="2025-10-19T00:00:00"/>
    <s v="No"/>
    <s v="Nan"/>
    <d v="2025-10-31T00:00:00"/>
    <n v="3"/>
    <x v="4"/>
    <n v="6"/>
    <n v="8"/>
    <n v="10"/>
    <s v="Normal"/>
    <s v="Passive"/>
    <m/>
  </r>
  <r>
    <s v="L1726"/>
    <x v="2"/>
    <s v="Warm"/>
    <d v="2025-10-30T00:00:00"/>
    <d v="2025-11-01T00:00:00"/>
    <d v="2025-11-04T00:00:00"/>
    <d v="2025-11-07T00:00:00"/>
    <s v="No"/>
    <s v="Nan"/>
    <d v="2025-11-21T00:00:00"/>
    <n v="2"/>
    <x v="3"/>
    <n v="3"/>
    <n v="10"/>
    <n v="8"/>
    <s v="Normal"/>
    <s v="Promoter"/>
    <m/>
  </r>
  <r>
    <s v="L1727"/>
    <x v="2"/>
    <s v="Cold"/>
    <d v="2025-10-27T00:00:00"/>
    <m/>
    <m/>
    <m/>
    <s v="Yes"/>
    <s v="Changed Mind"/>
    <m/>
    <s v=""/>
    <x v="2"/>
    <s v=""/>
    <m/>
    <m/>
    <s v="Normal"/>
    <s v="Detractor"/>
    <m/>
  </r>
  <r>
    <s v="L1728"/>
    <x v="2"/>
    <s v="Warm"/>
    <d v="2025-10-31T00:00:00"/>
    <d v="2025-11-02T00:00:00"/>
    <d v="2025-11-06T00:00:00"/>
    <d v="2025-11-11T00:00:00"/>
    <s v="No"/>
    <s v="Nan"/>
    <d v="2025-12-10T00:00:00"/>
    <n v="2"/>
    <x v="0"/>
    <n v="5"/>
    <n v="3"/>
    <n v="11"/>
    <s v="Normal"/>
    <s v="Detractor"/>
    <m/>
  </r>
  <r>
    <s v="L1729"/>
    <x v="3"/>
    <s v="Warm"/>
    <d v="2025-10-16T00:00:00"/>
    <d v="2025-10-19T00:00:00"/>
    <d v="2025-10-23T00:00:00"/>
    <d v="2025-10-28T00:00:00"/>
    <s v="No"/>
    <s v="Nan"/>
    <d v="2025-11-20T00:00:00"/>
    <n v="3"/>
    <x v="0"/>
    <n v="5"/>
    <n v="9"/>
    <n v="12"/>
    <s v="Normal"/>
    <s v="Promoter"/>
    <m/>
  </r>
  <r>
    <s v="L1730"/>
    <x v="1"/>
    <s v="Warm"/>
    <d v="2025-10-31T00:00:00"/>
    <d v="2025-11-05T00:00:00"/>
    <d v="2025-11-07T00:00:00"/>
    <d v="2025-11-09T00:00:00"/>
    <s v="No"/>
    <s v="Nan"/>
    <d v="2025-12-09T00:00:00"/>
    <n v="5"/>
    <x v="5"/>
    <n v="2"/>
    <n v="1"/>
    <n v="9"/>
    <s v="Normal"/>
    <s v="Detractor"/>
    <m/>
  </r>
  <r>
    <s v="L1731"/>
    <x v="1"/>
    <s v="Warm"/>
    <d v="2025-10-26T00:00:00"/>
    <d v="2025-10-28T00:00:00"/>
    <d v="2025-10-31T00:00:00"/>
    <d v="2025-11-03T00:00:00"/>
    <s v="No"/>
    <s v="Nan"/>
    <d v="2025-11-26T00:00:00"/>
    <n v="2"/>
    <x v="3"/>
    <n v="3"/>
    <n v="8"/>
    <n v="8"/>
    <s v="Normal"/>
    <s v="Passive"/>
    <m/>
  </r>
  <r>
    <s v="L1732"/>
    <x v="2"/>
    <s v="Warm"/>
    <d v="2025-10-10T00:00:00"/>
    <d v="2025-10-11T00:00:00"/>
    <d v="2025-10-16T00:00:00"/>
    <d v="2025-10-23T00:00:00"/>
    <s v="No"/>
    <s v="Nan"/>
    <d v="2025-11-14T00:00:00"/>
    <n v="1"/>
    <x v="1"/>
    <n v="7"/>
    <n v="6"/>
    <n v="13"/>
    <s v="Normal"/>
    <s v="Detractor"/>
    <m/>
  </r>
  <r>
    <s v="L1733"/>
    <x v="1"/>
    <s v="Warm"/>
    <d v="2025-10-24T00:00:00"/>
    <d v="2025-10-26T00:00:00"/>
    <d v="2025-10-30T00:00:00"/>
    <d v="2025-11-03T00:00:00"/>
    <s v="No"/>
    <s v="Nan"/>
    <d v="2025-11-26T00:00:00"/>
    <n v="2"/>
    <x v="0"/>
    <n v="4"/>
    <n v="4"/>
    <n v="10"/>
    <s v="Normal"/>
    <s v="Detractor"/>
    <m/>
  </r>
  <r>
    <s v="L1734"/>
    <x v="1"/>
    <s v="Warm"/>
    <d v="2025-10-28T00:00:00"/>
    <d v="2025-10-30T00:00:00"/>
    <d v="2025-11-03T00:00:00"/>
    <d v="2025-11-05T00:00:00"/>
    <s v="No"/>
    <s v="Nan"/>
    <d v="2025-11-30T00:00:00"/>
    <n v="2"/>
    <x v="0"/>
    <n v="2"/>
    <n v="4"/>
    <n v="8"/>
    <s v="Normal"/>
    <s v="Detractor"/>
    <m/>
  </r>
  <r>
    <s v="L1735"/>
    <x v="3"/>
    <s v="Hot"/>
    <d v="2025-10-11T00:00:00"/>
    <d v="2025-10-13T00:00:00"/>
    <d v="2025-10-15T00:00:00"/>
    <d v="2025-10-17T00:00:00"/>
    <s v="No"/>
    <s v="Nan"/>
    <d v="2025-11-08T00:00:00"/>
    <n v="2"/>
    <x v="5"/>
    <n v="2"/>
    <n v="9"/>
    <n v="6"/>
    <s v="High"/>
    <s v="Promoter"/>
    <m/>
  </r>
  <r>
    <s v="L1736"/>
    <x v="0"/>
    <s v="Warm"/>
    <d v="2025-10-26T00:00:00"/>
    <d v="2025-10-30T00:00:00"/>
    <d v="2025-11-04T00:00:00"/>
    <d v="2025-11-07T00:00:00"/>
    <s v="No"/>
    <s v="Nan"/>
    <d v="2025-11-17T00:00:00"/>
    <n v="4"/>
    <x v="1"/>
    <n v="3"/>
    <n v="0"/>
    <n v="12"/>
    <s v="Normal"/>
    <s v="Detractor"/>
    <m/>
  </r>
  <r>
    <s v="L1737"/>
    <x v="2"/>
    <s v="Cold"/>
    <d v="2025-10-04T00:00:00"/>
    <m/>
    <m/>
    <m/>
    <s v="Yes"/>
    <s v="Others"/>
    <m/>
    <s v=""/>
    <x v="2"/>
    <s v=""/>
    <m/>
    <m/>
    <s v="Normal"/>
    <s v="Detractor"/>
    <m/>
  </r>
  <r>
    <s v="L1738"/>
    <x v="2"/>
    <s v="Hot"/>
    <d v="2025-10-15T00:00:00"/>
    <d v="2025-10-16T00:00:00"/>
    <d v="2025-10-20T00:00:00"/>
    <d v="2025-10-26T00:00:00"/>
    <s v="No"/>
    <s v="Nan"/>
    <d v="2025-11-06T00:00:00"/>
    <n v="1"/>
    <x v="0"/>
    <n v="6"/>
    <n v="7"/>
    <n v="11"/>
    <s v="Normal"/>
    <s v="Passive"/>
    <m/>
  </r>
  <r>
    <s v="L1739"/>
    <x v="3"/>
    <s v="Hot"/>
    <d v="2025-10-31T00:00:00"/>
    <d v="2025-11-03T00:00:00"/>
    <d v="2025-11-04T00:00:00"/>
    <d v="2025-11-09T00:00:00"/>
    <s v="No"/>
    <s v="Nan"/>
    <d v="2025-12-06T00:00:00"/>
    <n v="3"/>
    <x v="4"/>
    <n v="5"/>
    <n v="7"/>
    <n v="9"/>
    <s v="Normal"/>
    <s v="Passive"/>
    <m/>
  </r>
  <r>
    <s v="L1740"/>
    <x v="3"/>
    <s v="Warm"/>
    <d v="2025-10-03T00:00:00"/>
    <d v="2025-10-08T00:00:00"/>
    <d v="2025-10-13T00:00:00"/>
    <d v="2025-10-20T00:00:00"/>
    <s v="No"/>
    <s v="Nan"/>
    <d v="2025-11-05T00:00:00"/>
    <n v="5"/>
    <x v="1"/>
    <n v="7"/>
    <n v="1"/>
    <n v="17"/>
    <s v="Normal"/>
    <s v="Detractor"/>
    <m/>
  </r>
  <r>
    <s v="L1741"/>
    <x v="1"/>
    <s v="Warm"/>
    <d v="2025-10-05T00:00:00"/>
    <d v="2025-10-10T00:00:00"/>
    <d v="2025-10-13T00:00:00"/>
    <d v="2025-10-17T00:00:00"/>
    <s v="No"/>
    <s v="Nan"/>
    <d v="2025-11-07T00:00:00"/>
    <n v="5"/>
    <x v="3"/>
    <n v="4"/>
    <n v="2"/>
    <n v="12"/>
    <s v="Normal"/>
    <s v="Detractor"/>
    <m/>
  </r>
  <r>
    <s v="L1742"/>
    <x v="2"/>
    <s v="Warm"/>
    <d v="2025-10-25T00:00:00"/>
    <d v="2025-10-28T00:00:00"/>
    <d v="2025-10-30T00:00:00"/>
    <d v="2025-11-04T00:00:00"/>
    <s v="No"/>
    <s v="Nan"/>
    <d v="2025-11-14T00:00:00"/>
    <n v="3"/>
    <x v="5"/>
    <n v="5"/>
    <n v="2"/>
    <n v="10"/>
    <s v="Normal"/>
    <s v="Detractor"/>
    <m/>
  </r>
  <r>
    <s v="L1743"/>
    <x v="0"/>
    <s v="Warm"/>
    <d v="2025-10-31T00:00:00"/>
    <d v="2025-11-04T00:00:00"/>
    <d v="2025-11-05T00:00:00"/>
    <d v="2025-11-12T00:00:00"/>
    <s v="No"/>
    <s v="Nan"/>
    <d v="2025-12-02T00:00:00"/>
    <n v="4"/>
    <x v="4"/>
    <n v="7"/>
    <n v="1"/>
    <n v="12"/>
    <s v="Normal"/>
    <s v="Detractor"/>
    <m/>
  </r>
  <r>
    <s v="L1744"/>
    <x v="3"/>
    <s v="Hot"/>
    <d v="2025-10-08T00:00:00"/>
    <d v="2025-10-13T00:00:00"/>
    <d v="2025-10-14T00:00:00"/>
    <d v="2025-10-16T00:00:00"/>
    <s v="No"/>
    <s v="Nan"/>
    <d v="2025-11-11T00:00:00"/>
    <n v="5"/>
    <x v="4"/>
    <n v="2"/>
    <n v="5"/>
    <n v="8"/>
    <s v="Normal"/>
    <s v="Detractor"/>
    <m/>
  </r>
  <r>
    <s v="L1745"/>
    <x v="0"/>
    <s v="Warm"/>
    <d v="2025-10-28T00:00:00"/>
    <d v="2025-10-30T00:00:00"/>
    <d v="2025-11-02T00:00:00"/>
    <d v="2025-11-08T00:00:00"/>
    <s v="No"/>
    <s v="Nan"/>
    <d v="2025-11-24T00:00:00"/>
    <n v="2"/>
    <x v="3"/>
    <n v="6"/>
    <n v="9"/>
    <n v="11"/>
    <s v="Normal"/>
    <s v="Promoter"/>
    <m/>
  </r>
  <r>
    <s v="L1746"/>
    <x v="0"/>
    <s v="Warm"/>
    <d v="2025-10-22T00:00:00"/>
    <d v="2025-10-27T00:00:00"/>
    <d v="2025-10-29T00:00:00"/>
    <d v="2025-10-31T00:00:00"/>
    <s v="Yes"/>
    <s v="Price"/>
    <m/>
    <n v="5"/>
    <x v="5"/>
    <n v="2"/>
    <m/>
    <n v="9"/>
    <s v="Normal"/>
    <s v="Detractor"/>
    <m/>
  </r>
  <r>
    <s v="L1747"/>
    <x v="2"/>
    <s v="Cold"/>
    <d v="2025-10-24T00:00:00"/>
    <m/>
    <m/>
    <m/>
    <s v="Yes"/>
    <s v="Financing Issue"/>
    <m/>
    <s v=""/>
    <x v="2"/>
    <s v=""/>
    <m/>
    <m/>
    <s v="Normal"/>
    <s v="Detractor"/>
    <m/>
  </r>
  <r>
    <s v="L1748"/>
    <x v="2"/>
    <s v="Warm"/>
    <d v="2025-10-22T00:00:00"/>
    <d v="2025-10-23T00:00:00"/>
    <d v="2025-10-27T00:00:00"/>
    <d v="2025-11-02T00:00:00"/>
    <s v="No"/>
    <s v="Nan"/>
    <d v="2025-11-12T00:00:00"/>
    <n v="1"/>
    <x v="0"/>
    <n v="6"/>
    <n v="7"/>
    <n v="11"/>
    <s v="Normal"/>
    <s v="Passive"/>
    <m/>
  </r>
  <r>
    <s v="L1749"/>
    <x v="3"/>
    <s v="Hot"/>
    <d v="2025-10-13T00:00:00"/>
    <d v="2025-10-14T00:00:00"/>
    <d v="2025-10-16T00:00:00"/>
    <d v="2025-10-19T00:00:00"/>
    <s v="No"/>
    <s v="Nan"/>
    <d v="2025-10-29T00:00:00"/>
    <n v="1"/>
    <x v="5"/>
    <n v="3"/>
    <n v="0"/>
    <n v="6"/>
    <s v="Normal"/>
    <s v="Detractor"/>
    <m/>
  </r>
  <r>
    <s v="L1750"/>
    <x v="2"/>
    <s v="Hot"/>
    <d v="2025-10-31T00:00:00"/>
    <d v="2025-11-03T00:00:00"/>
    <d v="2025-11-07T00:00:00"/>
    <d v="2025-11-14T00:00:00"/>
    <s v="No"/>
    <s v="Nan"/>
    <d v="2025-12-14T00:00:00"/>
    <n v="3"/>
    <x v="0"/>
    <n v="7"/>
    <n v="7"/>
    <n v="14"/>
    <s v="Normal"/>
    <s v="Passive"/>
    <m/>
  </r>
  <r>
    <s v="L1751"/>
    <x v="2"/>
    <s v="Hot"/>
    <d v="2025-10-28T00:00:00"/>
    <d v="2025-11-01T00:00:00"/>
    <d v="2025-11-04T00:00:00"/>
    <d v="2025-11-09T00:00:00"/>
    <s v="No"/>
    <s v="Nan"/>
    <d v="2025-11-26T00:00:00"/>
    <n v="4"/>
    <x v="3"/>
    <n v="5"/>
    <n v="4"/>
    <n v="12"/>
    <s v="Normal"/>
    <s v="Detractor"/>
    <m/>
  </r>
  <r>
    <s v="L1752"/>
    <x v="2"/>
    <s v="Warm"/>
    <d v="2025-10-26T00:00:00"/>
    <d v="2025-10-30T00:00:00"/>
    <d v="2025-11-02T00:00:00"/>
    <d v="2025-11-04T00:00:00"/>
    <s v="No"/>
    <s v="Nan"/>
    <d v="2025-11-21T00:00:00"/>
    <n v="4"/>
    <x v="3"/>
    <n v="2"/>
    <n v="4"/>
    <n v="9"/>
    <s v="Normal"/>
    <s v="Detractor"/>
    <m/>
  </r>
  <r>
    <s v="L1753"/>
    <x v="0"/>
    <s v="Hot"/>
    <d v="2025-10-18T00:00:00"/>
    <d v="2025-10-23T00:00:00"/>
    <d v="2025-10-24T00:00:00"/>
    <d v="2025-10-30T00:00:00"/>
    <s v="No"/>
    <s v="Nan"/>
    <d v="2025-11-20T00:00:00"/>
    <n v="5"/>
    <x v="4"/>
    <n v="6"/>
    <n v="9"/>
    <n v="12"/>
    <s v="Normal"/>
    <s v="Promoter"/>
    <m/>
  </r>
  <r>
    <s v="L1754"/>
    <x v="3"/>
    <s v="Warm"/>
    <d v="2025-10-12T00:00:00"/>
    <d v="2025-10-16T00:00:00"/>
    <d v="2025-10-17T00:00:00"/>
    <d v="2025-10-23T00:00:00"/>
    <s v="No"/>
    <s v="Nan"/>
    <d v="2025-11-11T00:00:00"/>
    <n v="4"/>
    <x v="4"/>
    <n v="6"/>
    <n v="6"/>
    <n v="11"/>
    <s v="Normal"/>
    <s v="Detractor"/>
    <m/>
  </r>
  <r>
    <s v="L1755"/>
    <x v="1"/>
    <s v="Warm"/>
    <d v="2025-10-03T00:00:00"/>
    <d v="2025-10-07T00:00:00"/>
    <d v="2025-10-08T00:00:00"/>
    <d v="2025-10-10T00:00:00"/>
    <s v="No"/>
    <s v="Nan"/>
    <d v="2025-10-24T00:00:00"/>
    <n v="4"/>
    <x v="4"/>
    <n v="2"/>
    <n v="5"/>
    <n v="7"/>
    <s v="Normal"/>
    <s v="Detractor"/>
    <m/>
  </r>
  <r>
    <s v="L1756"/>
    <x v="0"/>
    <s v="Hot"/>
    <d v="2025-10-26T00:00:00"/>
    <d v="2025-10-31T00:00:00"/>
    <d v="2025-11-03T00:00:00"/>
    <d v="2025-11-08T00:00:00"/>
    <s v="No"/>
    <s v="Nan"/>
    <d v="2025-11-21T00:00:00"/>
    <n v="5"/>
    <x v="3"/>
    <n v="5"/>
    <n v="7"/>
    <n v="13"/>
    <s v="Normal"/>
    <s v="Passive"/>
    <m/>
  </r>
  <r>
    <s v="L1757"/>
    <x v="2"/>
    <s v="Hot"/>
    <d v="2025-10-13T00:00:00"/>
    <d v="2025-10-14T00:00:00"/>
    <d v="2025-10-18T00:00:00"/>
    <d v="2025-10-25T00:00:00"/>
    <s v="No"/>
    <s v="Nan"/>
    <d v="2025-11-16T00:00:00"/>
    <n v="1"/>
    <x v="0"/>
    <n v="7"/>
    <n v="6"/>
    <n v="12"/>
    <s v="Normal"/>
    <s v="Detractor"/>
    <m/>
  </r>
  <r>
    <s v="L1758"/>
    <x v="0"/>
    <s v="Hot"/>
    <d v="2025-10-01T00:00:00"/>
    <d v="2025-10-03T00:00:00"/>
    <d v="2025-10-06T00:00:00"/>
    <d v="2025-10-09T00:00:00"/>
    <s v="No"/>
    <s v="Nan"/>
    <d v="2025-11-04T00:00:00"/>
    <n v="2"/>
    <x v="3"/>
    <n v="3"/>
    <n v="6"/>
    <n v="8"/>
    <s v="Normal"/>
    <s v="Detractor"/>
    <m/>
  </r>
  <r>
    <s v="L1759"/>
    <x v="2"/>
    <s v="Cold"/>
    <d v="2025-10-09T00:00:00"/>
    <m/>
    <m/>
    <m/>
    <s v="Yes"/>
    <s v="Financing Issue"/>
    <m/>
    <s v=""/>
    <x v="2"/>
    <s v=""/>
    <m/>
    <m/>
    <s v="Normal"/>
    <s v="Detractor"/>
    <m/>
  </r>
  <r>
    <s v="L1760"/>
    <x v="2"/>
    <s v="Hot"/>
    <d v="2025-10-18T00:00:00"/>
    <d v="2025-10-21T00:00:00"/>
    <d v="2025-10-24T00:00:00"/>
    <d v="2025-10-27T00:00:00"/>
    <s v="No"/>
    <s v="Nan"/>
    <d v="2025-11-24T00:00:00"/>
    <n v="3"/>
    <x v="3"/>
    <n v="3"/>
    <n v="2"/>
    <n v="9"/>
    <s v="Normal"/>
    <s v="Detractor"/>
    <m/>
  </r>
  <r>
    <s v="L1761"/>
    <x v="0"/>
    <s v="Warm"/>
    <d v="2025-10-04T00:00:00"/>
    <d v="2025-10-05T00:00:00"/>
    <d v="2025-10-06T00:00:00"/>
    <d v="2025-10-10T00:00:00"/>
    <s v="No"/>
    <s v="Nan"/>
    <d v="2025-10-29T00:00:00"/>
    <n v="1"/>
    <x v="4"/>
    <n v="4"/>
    <n v="8"/>
    <n v="6"/>
    <s v="Normal"/>
    <s v="Passive"/>
    <m/>
  </r>
  <r>
    <s v="L1762"/>
    <x v="3"/>
    <s v="Cold"/>
    <d v="2025-10-15T00:00:00"/>
    <m/>
    <m/>
    <m/>
    <s v="Yes"/>
    <s v="Changed Mind"/>
    <m/>
    <s v=""/>
    <x v="2"/>
    <s v=""/>
    <m/>
    <m/>
    <s v="Normal"/>
    <s v="Detractor"/>
    <m/>
  </r>
  <r>
    <s v="L1763"/>
    <x v="2"/>
    <s v="Warm"/>
    <d v="2025-10-12T00:00:00"/>
    <d v="2025-10-16T00:00:00"/>
    <d v="2025-10-18T00:00:00"/>
    <d v="2025-10-22T00:00:00"/>
    <s v="Yes"/>
    <s v="Financing Issue"/>
    <m/>
    <n v="4"/>
    <x v="5"/>
    <n v="4"/>
    <m/>
    <n v="10"/>
    <s v="Normal"/>
    <s v="Detractor"/>
    <m/>
  </r>
  <r>
    <s v="L1764"/>
    <x v="3"/>
    <s v="Cold"/>
    <d v="2025-10-22T00:00:00"/>
    <m/>
    <m/>
    <m/>
    <s v="Yes"/>
    <s v="Others"/>
    <m/>
    <s v=""/>
    <x v="2"/>
    <s v=""/>
    <m/>
    <m/>
    <s v="Normal"/>
    <s v="Detractor"/>
    <m/>
  </r>
  <r>
    <s v="L1765"/>
    <x v="1"/>
    <s v="Warm"/>
    <d v="2025-10-24T00:00:00"/>
    <d v="2025-10-28T00:00:00"/>
    <d v="2025-10-29T00:00:00"/>
    <d v="2025-11-02T00:00:00"/>
    <s v="No"/>
    <s v="Nan"/>
    <d v="2025-11-17T00:00:00"/>
    <n v="4"/>
    <x v="4"/>
    <n v="4"/>
    <n v="1"/>
    <n v="9"/>
    <s v="Normal"/>
    <s v="Detractor"/>
    <m/>
  </r>
  <r>
    <s v="L1766"/>
    <x v="2"/>
    <s v="Cold"/>
    <d v="2025-10-22T00:00:00"/>
    <m/>
    <m/>
    <m/>
    <s v="Yes"/>
    <s v="Price"/>
    <m/>
    <s v=""/>
    <x v="2"/>
    <s v=""/>
    <m/>
    <m/>
    <s v="Normal"/>
    <s v="Detractor"/>
    <m/>
  </r>
  <r>
    <s v="L1767"/>
    <x v="3"/>
    <s v="Hot"/>
    <d v="2025-10-09T00:00:00"/>
    <d v="2025-10-14T00:00:00"/>
    <d v="2025-10-16T00:00:00"/>
    <d v="2025-10-21T00:00:00"/>
    <s v="No"/>
    <s v="Nan"/>
    <d v="2025-11-02T00:00:00"/>
    <n v="5"/>
    <x v="5"/>
    <n v="5"/>
    <n v="0"/>
    <n v="12"/>
    <s v="Normal"/>
    <s v="Detractor"/>
    <m/>
  </r>
  <r>
    <s v="L1768"/>
    <x v="3"/>
    <s v="Hot"/>
    <d v="2025-10-19T00:00:00"/>
    <d v="2025-10-22T00:00:00"/>
    <d v="2025-10-26T00:00:00"/>
    <d v="2025-11-02T00:00:00"/>
    <s v="No"/>
    <s v="Nan"/>
    <d v="2025-11-13T00:00:00"/>
    <n v="3"/>
    <x v="0"/>
    <n v="7"/>
    <n v="4"/>
    <n v="14"/>
    <s v="Normal"/>
    <s v="Detractor"/>
    <m/>
  </r>
  <r>
    <s v="L1769"/>
    <x v="1"/>
    <s v="Warm"/>
    <d v="2025-10-13T00:00:00"/>
    <d v="2025-10-15T00:00:00"/>
    <d v="2025-10-19T00:00:00"/>
    <d v="2025-10-26T00:00:00"/>
    <s v="No"/>
    <s v="Nan"/>
    <d v="2025-11-14T00:00:00"/>
    <n v="2"/>
    <x v="0"/>
    <n v="7"/>
    <n v="0"/>
    <n v="13"/>
    <s v="Normal"/>
    <s v="Detractor"/>
    <m/>
  </r>
  <r>
    <s v="L1770"/>
    <x v="3"/>
    <s v="Cold"/>
    <d v="2025-10-27T00:00:00"/>
    <m/>
    <m/>
    <m/>
    <s v="Yes"/>
    <s v="Others"/>
    <m/>
    <s v=""/>
    <x v="2"/>
    <s v=""/>
    <m/>
    <m/>
    <s v="Normal"/>
    <s v="Detractor"/>
    <m/>
  </r>
  <r>
    <s v="L1771"/>
    <x v="3"/>
    <s v="Cold"/>
    <d v="2025-10-21T00:00:00"/>
    <m/>
    <m/>
    <m/>
    <s v="Yes"/>
    <s v="Other"/>
    <m/>
    <s v=""/>
    <x v="2"/>
    <s v=""/>
    <m/>
    <m/>
    <s v="Normal"/>
    <s v="Detractor"/>
    <m/>
  </r>
  <r>
    <s v="L1772"/>
    <x v="1"/>
    <s v="Hot"/>
    <d v="2025-10-31T00:00:00"/>
    <d v="2025-11-05T00:00:00"/>
    <d v="2025-11-10T00:00:00"/>
    <d v="2025-11-14T00:00:00"/>
    <s v="No"/>
    <s v="Nan"/>
    <d v="2025-12-03T00:00:00"/>
    <n v="5"/>
    <x v="1"/>
    <n v="4"/>
    <n v="4"/>
    <n v="14"/>
    <s v="Normal"/>
    <s v="Detractor"/>
    <m/>
  </r>
  <r>
    <s v="L1773"/>
    <x v="2"/>
    <s v="Hot"/>
    <d v="2025-10-12T00:00:00"/>
    <d v="2025-10-17T00:00:00"/>
    <d v="2025-10-22T00:00:00"/>
    <d v="2025-10-26T00:00:00"/>
    <s v="No"/>
    <s v="Nan"/>
    <d v="2025-11-19T00:00:00"/>
    <n v="5"/>
    <x v="1"/>
    <n v="4"/>
    <n v="1"/>
    <n v="14"/>
    <s v="Normal"/>
    <s v="Detractor"/>
    <m/>
  </r>
  <r>
    <s v="L1774"/>
    <x v="3"/>
    <s v="Cold"/>
    <d v="2025-10-04T00:00:00"/>
    <m/>
    <m/>
    <m/>
    <s v="Yes"/>
    <s v="Changed Mind"/>
    <m/>
    <s v=""/>
    <x v="2"/>
    <s v=""/>
    <m/>
    <m/>
    <s v="Normal"/>
    <s v="Detractor"/>
    <m/>
  </r>
  <r>
    <s v="L1775"/>
    <x v="3"/>
    <s v="Hot"/>
    <d v="2025-10-22T00:00:00"/>
    <d v="2025-10-24T00:00:00"/>
    <d v="2025-10-29T00:00:00"/>
    <d v="2025-11-03T00:00:00"/>
    <s v="No"/>
    <s v="Nan"/>
    <d v="2025-11-29T00:00:00"/>
    <n v="2"/>
    <x v="1"/>
    <n v="5"/>
    <n v="10"/>
    <n v="12"/>
    <s v="Normal"/>
    <s v="Promoter"/>
    <m/>
  </r>
  <r>
    <s v="L1776"/>
    <x v="3"/>
    <s v="Warm"/>
    <d v="2025-10-08T00:00:00"/>
    <d v="2025-10-10T00:00:00"/>
    <d v="2025-10-14T00:00:00"/>
    <d v="2025-10-18T00:00:00"/>
    <s v="No"/>
    <s v="Nan"/>
    <d v="2025-11-16T00:00:00"/>
    <n v="2"/>
    <x v="0"/>
    <n v="4"/>
    <n v="1"/>
    <n v="10"/>
    <s v="Normal"/>
    <s v="Detractor"/>
    <m/>
  </r>
  <r>
    <s v="L1777"/>
    <x v="0"/>
    <s v="Cold"/>
    <d v="2025-10-16T00:00:00"/>
    <m/>
    <m/>
    <m/>
    <s v="Yes"/>
    <s v="Financing Issue"/>
    <m/>
    <s v=""/>
    <x v="2"/>
    <s v=""/>
    <m/>
    <m/>
    <s v="Normal"/>
    <s v="Detractor"/>
    <m/>
  </r>
  <r>
    <s v="L1778"/>
    <x v="1"/>
    <s v="Warm"/>
    <d v="2025-10-01T00:00:00"/>
    <d v="2025-10-05T00:00:00"/>
    <d v="2025-10-06T00:00:00"/>
    <d v="2025-10-09T00:00:00"/>
    <s v="No"/>
    <s v="Nan"/>
    <d v="2025-11-04T00:00:00"/>
    <n v="4"/>
    <x v="4"/>
    <n v="3"/>
    <n v="3"/>
    <n v="8"/>
    <s v="Normal"/>
    <s v="Detractor"/>
    <m/>
  </r>
  <r>
    <s v="L1779"/>
    <x v="0"/>
    <s v="Warm"/>
    <d v="2025-10-20T00:00:00"/>
    <d v="2025-10-25T00:00:00"/>
    <d v="2025-10-26T00:00:00"/>
    <d v="2025-10-28T00:00:00"/>
    <s v="No"/>
    <s v="Nan"/>
    <d v="2025-11-17T00:00:00"/>
    <n v="5"/>
    <x v="4"/>
    <n v="2"/>
    <n v="2"/>
    <n v="8"/>
    <s v="Normal"/>
    <s v="Detractor"/>
    <m/>
  </r>
  <r>
    <s v="L1780"/>
    <x v="1"/>
    <s v="Warm"/>
    <d v="2025-10-29T00:00:00"/>
    <d v="2025-10-30T00:00:00"/>
    <d v="2025-10-31T00:00:00"/>
    <d v="2025-11-03T00:00:00"/>
    <s v="No"/>
    <s v="Nan"/>
    <d v="2025-11-26T00:00:00"/>
    <n v="1"/>
    <x v="4"/>
    <n v="3"/>
    <n v="2"/>
    <n v="5"/>
    <s v="Normal"/>
    <s v="Detractor"/>
    <m/>
  </r>
  <r>
    <s v="L1781"/>
    <x v="2"/>
    <s v="Hot"/>
    <d v="2025-10-31T00:00:00"/>
    <d v="2025-11-01T00:00:00"/>
    <d v="2025-11-04T00:00:00"/>
    <d v="2025-11-07T00:00:00"/>
    <s v="No"/>
    <s v="Nan"/>
    <d v="2025-11-21T00:00:00"/>
    <n v="1"/>
    <x v="3"/>
    <n v="3"/>
    <n v="4"/>
    <n v="7"/>
    <s v="Normal"/>
    <s v="Detractor"/>
    <m/>
  </r>
  <r>
    <s v="L1782"/>
    <x v="2"/>
    <s v="Cold"/>
    <d v="2025-10-18T00:00:00"/>
    <m/>
    <m/>
    <m/>
    <s v="Yes"/>
    <s v="Other"/>
    <m/>
    <s v=""/>
    <x v="2"/>
    <s v=""/>
    <m/>
    <m/>
    <s v="Normal"/>
    <s v="Detractor"/>
    <m/>
  </r>
  <r>
    <s v="L1783"/>
    <x v="3"/>
    <s v="Warm"/>
    <d v="2025-10-11T00:00:00"/>
    <d v="2025-10-16T00:00:00"/>
    <d v="2025-10-21T00:00:00"/>
    <d v="2025-10-27T00:00:00"/>
    <s v="No"/>
    <s v="Nan"/>
    <d v="2025-11-16T00:00:00"/>
    <n v="5"/>
    <x v="1"/>
    <n v="6"/>
    <n v="9"/>
    <n v="16"/>
    <s v="Normal"/>
    <s v="Promoter"/>
    <m/>
  </r>
  <r>
    <s v="L1784"/>
    <x v="1"/>
    <s v="Cold"/>
    <d v="2025-10-30T00:00:00"/>
    <m/>
    <m/>
    <m/>
    <s v="Yes"/>
    <s v="Financing Issue"/>
    <m/>
    <s v=""/>
    <x v="2"/>
    <s v=""/>
    <m/>
    <m/>
    <s v="Normal"/>
    <s v="Detractor"/>
    <m/>
  </r>
  <r>
    <s v="L1785"/>
    <x v="2"/>
    <s v="Hot"/>
    <d v="2025-10-20T00:00:00"/>
    <d v="2025-10-22T00:00:00"/>
    <d v="2025-10-23T00:00:00"/>
    <d v="2025-10-25T00:00:00"/>
    <s v="No"/>
    <s v="Nan"/>
    <d v="2025-11-19T00:00:00"/>
    <n v="2"/>
    <x v="4"/>
    <n v="2"/>
    <n v="7"/>
    <n v="5"/>
    <s v="Normal"/>
    <s v="Passive"/>
    <m/>
  </r>
  <r>
    <s v="L1786"/>
    <x v="1"/>
    <s v="Cold"/>
    <d v="2025-10-08T00:00:00"/>
    <m/>
    <m/>
    <m/>
    <s v="Yes"/>
    <s v="Price"/>
    <m/>
    <s v=""/>
    <x v="2"/>
    <s v=""/>
    <m/>
    <m/>
    <s v="Normal"/>
    <s v="Detractor"/>
    <m/>
  </r>
  <r>
    <s v="L1787"/>
    <x v="2"/>
    <s v="Warm"/>
    <d v="2025-10-21T00:00:00"/>
    <d v="2025-10-24T00:00:00"/>
    <d v="2025-10-29T00:00:00"/>
    <d v="2025-11-01T00:00:00"/>
    <s v="No"/>
    <s v="Nan"/>
    <d v="2025-11-22T00:00:00"/>
    <n v="3"/>
    <x v="1"/>
    <n v="3"/>
    <n v="3"/>
    <n v="11"/>
    <s v="Normal"/>
    <s v="Detractor"/>
    <m/>
  </r>
  <r>
    <s v="L1788"/>
    <x v="0"/>
    <s v="Hot"/>
    <d v="2025-10-03T00:00:00"/>
    <d v="2025-10-05T00:00:00"/>
    <d v="2025-10-10T00:00:00"/>
    <d v="2025-10-12T00:00:00"/>
    <s v="No"/>
    <s v="Nan"/>
    <d v="2025-10-28T00:00:00"/>
    <n v="2"/>
    <x v="1"/>
    <n v="2"/>
    <n v="3"/>
    <n v="9"/>
    <s v="Normal"/>
    <s v="Detractor"/>
    <m/>
  </r>
  <r>
    <s v="L1789"/>
    <x v="2"/>
    <s v="Hot"/>
    <d v="2025-10-21T00:00:00"/>
    <d v="2025-10-23T00:00:00"/>
    <d v="2025-10-26T00:00:00"/>
    <d v="2025-10-29T00:00:00"/>
    <s v="No"/>
    <s v="Nan"/>
    <d v="2025-11-13T00:00:00"/>
    <n v="2"/>
    <x v="3"/>
    <n v="3"/>
    <n v="3"/>
    <n v="8"/>
    <s v="Normal"/>
    <s v="Detractor"/>
    <m/>
  </r>
  <r>
    <s v="L1790"/>
    <x v="0"/>
    <s v="Warm"/>
    <d v="2025-10-27T00:00:00"/>
    <d v="2025-10-30T00:00:00"/>
    <d v="2025-11-03T00:00:00"/>
    <d v="2025-11-08T00:00:00"/>
    <s v="No"/>
    <s v="Nan"/>
    <d v="2025-11-30T00:00:00"/>
    <n v="3"/>
    <x v="0"/>
    <n v="5"/>
    <n v="5"/>
    <n v="12"/>
    <s v="Normal"/>
    <s v="Detractor"/>
    <m/>
  </r>
  <r>
    <s v="L1791"/>
    <x v="2"/>
    <s v="Warm"/>
    <d v="2025-10-15T00:00:00"/>
    <d v="2025-10-17T00:00:00"/>
    <d v="2025-10-18T00:00:00"/>
    <d v="2025-10-23T00:00:00"/>
    <s v="No"/>
    <s v="Nan"/>
    <d v="2025-11-02T00:00:00"/>
    <n v="2"/>
    <x v="4"/>
    <n v="5"/>
    <n v="8"/>
    <n v="8"/>
    <s v="Normal"/>
    <s v="Passive"/>
    <m/>
  </r>
  <r>
    <s v="L1792"/>
    <x v="3"/>
    <s v="Cold"/>
    <d v="2025-10-30T00:00:00"/>
    <m/>
    <m/>
    <m/>
    <s v="Yes"/>
    <s v="Price"/>
    <m/>
    <s v=""/>
    <x v="2"/>
    <s v=""/>
    <m/>
    <m/>
    <s v="Normal"/>
    <s v="Detractor"/>
    <m/>
  </r>
  <r>
    <s v="L1793"/>
    <x v="0"/>
    <s v="Hot"/>
    <d v="2025-10-23T00:00:00"/>
    <d v="2025-10-26T00:00:00"/>
    <d v="2025-10-29T00:00:00"/>
    <d v="2025-11-02T00:00:00"/>
    <s v="No"/>
    <s v="Nan"/>
    <d v="2025-11-19T00:00:00"/>
    <n v="3"/>
    <x v="3"/>
    <n v="4"/>
    <n v="1"/>
    <n v="10"/>
    <s v="Normal"/>
    <s v="Detractor"/>
    <m/>
  </r>
  <r>
    <s v="L1794"/>
    <x v="2"/>
    <s v="Hot"/>
    <d v="2025-10-10T00:00:00"/>
    <d v="2025-10-15T00:00:00"/>
    <d v="2025-10-19T00:00:00"/>
    <d v="2025-10-24T00:00:00"/>
    <s v="No"/>
    <s v="Nan"/>
    <d v="2025-11-10T00:00:00"/>
    <n v="5"/>
    <x v="0"/>
    <n v="5"/>
    <n v="10"/>
    <n v="14"/>
    <s v="Normal"/>
    <s v="Promoter"/>
    <m/>
  </r>
  <r>
    <s v="L1795"/>
    <x v="3"/>
    <s v="Warm"/>
    <d v="2025-10-21T00:00:00"/>
    <d v="2025-10-24T00:00:00"/>
    <d v="2025-10-28T00:00:00"/>
    <d v="2025-10-30T00:00:00"/>
    <s v="No"/>
    <s v="Nan"/>
    <d v="2025-11-13T00:00:00"/>
    <n v="3"/>
    <x v="0"/>
    <n v="2"/>
    <n v="4"/>
    <n v="9"/>
    <s v="Normal"/>
    <s v="Detractor"/>
    <m/>
  </r>
  <r>
    <s v="L1796"/>
    <x v="0"/>
    <s v="Warm"/>
    <d v="2025-10-14T00:00:00"/>
    <d v="2025-10-15T00:00:00"/>
    <d v="2025-10-16T00:00:00"/>
    <d v="2025-10-22T00:00:00"/>
    <s v="No"/>
    <s v="Nan"/>
    <d v="2025-11-07T00:00:00"/>
    <n v="1"/>
    <x v="4"/>
    <n v="6"/>
    <n v="8"/>
    <n v="8"/>
    <s v="Normal"/>
    <s v="Passive"/>
    <m/>
  </r>
  <r>
    <s v="L1797"/>
    <x v="3"/>
    <s v="Warm"/>
    <d v="2025-10-04T00:00:00"/>
    <d v="2025-10-07T00:00:00"/>
    <d v="2025-10-12T00:00:00"/>
    <d v="2025-10-16T00:00:00"/>
    <s v="No"/>
    <s v="Nan"/>
    <d v="2025-10-26T00:00:00"/>
    <n v="3"/>
    <x v="1"/>
    <n v="4"/>
    <n v="7"/>
    <n v="12"/>
    <s v="Normal"/>
    <s v="Passive"/>
    <m/>
  </r>
  <r>
    <s v="L1798"/>
    <x v="1"/>
    <s v="Cold"/>
    <d v="2025-10-05T00:00:00"/>
    <m/>
    <m/>
    <m/>
    <s v="Yes"/>
    <s v="Price"/>
    <m/>
    <s v=""/>
    <x v="2"/>
    <s v=""/>
    <m/>
    <m/>
    <s v="Normal"/>
    <s v="Detractor"/>
    <m/>
  </r>
  <r>
    <s v="L1799"/>
    <x v="1"/>
    <s v="Cold"/>
    <d v="2025-10-02T00:00:00"/>
    <m/>
    <m/>
    <m/>
    <s v="Yes"/>
    <s v="Financing Issue"/>
    <m/>
    <s v=""/>
    <x v="2"/>
    <s v=""/>
    <m/>
    <m/>
    <s v="Normal"/>
    <s v="Detractor"/>
    <m/>
  </r>
  <r>
    <s v="L1800"/>
    <x v="0"/>
    <s v="Cold"/>
    <d v="2025-10-31T00:00:00"/>
    <m/>
    <m/>
    <m/>
    <s v="Yes"/>
    <s v="Other"/>
    <m/>
    <s v=""/>
    <x v="2"/>
    <s v=""/>
    <m/>
    <m/>
    <s v="Normal"/>
    <s v="Detractor"/>
    <m/>
  </r>
  <r>
    <s v="L1801"/>
    <x v="2"/>
    <s v="Warm"/>
    <d v="2025-10-02T00:00:00"/>
    <d v="2025-10-04T00:00:00"/>
    <d v="2025-10-06T00:00:00"/>
    <d v="2025-10-09T00:00:00"/>
    <s v="Yes"/>
    <s v="Price"/>
    <m/>
    <n v="2"/>
    <x v="5"/>
    <n v="3"/>
    <m/>
    <n v="7"/>
    <s v="Normal"/>
    <s v="Detractor"/>
    <m/>
  </r>
  <r>
    <s v="L1802"/>
    <x v="0"/>
    <s v="Warm"/>
    <d v="2025-10-10T00:00:00"/>
    <d v="2025-10-15T00:00:00"/>
    <d v="2025-10-20T00:00:00"/>
    <d v="2025-10-25T00:00:00"/>
    <s v="No"/>
    <s v="Nan"/>
    <d v="2025-11-22T00:00:00"/>
    <n v="5"/>
    <x v="1"/>
    <n v="5"/>
    <n v="10"/>
    <n v="15"/>
    <s v="Normal"/>
    <s v="Promoter"/>
    <m/>
  </r>
  <r>
    <s v="L1803"/>
    <x v="3"/>
    <s v="Warm"/>
    <d v="2025-10-16T00:00:00"/>
    <d v="2025-10-19T00:00:00"/>
    <d v="2025-10-24T00:00:00"/>
    <d v="2025-10-28T00:00:00"/>
    <s v="No"/>
    <s v="Nan"/>
    <d v="2025-11-23T00:00:00"/>
    <n v="3"/>
    <x v="1"/>
    <n v="4"/>
    <n v="1"/>
    <n v="12"/>
    <s v="Normal"/>
    <s v="Detractor"/>
    <m/>
  </r>
  <r>
    <s v="L1804"/>
    <x v="2"/>
    <s v="Warm"/>
    <d v="2025-10-04T00:00:00"/>
    <d v="2025-10-06T00:00:00"/>
    <d v="2025-10-08T00:00:00"/>
    <d v="2025-10-13T00:00:00"/>
    <s v="No"/>
    <s v="Nan"/>
    <d v="2025-10-28T00:00:00"/>
    <n v="2"/>
    <x v="5"/>
    <n v="5"/>
    <n v="9"/>
    <n v="9"/>
    <s v="Normal"/>
    <s v="Promoter"/>
    <m/>
  </r>
  <r>
    <s v="L1805"/>
    <x v="1"/>
    <s v="Cold"/>
    <d v="2025-10-04T00:00:00"/>
    <m/>
    <m/>
    <m/>
    <s v="Yes"/>
    <s v="Other"/>
    <m/>
    <s v=""/>
    <x v="2"/>
    <s v=""/>
    <m/>
    <m/>
    <s v="Normal"/>
    <s v="Detractor"/>
    <m/>
  </r>
  <r>
    <s v="L1806"/>
    <x v="2"/>
    <s v="Hot"/>
    <d v="2025-10-08T00:00:00"/>
    <d v="2025-10-11T00:00:00"/>
    <d v="2025-10-15T00:00:00"/>
    <d v="2025-10-19T00:00:00"/>
    <s v="No"/>
    <s v="Nan"/>
    <d v="2025-11-01T00:00:00"/>
    <n v="3"/>
    <x v="0"/>
    <n v="4"/>
    <n v="3"/>
    <n v="11"/>
    <s v="Normal"/>
    <s v="Detractor"/>
    <m/>
  </r>
  <r>
    <s v="L1807"/>
    <x v="1"/>
    <s v="Warm"/>
    <d v="2025-10-29T00:00:00"/>
    <d v="2025-11-03T00:00:00"/>
    <d v="2025-11-05T00:00:00"/>
    <d v="2025-11-07T00:00:00"/>
    <s v="No"/>
    <s v="Nan"/>
    <d v="2025-11-28T00:00:00"/>
    <n v="5"/>
    <x v="5"/>
    <n v="2"/>
    <n v="2"/>
    <n v="9"/>
    <s v="Normal"/>
    <s v="Detractor"/>
    <m/>
  </r>
  <r>
    <s v="L1808"/>
    <x v="2"/>
    <s v="Hot"/>
    <d v="2025-10-18T00:00:00"/>
    <d v="2025-10-23T00:00:00"/>
    <d v="2025-10-25T00:00:00"/>
    <d v="2025-10-27T00:00:00"/>
    <s v="No"/>
    <s v="Nan"/>
    <d v="2025-11-26T00:00:00"/>
    <n v="5"/>
    <x v="5"/>
    <n v="2"/>
    <n v="5"/>
    <n v="9"/>
    <s v="Normal"/>
    <s v="Detractor"/>
    <m/>
  </r>
  <r>
    <s v="L1809"/>
    <x v="2"/>
    <s v="Warm"/>
    <d v="2025-10-05T00:00:00"/>
    <d v="2025-10-06T00:00:00"/>
    <d v="2025-10-09T00:00:00"/>
    <d v="2025-10-12T00:00:00"/>
    <s v="No"/>
    <s v="Nan"/>
    <d v="2025-10-23T00:00:00"/>
    <n v="1"/>
    <x v="3"/>
    <n v="3"/>
    <n v="1"/>
    <n v="7"/>
    <s v="Normal"/>
    <s v="Detractor"/>
    <m/>
  </r>
  <r>
    <s v="L1810"/>
    <x v="2"/>
    <s v="Cold"/>
    <d v="2025-10-13T00:00:00"/>
    <m/>
    <m/>
    <m/>
    <s v="Yes"/>
    <s v="Financing Issue"/>
    <m/>
    <s v=""/>
    <x v="2"/>
    <s v=""/>
    <m/>
    <m/>
    <s v="Normal"/>
    <s v="Detractor"/>
    <m/>
  </r>
  <r>
    <s v="L1811"/>
    <x v="3"/>
    <s v="Warm"/>
    <d v="2025-10-15T00:00:00"/>
    <d v="2025-10-20T00:00:00"/>
    <d v="2025-10-23T00:00:00"/>
    <d v="2025-10-30T00:00:00"/>
    <s v="No"/>
    <s v="Nan"/>
    <d v="2025-11-21T00:00:00"/>
    <n v="5"/>
    <x v="3"/>
    <n v="7"/>
    <n v="7"/>
    <n v="15"/>
    <s v="Normal"/>
    <s v="Passive"/>
    <m/>
  </r>
  <r>
    <s v="L1812"/>
    <x v="3"/>
    <s v="Hot"/>
    <d v="2025-10-12T00:00:00"/>
    <d v="2025-10-14T00:00:00"/>
    <d v="2025-10-17T00:00:00"/>
    <d v="2025-10-21T00:00:00"/>
    <s v="No"/>
    <s v="Nan"/>
    <d v="2025-11-20T00:00:00"/>
    <n v="2"/>
    <x v="3"/>
    <n v="4"/>
    <n v="3"/>
    <n v="9"/>
    <s v="Normal"/>
    <s v="Detractor"/>
    <m/>
  </r>
  <r>
    <s v="L1813"/>
    <x v="0"/>
    <s v="Cold"/>
    <d v="2025-10-22T00:00:00"/>
    <m/>
    <m/>
    <m/>
    <s v="Yes"/>
    <s v="Other"/>
    <m/>
    <s v=""/>
    <x v="2"/>
    <s v=""/>
    <m/>
    <m/>
    <s v="Normal"/>
    <s v="Detractor"/>
    <m/>
  </r>
  <r>
    <s v="L1814"/>
    <x v="0"/>
    <s v="Warm"/>
    <d v="2025-10-31T00:00:00"/>
    <d v="2025-11-05T00:00:00"/>
    <d v="2025-11-09T00:00:00"/>
    <d v="2025-11-16T00:00:00"/>
    <s v="No"/>
    <s v="Nan"/>
    <d v="2025-12-04T00:00:00"/>
    <n v="5"/>
    <x v="0"/>
    <n v="7"/>
    <n v="2"/>
    <n v="16"/>
    <s v="Normal"/>
    <s v="Detractor"/>
    <m/>
  </r>
  <r>
    <s v="L1815"/>
    <x v="1"/>
    <s v="Hot"/>
    <d v="2025-10-24T00:00:00"/>
    <d v="2025-10-29T00:00:00"/>
    <d v="2025-10-31T00:00:00"/>
    <d v="2025-11-07T00:00:00"/>
    <s v="No"/>
    <s v="Nan"/>
    <d v="2025-12-04T00:00:00"/>
    <n v="5"/>
    <x v="5"/>
    <n v="7"/>
    <n v="5"/>
    <n v="14"/>
    <s v="Normal"/>
    <s v="Detractor"/>
    <m/>
  </r>
  <r>
    <s v="L1816"/>
    <x v="3"/>
    <s v="Hot"/>
    <d v="2025-10-23T00:00:00"/>
    <d v="2025-10-25T00:00:00"/>
    <d v="2025-10-26T00:00:00"/>
    <d v="2025-11-01T00:00:00"/>
    <s v="Yes"/>
    <s v="Financing Issue"/>
    <m/>
    <n v="2"/>
    <x v="4"/>
    <n v="6"/>
    <m/>
    <n v="9"/>
    <s v="Normal"/>
    <s v="Detractor"/>
    <m/>
  </r>
  <r>
    <s v="L1817"/>
    <x v="1"/>
    <s v="Hot"/>
    <d v="2025-10-31T00:00:00"/>
    <d v="2025-11-02T00:00:00"/>
    <d v="2025-11-04T00:00:00"/>
    <d v="2025-11-06T00:00:00"/>
    <s v="No"/>
    <s v="Nan"/>
    <d v="2025-12-05T00:00:00"/>
    <n v="2"/>
    <x v="5"/>
    <n v="2"/>
    <n v="8"/>
    <n v="6"/>
    <s v="High"/>
    <s v="Passive"/>
    <m/>
  </r>
  <r>
    <s v="L1818"/>
    <x v="0"/>
    <s v="Hot"/>
    <d v="2025-10-18T00:00:00"/>
    <d v="2025-10-23T00:00:00"/>
    <d v="2025-10-27T00:00:00"/>
    <d v="2025-10-30T00:00:00"/>
    <s v="No"/>
    <s v="Nan"/>
    <d v="2025-11-10T00:00:00"/>
    <n v="5"/>
    <x v="0"/>
    <n v="3"/>
    <n v="8"/>
    <n v="12"/>
    <s v="Normal"/>
    <s v="Passive"/>
    <m/>
  </r>
  <r>
    <s v="L1819"/>
    <x v="1"/>
    <s v="Cold"/>
    <d v="2025-10-14T00:00:00"/>
    <m/>
    <m/>
    <m/>
    <s v="Yes"/>
    <s v="Financing Issue"/>
    <m/>
    <s v=""/>
    <x v="2"/>
    <s v=""/>
    <m/>
    <m/>
    <s v="Normal"/>
    <s v="Detractor"/>
    <m/>
  </r>
  <r>
    <s v="L1820"/>
    <x v="0"/>
    <s v="Warm"/>
    <d v="2025-10-19T00:00:00"/>
    <d v="2025-10-24T00:00:00"/>
    <d v="2025-10-27T00:00:00"/>
    <d v="2025-10-31T00:00:00"/>
    <s v="No"/>
    <s v="Nan"/>
    <d v="2025-11-29T00:00:00"/>
    <n v="5"/>
    <x v="3"/>
    <n v="4"/>
    <n v="2"/>
    <n v="12"/>
    <s v="Normal"/>
    <s v="Detractor"/>
    <m/>
  </r>
  <r>
    <s v="L1821"/>
    <x v="3"/>
    <s v="Cold"/>
    <d v="2025-10-24T00:00:00"/>
    <m/>
    <m/>
    <m/>
    <s v="Yes"/>
    <s v="Changed Mind"/>
    <m/>
    <s v=""/>
    <x v="2"/>
    <s v=""/>
    <m/>
    <m/>
    <s v="Normal"/>
    <s v="Detractor"/>
    <m/>
  </r>
  <r>
    <s v="L1822"/>
    <x v="2"/>
    <s v="Warm"/>
    <d v="2025-10-24T00:00:00"/>
    <d v="2025-10-27T00:00:00"/>
    <d v="2025-10-31T00:00:00"/>
    <d v="2025-11-03T00:00:00"/>
    <s v="No"/>
    <s v="Nan"/>
    <d v="2025-11-14T00:00:00"/>
    <n v="3"/>
    <x v="0"/>
    <n v="3"/>
    <n v="3"/>
    <n v="10"/>
    <s v="Normal"/>
    <s v="Detractor"/>
    <m/>
  </r>
  <r>
    <s v="L1823"/>
    <x v="3"/>
    <s v="Hot"/>
    <d v="2025-10-05T00:00:00"/>
    <d v="2025-10-10T00:00:00"/>
    <d v="2025-10-13T00:00:00"/>
    <d v="2025-10-15T00:00:00"/>
    <s v="No"/>
    <s v="Nan"/>
    <d v="2025-10-28T00:00:00"/>
    <n v="5"/>
    <x v="3"/>
    <n v="2"/>
    <n v="4"/>
    <n v="10"/>
    <s v="Normal"/>
    <s v="Detractor"/>
    <m/>
  </r>
  <r>
    <s v="L1824"/>
    <x v="1"/>
    <s v="Warm"/>
    <d v="2025-10-29T00:00:00"/>
    <d v="2025-10-30T00:00:00"/>
    <d v="2025-11-03T00:00:00"/>
    <d v="2025-11-10T00:00:00"/>
    <s v="Yes"/>
    <s v="Financing Issue"/>
    <m/>
    <n v="1"/>
    <x v="0"/>
    <n v="7"/>
    <m/>
    <n v="12"/>
    <s v="Normal"/>
    <s v="Detractor"/>
    <m/>
  </r>
  <r>
    <s v="L1825"/>
    <x v="1"/>
    <s v="Hot"/>
    <d v="2025-10-14T00:00:00"/>
    <d v="2025-10-15T00:00:00"/>
    <d v="2025-10-16T00:00:00"/>
    <d v="2025-10-19T00:00:00"/>
    <s v="No"/>
    <s v="Nan"/>
    <d v="2025-11-18T00:00:00"/>
    <n v="1"/>
    <x v="4"/>
    <n v="3"/>
    <n v="3"/>
    <n v="5"/>
    <s v="Normal"/>
    <s v="Detractor"/>
    <m/>
  </r>
  <r>
    <s v="L1826"/>
    <x v="3"/>
    <s v="Warm"/>
    <d v="2025-10-21T00:00:00"/>
    <d v="2025-10-22T00:00:00"/>
    <d v="2025-10-25T00:00:00"/>
    <d v="2025-10-29T00:00:00"/>
    <s v="No"/>
    <s v="Nan"/>
    <d v="2025-11-08T00:00:00"/>
    <n v="1"/>
    <x v="3"/>
    <n v="4"/>
    <n v="6"/>
    <n v="8"/>
    <s v="Normal"/>
    <s v="Detractor"/>
    <m/>
  </r>
  <r>
    <s v="L1827"/>
    <x v="3"/>
    <s v="Cold"/>
    <d v="2025-10-04T00:00:00"/>
    <m/>
    <m/>
    <m/>
    <s v="Yes"/>
    <s v="Financing Issue"/>
    <m/>
    <s v=""/>
    <x v="2"/>
    <s v=""/>
    <m/>
    <m/>
    <s v="Normal"/>
    <s v="Detractor"/>
    <m/>
  </r>
  <r>
    <s v="L1828"/>
    <x v="0"/>
    <s v="Warm"/>
    <d v="2025-10-27T00:00:00"/>
    <d v="2025-10-28T00:00:00"/>
    <d v="2025-10-31T00:00:00"/>
    <d v="2025-11-05T00:00:00"/>
    <s v="No"/>
    <s v="Nan"/>
    <d v="2025-11-16T00:00:00"/>
    <n v="1"/>
    <x v="3"/>
    <n v="5"/>
    <n v="2"/>
    <n v="9"/>
    <s v="Normal"/>
    <s v="Detractor"/>
    <m/>
  </r>
  <r>
    <s v="L1829"/>
    <x v="1"/>
    <s v="Warm"/>
    <d v="2025-10-16T00:00:00"/>
    <d v="2025-10-21T00:00:00"/>
    <d v="2025-10-23T00:00:00"/>
    <d v="2025-10-29T00:00:00"/>
    <s v="Yes"/>
    <s v="Others"/>
    <m/>
    <n v="5"/>
    <x v="5"/>
    <n v="6"/>
    <m/>
    <n v="13"/>
    <s v="Normal"/>
    <s v="Detractor"/>
    <m/>
  </r>
  <r>
    <s v="L1830"/>
    <x v="1"/>
    <s v="Hot"/>
    <d v="2025-10-20T00:00:00"/>
    <d v="2025-10-23T00:00:00"/>
    <d v="2025-10-27T00:00:00"/>
    <d v="2025-10-29T00:00:00"/>
    <s v="Yes"/>
    <s v="Price"/>
    <m/>
    <n v="3"/>
    <x v="0"/>
    <n v="2"/>
    <m/>
    <n v="9"/>
    <s v="Normal"/>
    <s v="Detractor"/>
    <m/>
  </r>
  <r>
    <s v="L1831"/>
    <x v="3"/>
    <s v="Hot"/>
    <d v="2025-10-14T00:00:00"/>
    <d v="2025-10-16T00:00:00"/>
    <d v="2025-10-21T00:00:00"/>
    <d v="2025-10-28T00:00:00"/>
    <s v="No"/>
    <s v="Nan"/>
    <d v="2025-11-10T00:00:00"/>
    <n v="2"/>
    <x v="1"/>
    <n v="7"/>
    <n v="9"/>
    <n v="14"/>
    <s v="Normal"/>
    <s v="Promoter"/>
    <m/>
  </r>
  <r>
    <s v="L1832"/>
    <x v="2"/>
    <s v="Hot"/>
    <d v="2025-10-31T00:00:00"/>
    <d v="2025-11-05T00:00:00"/>
    <d v="2025-11-10T00:00:00"/>
    <d v="2025-11-14T00:00:00"/>
    <s v="No"/>
    <s v="Nan"/>
    <d v="2025-12-07T00:00:00"/>
    <n v="5"/>
    <x v="1"/>
    <n v="4"/>
    <n v="9"/>
    <n v="14"/>
    <s v="Normal"/>
    <s v="Promoter"/>
    <m/>
  </r>
  <r>
    <s v="L1833"/>
    <x v="1"/>
    <s v="Warm"/>
    <d v="2025-10-31T00:00:00"/>
    <d v="2025-11-04T00:00:00"/>
    <d v="2025-11-06T00:00:00"/>
    <d v="2025-11-10T00:00:00"/>
    <s v="No"/>
    <s v="Nan"/>
    <d v="2025-12-04T00:00:00"/>
    <n v="4"/>
    <x v="5"/>
    <n v="4"/>
    <n v="6"/>
    <n v="10"/>
    <s v="Normal"/>
    <s v="Detractor"/>
    <m/>
  </r>
  <r>
    <s v="L1834"/>
    <x v="2"/>
    <s v="Hot"/>
    <d v="2025-10-09T00:00:00"/>
    <d v="2025-10-14T00:00:00"/>
    <d v="2025-10-18T00:00:00"/>
    <d v="2025-10-21T00:00:00"/>
    <s v="No"/>
    <s v="Nan"/>
    <d v="2025-11-12T00:00:00"/>
    <n v="5"/>
    <x v="0"/>
    <n v="3"/>
    <n v="8"/>
    <n v="12"/>
    <s v="Normal"/>
    <s v="Passive"/>
    <m/>
  </r>
  <r>
    <s v="L1835"/>
    <x v="3"/>
    <s v="Warm"/>
    <d v="2025-10-02T00:00:00"/>
    <d v="2025-10-03T00:00:00"/>
    <d v="2025-10-04T00:00:00"/>
    <d v="2025-10-06T00:00:00"/>
    <s v="Yes"/>
    <s v="Changed Mind"/>
    <m/>
    <n v="1"/>
    <x v="4"/>
    <n v="2"/>
    <m/>
    <n v="4"/>
    <s v="Normal"/>
    <s v="Detractor"/>
    <m/>
  </r>
  <r>
    <s v="L1836"/>
    <x v="3"/>
    <s v="Warm"/>
    <d v="2025-10-23T00:00:00"/>
    <d v="2025-10-27T00:00:00"/>
    <d v="2025-10-29T00:00:00"/>
    <d v="2025-11-03T00:00:00"/>
    <s v="No"/>
    <s v="Nan"/>
    <d v="2025-11-16T00:00:00"/>
    <n v="4"/>
    <x v="5"/>
    <n v="5"/>
    <n v="2"/>
    <n v="11"/>
    <s v="Normal"/>
    <s v="Detractor"/>
    <m/>
  </r>
  <r>
    <s v="L1837"/>
    <x v="0"/>
    <s v="Warm"/>
    <d v="2025-10-12T00:00:00"/>
    <d v="2025-10-17T00:00:00"/>
    <d v="2025-10-20T00:00:00"/>
    <d v="2025-10-25T00:00:00"/>
    <s v="No"/>
    <s v="Nan"/>
    <d v="2025-11-21T00:00:00"/>
    <n v="5"/>
    <x v="3"/>
    <n v="5"/>
    <n v="6"/>
    <n v="13"/>
    <s v="Normal"/>
    <s v="Detractor"/>
    <m/>
  </r>
  <r>
    <s v="L1838"/>
    <x v="1"/>
    <s v="Hot"/>
    <d v="2025-10-07T00:00:00"/>
    <d v="2025-10-10T00:00:00"/>
    <d v="2025-10-11T00:00:00"/>
    <d v="2025-10-17T00:00:00"/>
    <s v="No"/>
    <s v="Nan"/>
    <d v="2025-11-04T00:00:00"/>
    <n v="3"/>
    <x v="4"/>
    <n v="6"/>
    <n v="6"/>
    <n v="10"/>
    <s v="Normal"/>
    <s v="Detractor"/>
    <m/>
  </r>
  <r>
    <s v="L1839"/>
    <x v="2"/>
    <s v="Hot"/>
    <d v="2025-10-15T00:00:00"/>
    <d v="2025-10-18T00:00:00"/>
    <d v="2025-10-22T00:00:00"/>
    <d v="2025-10-29T00:00:00"/>
    <s v="No"/>
    <s v="Nan"/>
    <d v="2025-11-23T00:00:00"/>
    <n v="3"/>
    <x v="0"/>
    <n v="7"/>
    <n v="9"/>
    <n v="14"/>
    <s v="Normal"/>
    <s v="Promoter"/>
    <m/>
  </r>
  <r>
    <s v="L1840"/>
    <x v="0"/>
    <s v="Cold"/>
    <d v="2025-10-15T00:00:00"/>
    <m/>
    <m/>
    <m/>
    <s v="Yes"/>
    <s v="Changed Mind"/>
    <m/>
    <s v=""/>
    <x v="2"/>
    <s v=""/>
    <m/>
    <m/>
    <s v="Normal"/>
    <s v="Detractor"/>
    <m/>
  </r>
  <r>
    <s v="L1841"/>
    <x v="1"/>
    <s v="Warm"/>
    <d v="2025-10-31T00:00:00"/>
    <d v="2025-11-04T00:00:00"/>
    <d v="2025-11-07T00:00:00"/>
    <d v="2025-11-13T00:00:00"/>
    <s v="No"/>
    <s v="Nan"/>
    <d v="2025-11-27T00:00:00"/>
    <n v="4"/>
    <x v="3"/>
    <n v="6"/>
    <n v="9"/>
    <n v="13"/>
    <s v="Normal"/>
    <s v="Promoter"/>
    <m/>
  </r>
  <r>
    <s v="L1842"/>
    <x v="0"/>
    <s v="Warm"/>
    <d v="2025-10-08T00:00:00"/>
    <d v="2025-10-10T00:00:00"/>
    <d v="2025-10-15T00:00:00"/>
    <d v="2025-10-18T00:00:00"/>
    <s v="No"/>
    <s v="Nan"/>
    <d v="2025-11-03T00:00:00"/>
    <n v="2"/>
    <x v="1"/>
    <n v="3"/>
    <n v="0"/>
    <n v="10"/>
    <s v="Normal"/>
    <s v="Detractor"/>
    <m/>
  </r>
  <r>
    <s v="L1843"/>
    <x v="3"/>
    <s v="Hot"/>
    <d v="2025-10-28T00:00:00"/>
    <d v="2025-11-01T00:00:00"/>
    <d v="2025-11-05T00:00:00"/>
    <d v="2025-11-07T00:00:00"/>
    <s v="Yes"/>
    <s v="Changed Mind"/>
    <m/>
    <n v="4"/>
    <x v="0"/>
    <n v="2"/>
    <m/>
    <n v="10"/>
    <s v="Normal"/>
    <s v="Detractor"/>
    <m/>
  </r>
  <r>
    <s v="L1844"/>
    <x v="1"/>
    <s v="Cold"/>
    <d v="2025-10-12T00:00:00"/>
    <m/>
    <m/>
    <m/>
    <s v="Yes"/>
    <s v="Others"/>
    <m/>
    <s v=""/>
    <x v="2"/>
    <s v=""/>
    <m/>
    <m/>
    <s v="Normal"/>
    <s v="Detractor"/>
    <m/>
  </r>
  <r>
    <s v="L1845"/>
    <x v="0"/>
    <s v="Warm"/>
    <d v="2025-10-04T00:00:00"/>
    <d v="2025-10-07T00:00:00"/>
    <d v="2025-10-10T00:00:00"/>
    <d v="2025-10-15T00:00:00"/>
    <s v="No"/>
    <s v="Nan"/>
    <d v="2025-11-14T00:00:00"/>
    <n v="3"/>
    <x v="3"/>
    <n v="5"/>
    <n v="7"/>
    <n v="11"/>
    <s v="Normal"/>
    <s v="Passive"/>
    <m/>
  </r>
  <r>
    <s v="L1846"/>
    <x v="0"/>
    <s v="Warm"/>
    <d v="2025-10-22T00:00:00"/>
    <d v="2025-10-26T00:00:00"/>
    <d v="2025-10-30T00:00:00"/>
    <d v="2025-11-01T00:00:00"/>
    <s v="No"/>
    <s v="Nan"/>
    <d v="2025-11-11T00:00:00"/>
    <n v="4"/>
    <x v="0"/>
    <n v="2"/>
    <n v="3"/>
    <n v="10"/>
    <s v="Normal"/>
    <s v="Detractor"/>
    <m/>
  </r>
  <r>
    <s v="L1847"/>
    <x v="2"/>
    <s v="Cold"/>
    <d v="2025-10-12T00:00:00"/>
    <m/>
    <m/>
    <m/>
    <s v="Yes"/>
    <s v="Financing Issue"/>
    <m/>
    <s v=""/>
    <x v="2"/>
    <s v=""/>
    <m/>
    <m/>
    <s v="Normal"/>
    <s v="Detractor"/>
    <m/>
  </r>
  <r>
    <s v="L1848"/>
    <x v="0"/>
    <s v="Hot"/>
    <d v="2025-10-18T00:00:00"/>
    <d v="2025-10-19T00:00:00"/>
    <d v="2025-10-22T00:00:00"/>
    <d v="2025-10-25T00:00:00"/>
    <s v="No"/>
    <s v="Nan"/>
    <d v="2025-11-13T00:00:00"/>
    <n v="1"/>
    <x v="3"/>
    <n v="3"/>
    <n v="5"/>
    <n v="7"/>
    <s v="Normal"/>
    <s v="Detractor"/>
    <m/>
  </r>
  <r>
    <s v="L1849"/>
    <x v="1"/>
    <s v="Warm"/>
    <d v="2025-10-29T00:00:00"/>
    <d v="2025-10-30T00:00:00"/>
    <d v="2025-11-03T00:00:00"/>
    <d v="2025-11-05T00:00:00"/>
    <s v="No"/>
    <s v="Nan"/>
    <d v="2025-11-28T00:00:00"/>
    <n v="1"/>
    <x v="0"/>
    <n v="2"/>
    <n v="6"/>
    <n v="7"/>
    <s v="Normal"/>
    <s v="Detractor"/>
    <m/>
  </r>
  <r>
    <s v="L1850"/>
    <x v="1"/>
    <s v="Warm"/>
    <d v="2025-10-21T00:00:00"/>
    <d v="2025-10-23T00:00:00"/>
    <d v="2025-10-28T00:00:00"/>
    <d v="2025-10-30T00:00:00"/>
    <s v="No"/>
    <s v="Nan"/>
    <d v="2025-11-12T00:00:00"/>
    <n v="2"/>
    <x v="1"/>
    <n v="2"/>
    <n v="4"/>
    <n v="9"/>
    <s v="Normal"/>
    <s v="Detractor"/>
    <m/>
  </r>
  <r>
    <s v="L1851"/>
    <x v="2"/>
    <s v="Hot"/>
    <d v="2025-10-12T00:00:00"/>
    <d v="2025-10-16T00:00:00"/>
    <d v="2025-10-18T00:00:00"/>
    <d v="2025-10-20T00:00:00"/>
    <s v="No"/>
    <s v="Nan"/>
    <d v="2025-11-15T00:00:00"/>
    <n v="4"/>
    <x v="5"/>
    <n v="2"/>
    <n v="9"/>
    <n v="8"/>
    <s v="Normal"/>
    <s v="Promoter"/>
    <m/>
  </r>
  <r>
    <s v="L1852"/>
    <x v="1"/>
    <s v="Cold"/>
    <d v="2025-10-02T00:00:00"/>
    <m/>
    <m/>
    <m/>
    <s v="Yes"/>
    <s v="Price"/>
    <m/>
    <s v=""/>
    <x v="2"/>
    <s v=""/>
    <m/>
    <m/>
    <s v="Normal"/>
    <s v="Detractor"/>
    <m/>
  </r>
  <r>
    <s v="L1853"/>
    <x v="3"/>
    <s v="Warm"/>
    <d v="2025-10-13T00:00:00"/>
    <d v="2025-10-17T00:00:00"/>
    <d v="2025-10-20T00:00:00"/>
    <d v="2025-10-23T00:00:00"/>
    <s v="Yes"/>
    <s v="Other"/>
    <m/>
    <n v="4"/>
    <x v="3"/>
    <n v="3"/>
    <m/>
    <n v="10"/>
    <s v="Normal"/>
    <s v="Detractor"/>
    <m/>
  </r>
  <r>
    <s v="L1854"/>
    <x v="1"/>
    <s v="Warm"/>
    <d v="2025-10-09T00:00:00"/>
    <d v="2025-10-13T00:00:00"/>
    <d v="2025-10-16T00:00:00"/>
    <d v="2025-10-19T00:00:00"/>
    <s v="No"/>
    <s v="Nan"/>
    <d v="2025-11-06T00:00:00"/>
    <n v="4"/>
    <x v="3"/>
    <n v="3"/>
    <n v="2"/>
    <n v="10"/>
    <s v="Normal"/>
    <s v="Detractor"/>
    <m/>
  </r>
  <r>
    <s v="L1855"/>
    <x v="1"/>
    <s v="Hot"/>
    <d v="2025-10-07T00:00:00"/>
    <d v="2025-10-11T00:00:00"/>
    <d v="2025-10-16T00:00:00"/>
    <d v="2025-10-19T00:00:00"/>
    <s v="No"/>
    <s v="Nan"/>
    <d v="2025-11-17T00:00:00"/>
    <n v="4"/>
    <x v="1"/>
    <n v="3"/>
    <n v="7"/>
    <n v="12"/>
    <s v="Normal"/>
    <s v="Passive"/>
    <m/>
  </r>
  <r>
    <s v="L1856"/>
    <x v="0"/>
    <s v="Hot"/>
    <d v="2025-10-31T00:00:00"/>
    <d v="2025-11-02T00:00:00"/>
    <d v="2025-11-04T00:00:00"/>
    <d v="2025-11-09T00:00:00"/>
    <s v="No"/>
    <s v="Nan"/>
    <d v="2025-12-08T00:00:00"/>
    <n v="2"/>
    <x v="5"/>
    <n v="5"/>
    <n v="1"/>
    <n v="9"/>
    <s v="Normal"/>
    <s v="Detractor"/>
    <m/>
  </r>
  <r>
    <s v="L1857"/>
    <x v="0"/>
    <s v="Warm"/>
    <d v="2025-10-04T00:00:00"/>
    <d v="2025-10-07T00:00:00"/>
    <d v="2025-10-11T00:00:00"/>
    <d v="2025-10-15T00:00:00"/>
    <s v="No"/>
    <s v="Nan"/>
    <d v="2025-10-29T00:00:00"/>
    <n v="3"/>
    <x v="0"/>
    <n v="4"/>
    <n v="3"/>
    <n v="11"/>
    <s v="Normal"/>
    <s v="Detractor"/>
    <m/>
  </r>
  <r>
    <s v="L1858"/>
    <x v="1"/>
    <s v="Warm"/>
    <d v="2025-10-31T00:00:00"/>
    <d v="2025-11-05T00:00:00"/>
    <d v="2025-11-08T00:00:00"/>
    <d v="2025-11-15T00:00:00"/>
    <s v="No"/>
    <s v="Nan"/>
    <d v="2025-12-08T00:00:00"/>
    <n v="5"/>
    <x v="3"/>
    <n v="7"/>
    <n v="7"/>
    <n v="15"/>
    <s v="Normal"/>
    <s v="Passive"/>
    <m/>
  </r>
  <r>
    <s v="L1859"/>
    <x v="2"/>
    <s v="Hot"/>
    <d v="2025-10-28T00:00:00"/>
    <d v="2025-10-30T00:00:00"/>
    <d v="2025-11-01T00:00:00"/>
    <d v="2025-11-08T00:00:00"/>
    <s v="No"/>
    <s v="Nan"/>
    <d v="2025-11-21T00:00:00"/>
    <n v="2"/>
    <x v="5"/>
    <n v="7"/>
    <n v="4"/>
    <n v="11"/>
    <s v="Normal"/>
    <s v="Detractor"/>
    <m/>
  </r>
  <r>
    <s v="L1860"/>
    <x v="0"/>
    <s v="Warm"/>
    <d v="2025-10-27T00:00:00"/>
    <d v="2025-10-30T00:00:00"/>
    <d v="2025-11-03T00:00:00"/>
    <d v="2025-11-10T00:00:00"/>
    <s v="No"/>
    <s v="Nan"/>
    <d v="2025-12-06T00:00:00"/>
    <n v="3"/>
    <x v="0"/>
    <n v="7"/>
    <n v="2"/>
    <n v="14"/>
    <s v="Normal"/>
    <s v="Detractor"/>
    <m/>
  </r>
  <r>
    <s v="L1861"/>
    <x v="2"/>
    <s v="Warm"/>
    <d v="2025-10-15T00:00:00"/>
    <d v="2025-10-18T00:00:00"/>
    <d v="2025-10-21T00:00:00"/>
    <d v="2025-10-23T00:00:00"/>
    <s v="No"/>
    <s v="Nan"/>
    <d v="2025-11-21T00:00:00"/>
    <n v="3"/>
    <x v="3"/>
    <n v="2"/>
    <n v="5"/>
    <n v="8"/>
    <s v="Normal"/>
    <s v="Detractor"/>
    <m/>
  </r>
  <r>
    <s v="L1862"/>
    <x v="1"/>
    <s v="Hot"/>
    <d v="2025-10-03T00:00:00"/>
    <d v="2025-10-06T00:00:00"/>
    <d v="2025-10-09T00:00:00"/>
    <d v="2025-10-15T00:00:00"/>
    <s v="Yes"/>
    <s v="Financing Issue"/>
    <m/>
    <n v="3"/>
    <x v="3"/>
    <n v="6"/>
    <m/>
    <n v="12"/>
    <s v="Normal"/>
    <s v="Detractor"/>
    <m/>
  </r>
  <r>
    <s v="L1863"/>
    <x v="1"/>
    <s v="Warm"/>
    <d v="2025-10-22T00:00:00"/>
    <d v="2025-10-26T00:00:00"/>
    <d v="2025-10-30T00:00:00"/>
    <d v="2025-11-05T00:00:00"/>
    <s v="No"/>
    <s v="Nan"/>
    <d v="2025-11-18T00:00:00"/>
    <n v="4"/>
    <x v="0"/>
    <n v="6"/>
    <n v="9"/>
    <n v="14"/>
    <s v="Normal"/>
    <s v="Promoter"/>
    <m/>
  </r>
  <r>
    <s v="L1864"/>
    <x v="3"/>
    <s v="Hot"/>
    <d v="2025-10-07T00:00:00"/>
    <d v="2025-10-09T00:00:00"/>
    <d v="2025-10-14T00:00:00"/>
    <d v="2025-10-18T00:00:00"/>
    <s v="No"/>
    <s v="Nan"/>
    <d v="2025-11-06T00:00:00"/>
    <n v="2"/>
    <x v="1"/>
    <n v="4"/>
    <n v="4"/>
    <n v="11"/>
    <s v="Normal"/>
    <s v="Detractor"/>
    <m/>
  </r>
  <r>
    <s v="L1865"/>
    <x v="0"/>
    <s v="Cold"/>
    <d v="2025-10-21T00:00:00"/>
    <m/>
    <m/>
    <m/>
    <s v="Yes"/>
    <s v="Others"/>
    <m/>
    <s v=""/>
    <x v="2"/>
    <s v=""/>
    <m/>
    <m/>
    <s v="Normal"/>
    <s v="Detractor"/>
    <m/>
  </r>
  <r>
    <s v="L1866"/>
    <x v="1"/>
    <s v="Warm"/>
    <d v="2025-10-21T00:00:00"/>
    <d v="2025-10-24T00:00:00"/>
    <d v="2025-10-26T00:00:00"/>
    <d v="2025-10-28T00:00:00"/>
    <s v="No"/>
    <s v="Nan"/>
    <d v="2025-11-10T00:00:00"/>
    <n v="3"/>
    <x v="5"/>
    <n v="2"/>
    <n v="9"/>
    <n v="7"/>
    <s v="Normal"/>
    <s v="Promoter"/>
    <m/>
  </r>
  <r>
    <s v="L1867"/>
    <x v="3"/>
    <s v="Hot"/>
    <d v="2025-10-20T00:00:00"/>
    <d v="2025-10-25T00:00:00"/>
    <d v="2025-10-28T00:00:00"/>
    <d v="2025-10-30T00:00:00"/>
    <s v="No"/>
    <s v="Nan"/>
    <d v="2025-11-12T00:00:00"/>
    <n v="5"/>
    <x v="3"/>
    <n v="2"/>
    <n v="9"/>
    <n v="10"/>
    <s v="Normal"/>
    <s v="Promoter"/>
    <m/>
  </r>
  <r>
    <s v="L1868"/>
    <x v="0"/>
    <s v="Warm"/>
    <d v="2025-10-01T00:00:00"/>
    <d v="2025-10-06T00:00:00"/>
    <d v="2025-10-10T00:00:00"/>
    <d v="2025-10-12T00:00:00"/>
    <s v="No"/>
    <s v="Nan"/>
    <d v="2025-11-06T00:00:00"/>
    <n v="5"/>
    <x v="0"/>
    <n v="2"/>
    <n v="5"/>
    <n v="11"/>
    <s v="Normal"/>
    <s v="Detractor"/>
    <m/>
  </r>
  <r>
    <s v="L1869"/>
    <x v="1"/>
    <s v="Warm"/>
    <d v="2025-10-02T00:00:00"/>
    <d v="2025-10-03T00:00:00"/>
    <d v="2025-10-06T00:00:00"/>
    <d v="2025-10-09T00:00:00"/>
    <s v="No"/>
    <s v="Nan"/>
    <d v="2025-10-25T00:00:00"/>
    <n v="1"/>
    <x v="3"/>
    <n v="3"/>
    <n v="1"/>
    <n v="7"/>
    <s v="Normal"/>
    <s v="Detractor"/>
    <m/>
  </r>
  <r>
    <s v="L1870"/>
    <x v="1"/>
    <s v="Warm"/>
    <d v="2025-10-26T00:00:00"/>
    <d v="2025-10-29T00:00:00"/>
    <d v="2025-11-02T00:00:00"/>
    <d v="2025-11-09T00:00:00"/>
    <s v="No"/>
    <s v="Nan"/>
    <d v="2025-12-08T00:00:00"/>
    <n v="3"/>
    <x v="0"/>
    <n v="7"/>
    <n v="8"/>
    <n v="14"/>
    <s v="Normal"/>
    <s v="Passive"/>
    <m/>
  </r>
  <r>
    <s v="L1871"/>
    <x v="0"/>
    <s v="Warm"/>
    <d v="2025-10-11T00:00:00"/>
    <d v="2025-10-13T00:00:00"/>
    <d v="2025-10-16T00:00:00"/>
    <d v="2025-10-21T00:00:00"/>
    <s v="No"/>
    <s v="Nan"/>
    <d v="2025-11-06T00:00:00"/>
    <n v="2"/>
    <x v="3"/>
    <n v="5"/>
    <n v="7"/>
    <n v="10"/>
    <s v="Normal"/>
    <s v="Passive"/>
    <m/>
  </r>
  <r>
    <s v="L1872"/>
    <x v="0"/>
    <s v="Warm"/>
    <d v="2025-10-08T00:00:00"/>
    <d v="2025-10-12T00:00:00"/>
    <d v="2025-10-13T00:00:00"/>
    <d v="2025-10-16T00:00:00"/>
    <s v="No"/>
    <s v="Nan"/>
    <d v="2025-11-03T00:00:00"/>
    <n v="4"/>
    <x v="4"/>
    <n v="3"/>
    <n v="5"/>
    <n v="8"/>
    <s v="Normal"/>
    <s v="Detractor"/>
    <m/>
  </r>
  <r>
    <s v="L1873"/>
    <x v="0"/>
    <s v="Hot"/>
    <d v="2025-10-05T00:00:00"/>
    <d v="2025-10-06T00:00:00"/>
    <d v="2025-10-11T00:00:00"/>
    <d v="2025-10-13T00:00:00"/>
    <s v="No"/>
    <s v="Nan"/>
    <d v="2025-11-08T00:00:00"/>
    <n v="1"/>
    <x v="1"/>
    <n v="2"/>
    <n v="4"/>
    <n v="8"/>
    <s v="Normal"/>
    <s v="Detractor"/>
    <m/>
  </r>
  <r>
    <s v="L1874"/>
    <x v="1"/>
    <s v="Hot"/>
    <d v="2025-10-26T00:00:00"/>
    <d v="2025-10-29T00:00:00"/>
    <d v="2025-10-31T00:00:00"/>
    <d v="2025-11-04T00:00:00"/>
    <s v="No"/>
    <s v="Nan"/>
    <d v="2025-11-20T00:00:00"/>
    <n v="3"/>
    <x v="5"/>
    <n v="4"/>
    <n v="3"/>
    <n v="9"/>
    <s v="Normal"/>
    <s v="Detractor"/>
    <m/>
  </r>
  <r>
    <s v="L1875"/>
    <x v="1"/>
    <s v="Hot"/>
    <d v="2025-10-19T00:00:00"/>
    <d v="2025-10-23T00:00:00"/>
    <d v="2025-10-28T00:00:00"/>
    <d v="2025-10-30T00:00:00"/>
    <s v="No"/>
    <s v="Nan"/>
    <d v="2025-11-20T00:00:00"/>
    <n v="4"/>
    <x v="1"/>
    <n v="2"/>
    <n v="6"/>
    <n v="11"/>
    <s v="Normal"/>
    <s v="Detractor"/>
    <m/>
  </r>
  <r>
    <s v="L1876"/>
    <x v="3"/>
    <s v="Warm"/>
    <d v="2025-10-07T00:00:00"/>
    <d v="2025-10-09T00:00:00"/>
    <d v="2025-10-14T00:00:00"/>
    <d v="2025-10-16T00:00:00"/>
    <s v="No"/>
    <s v="Nan"/>
    <d v="2025-11-08T00:00:00"/>
    <n v="2"/>
    <x v="1"/>
    <n v="2"/>
    <n v="2"/>
    <n v="9"/>
    <s v="Normal"/>
    <s v="Detractor"/>
    <m/>
  </r>
  <r>
    <s v="L1877"/>
    <x v="2"/>
    <s v="Cold"/>
    <d v="2025-10-03T00:00:00"/>
    <m/>
    <m/>
    <m/>
    <s v="Yes"/>
    <s v="Financing Issue"/>
    <m/>
    <s v=""/>
    <x v="2"/>
    <s v=""/>
    <m/>
    <m/>
    <s v="Normal"/>
    <s v="Detractor"/>
    <m/>
  </r>
  <r>
    <s v="L1878"/>
    <x v="0"/>
    <s v="Warm"/>
    <d v="2025-10-27T00:00:00"/>
    <d v="2025-10-29T00:00:00"/>
    <d v="2025-10-31T00:00:00"/>
    <d v="2025-11-05T00:00:00"/>
    <s v="No"/>
    <s v="Nan"/>
    <d v="2025-11-24T00:00:00"/>
    <n v="2"/>
    <x v="5"/>
    <n v="5"/>
    <n v="4"/>
    <n v="9"/>
    <s v="Normal"/>
    <s v="Detractor"/>
    <m/>
  </r>
  <r>
    <s v="L1879"/>
    <x v="1"/>
    <s v="Hot"/>
    <d v="2025-10-25T00:00:00"/>
    <d v="2025-10-26T00:00:00"/>
    <d v="2025-10-31T00:00:00"/>
    <d v="2025-11-02T00:00:00"/>
    <s v="No"/>
    <s v="Nan"/>
    <d v="2025-11-17T00:00:00"/>
    <n v="1"/>
    <x v="1"/>
    <n v="2"/>
    <n v="4"/>
    <n v="8"/>
    <s v="Normal"/>
    <s v="Detractor"/>
    <m/>
  </r>
  <r>
    <s v="L1880"/>
    <x v="1"/>
    <s v="Warm"/>
    <d v="2025-10-18T00:00:00"/>
    <d v="2025-10-19T00:00:00"/>
    <d v="2025-10-20T00:00:00"/>
    <d v="2025-10-23T00:00:00"/>
    <s v="No"/>
    <s v="Nan"/>
    <d v="2025-11-03T00:00:00"/>
    <n v="1"/>
    <x v="4"/>
    <n v="3"/>
    <n v="2"/>
    <n v="5"/>
    <s v="Normal"/>
    <s v="Detractor"/>
    <m/>
  </r>
  <r>
    <s v="L1881"/>
    <x v="0"/>
    <s v="Cold"/>
    <d v="2025-10-07T00:00:00"/>
    <m/>
    <m/>
    <m/>
    <s v="Yes"/>
    <s v="Financing Issue"/>
    <m/>
    <s v=""/>
    <x v="2"/>
    <s v=""/>
    <m/>
    <m/>
    <s v="Normal"/>
    <s v="Detractor"/>
    <m/>
  </r>
  <r>
    <s v="L1882"/>
    <x v="2"/>
    <s v="Warm"/>
    <d v="2025-10-19T00:00:00"/>
    <d v="2025-10-22T00:00:00"/>
    <d v="2025-10-26T00:00:00"/>
    <d v="2025-11-01T00:00:00"/>
    <s v="No"/>
    <s v="Nan"/>
    <d v="2025-11-28T00:00:00"/>
    <n v="3"/>
    <x v="0"/>
    <n v="6"/>
    <n v="4"/>
    <n v="13"/>
    <s v="Normal"/>
    <s v="Detractor"/>
    <m/>
  </r>
  <r>
    <s v="L1883"/>
    <x v="0"/>
    <s v="Cold"/>
    <d v="2025-10-07T00:00:00"/>
    <m/>
    <m/>
    <m/>
    <s v="Yes"/>
    <s v="Others"/>
    <m/>
    <s v=""/>
    <x v="2"/>
    <s v=""/>
    <m/>
    <m/>
    <s v="Normal"/>
    <s v="Detractor"/>
    <m/>
  </r>
  <r>
    <s v="L1884"/>
    <x v="2"/>
    <s v="Hot"/>
    <d v="2025-10-27T00:00:00"/>
    <d v="2025-10-31T00:00:00"/>
    <d v="2025-11-02T00:00:00"/>
    <d v="2025-11-07T00:00:00"/>
    <s v="No"/>
    <s v="Nan"/>
    <d v="2025-12-02T00:00:00"/>
    <n v="4"/>
    <x v="5"/>
    <n v="5"/>
    <n v="7"/>
    <n v="11"/>
    <s v="Normal"/>
    <s v="Passive"/>
    <m/>
  </r>
  <r>
    <s v="L1885"/>
    <x v="1"/>
    <s v="Hot"/>
    <d v="2025-10-28T00:00:00"/>
    <d v="2025-11-02T00:00:00"/>
    <d v="2025-11-06T00:00:00"/>
    <d v="2025-11-13T00:00:00"/>
    <s v="No"/>
    <s v="Nan"/>
    <d v="2025-11-29T00:00:00"/>
    <n v="5"/>
    <x v="0"/>
    <n v="7"/>
    <n v="3"/>
    <n v="16"/>
    <s v="Normal"/>
    <s v="Detractor"/>
    <m/>
  </r>
  <r>
    <s v="L1886"/>
    <x v="2"/>
    <s v="Cold"/>
    <d v="2025-10-08T00:00:00"/>
    <m/>
    <m/>
    <m/>
    <s v="Yes"/>
    <s v="Changed Mind"/>
    <m/>
    <s v=""/>
    <x v="2"/>
    <s v=""/>
    <m/>
    <m/>
    <s v="Normal"/>
    <s v="Detractor"/>
    <m/>
  </r>
  <r>
    <s v="L1887"/>
    <x v="3"/>
    <s v="Warm"/>
    <d v="2025-10-11T00:00:00"/>
    <d v="2025-10-15T00:00:00"/>
    <d v="2025-10-18T00:00:00"/>
    <d v="2025-10-23T00:00:00"/>
    <s v="No"/>
    <s v="Nan"/>
    <d v="2025-11-17T00:00:00"/>
    <n v="4"/>
    <x v="3"/>
    <n v="5"/>
    <n v="7"/>
    <n v="12"/>
    <s v="Normal"/>
    <s v="Passive"/>
    <m/>
  </r>
  <r>
    <s v="L1888"/>
    <x v="1"/>
    <s v="Warm"/>
    <d v="2025-10-25T00:00:00"/>
    <d v="2025-10-27T00:00:00"/>
    <d v="2025-10-28T00:00:00"/>
    <d v="2025-11-02T00:00:00"/>
    <s v="No"/>
    <s v="Nan"/>
    <d v="2025-11-22T00:00:00"/>
    <n v="2"/>
    <x v="4"/>
    <n v="5"/>
    <n v="9"/>
    <n v="8"/>
    <s v="Normal"/>
    <s v="Promoter"/>
    <m/>
  </r>
  <r>
    <s v="L1889"/>
    <x v="3"/>
    <s v="Warm"/>
    <d v="2025-10-05T00:00:00"/>
    <d v="2025-10-07T00:00:00"/>
    <d v="2025-10-11T00:00:00"/>
    <d v="2025-10-13T00:00:00"/>
    <s v="No"/>
    <s v="Nan"/>
    <d v="2025-10-30T00:00:00"/>
    <n v="2"/>
    <x v="0"/>
    <n v="2"/>
    <n v="4"/>
    <n v="8"/>
    <s v="Normal"/>
    <s v="Detractor"/>
    <m/>
  </r>
  <r>
    <s v="L1890"/>
    <x v="0"/>
    <s v="Cold"/>
    <d v="2025-10-26T00:00:00"/>
    <m/>
    <m/>
    <m/>
    <s v="Yes"/>
    <s v="Changed Mind"/>
    <m/>
    <s v=""/>
    <x v="2"/>
    <s v=""/>
    <m/>
    <m/>
    <s v="Normal"/>
    <s v="Detractor"/>
    <m/>
  </r>
  <r>
    <s v="L1891"/>
    <x v="0"/>
    <s v="Warm"/>
    <d v="2025-10-29T00:00:00"/>
    <d v="2025-11-01T00:00:00"/>
    <d v="2025-11-05T00:00:00"/>
    <d v="2025-11-10T00:00:00"/>
    <s v="No"/>
    <s v="Nan"/>
    <d v="2025-11-20T00:00:00"/>
    <n v="3"/>
    <x v="0"/>
    <n v="5"/>
    <n v="7"/>
    <n v="12"/>
    <s v="Normal"/>
    <s v="Passive"/>
    <m/>
  </r>
  <r>
    <s v="L1892"/>
    <x v="0"/>
    <s v="Warm"/>
    <d v="2025-10-20T00:00:00"/>
    <d v="2025-10-25T00:00:00"/>
    <d v="2025-10-27T00:00:00"/>
    <d v="2025-11-03T00:00:00"/>
    <s v="No"/>
    <s v="Nan"/>
    <d v="2025-11-13T00:00:00"/>
    <n v="5"/>
    <x v="5"/>
    <n v="7"/>
    <n v="7"/>
    <n v="14"/>
    <s v="Normal"/>
    <s v="Passive"/>
    <m/>
  </r>
  <r>
    <s v="L1893"/>
    <x v="2"/>
    <s v="Warm"/>
    <d v="2025-10-01T00:00:00"/>
    <d v="2025-10-04T00:00:00"/>
    <d v="2025-10-07T00:00:00"/>
    <d v="2025-10-12T00:00:00"/>
    <s v="No"/>
    <s v="Nan"/>
    <d v="2025-10-24T00:00:00"/>
    <n v="3"/>
    <x v="3"/>
    <n v="5"/>
    <n v="7"/>
    <n v="11"/>
    <s v="Normal"/>
    <s v="Passive"/>
    <m/>
  </r>
  <r>
    <s v="L1894"/>
    <x v="1"/>
    <s v="Warm"/>
    <d v="2025-10-09T00:00:00"/>
    <d v="2025-10-11T00:00:00"/>
    <d v="2025-10-13T00:00:00"/>
    <d v="2025-10-16T00:00:00"/>
    <s v="No"/>
    <s v="Nan"/>
    <d v="2025-10-29T00:00:00"/>
    <n v="2"/>
    <x v="5"/>
    <n v="3"/>
    <n v="1"/>
    <n v="7"/>
    <s v="Normal"/>
    <s v="Detractor"/>
    <m/>
  </r>
  <r>
    <s v="L1895"/>
    <x v="0"/>
    <s v="Warm"/>
    <d v="2025-10-28T00:00:00"/>
    <d v="2025-10-30T00:00:00"/>
    <d v="2025-11-02T00:00:00"/>
    <d v="2025-11-06T00:00:00"/>
    <s v="Yes"/>
    <s v="Price"/>
    <m/>
    <n v="2"/>
    <x v="3"/>
    <n v="4"/>
    <m/>
    <n v="9"/>
    <s v="Normal"/>
    <s v="Detractor"/>
    <m/>
  </r>
  <r>
    <s v="L1896"/>
    <x v="0"/>
    <s v="Cold"/>
    <d v="2025-10-05T00:00:00"/>
    <m/>
    <m/>
    <m/>
    <s v="Yes"/>
    <s v="Price"/>
    <m/>
    <s v=""/>
    <x v="2"/>
    <s v=""/>
    <m/>
    <m/>
    <s v="Normal"/>
    <s v="Detractor"/>
    <m/>
  </r>
  <r>
    <s v="L1897"/>
    <x v="1"/>
    <s v="Cold"/>
    <d v="2025-10-05T00:00:00"/>
    <m/>
    <m/>
    <m/>
    <s v="Yes"/>
    <s v="Changed Mind"/>
    <m/>
    <s v=""/>
    <x v="2"/>
    <s v=""/>
    <m/>
    <m/>
    <s v="Normal"/>
    <s v="Detractor"/>
    <m/>
  </r>
  <r>
    <s v="L1898"/>
    <x v="0"/>
    <s v="Cold"/>
    <d v="2025-10-18T00:00:00"/>
    <m/>
    <m/>
    <m/>
    <s v="Yes"/>
    <s v="Other"/>
    <m/>
    <s v=""/>
    <x v="2"/>
    <s v=""/>
    <m/>
    <m/>
    <s v="Normal"/>
    <s v="Detractor"/>
    <m/>
  </r>
  <r>
    <s v="L1899"/>
    <x v="3"/>
    <s v="Hot"/>
    <d v="2025-10-09T00:00:00"/>
    <d v="2025-10-13T00:00:00"/>
    <d v="2025-10-15T00:00:00"/>
    <d v="2025-10-18T00:00:00"/>
    <s v="No"/>
    <s v="Nan"/>
    <d v="2025-11-15T00:00:00"/>
    <n v="4"/>
    <x v="5"/>
    <n v="3"/>
    <n v="9"/>
    <n v="9"/>
    <s v="Normal"/>
    <s v="Promoter"/>
    <m/>
  </r>
  <r>
    <s v="L1900"/>
    <x v="1"/>
    <s v="Warm"/>
    <d v="2025-10-26T00:00:00"/>
    <d v="2025-10-31T00:00:00"/>
    <d v="2025-11-04T00:00:00"/>
    <d v="2025-11-07T00:00:00"/>
    <s v="No"/>
    <s v="Nan"/>
    <d v="2025-12-02T00:00:00"/>
    <n v="5"/>
    <x v="0"/>
    <n v="3"/>
    <n v="10"/>
    <n v="12"/>
    <s v="Normal"/>
    <s v="Promoter"/>
    <m/>
  </r>
  <r>
    <s v="L1901"/>
    <x v="1"/>
    <s v="Warm"/>
    <d v="2025-10-06T00:00:00"/>
    <d v="2025-10-10T00:00:00"/>
    <d v="2025-10-14T00:00:00"/>
    <d v="2025-10-18T00:00:00"/>
    <s v="No"/>
    <s v="Nan"/>
    <d v="2025-11-01T00:00:00"/>
    <n v="4"/>
    <x v="0"/>
    <n v="4"/>
    <n v="0"/>
    <n v="12"/>
    <s v="Normal"/>
    <s v="Detractor"/>
    <m/>
  </r>
  <r>
    <s v="L1902"/>
    <x v="1"/>
    <s v="Warm"/>
    <d v="2025-10-04T00:00:00"/>
    <d v="2025-10-08T00:00:00"/>
    <d v="2025-10-09T00:00:00"/>
    <d v="2025-10-13T00:00:00"/>
    <s v="No"/>
    <s v="Nan"/>
    <d v="2025-10-25T00:00:00"/>
    <n v="4"/>
    <x v="4"/>
    <n v="4"/>
    <n v="5"/>
    <n v="9"/>
    <s v="Normal"/>
    <s v="Detractor"/>
    <m/>
  </r>
  <r>
    <s v="L1903"/>
    <x v="3"/>
    <s v="Warm"/>
    <d v="2025-10-22T00:00:00"/>
    <d v="2025-10-25T00:00:00"/>
    <d v="2025-10-29T00:00:00"/>
    <d v="2025-11-03T00:00:00"/>
    <s v="No"/>
    <s v="Nan"/>
    <d v="2025-11-29T00:00:00"/>
    <n v="3"/>
    <x v="0"/>
    <n v="5"/>
    <n v="9"/>
    <n v="12"/>
    <s v="Normal"/>
    <s v="Promoter"/>
    <m/>
  </r>
  <r>
    <s v="L1904"/>
    <x v="1"/>
    <s v="Cold"/>
    <d v="2025-10-28T00:00:00"/>
    <m/>
    <m/>
    <m/>
    <s v="Yes"/>
    <s v="Financing Issue"/>
    <m/>
    <s v=""/>
    <x v="2"/>
    <s v=""/>
    <m/>
    <m/>
    <s v="Normal"/>
    <s v="Detractor"/>
    <m/>
  </r>
  <r>
    <s v="L1905"/>
    <x v="3"/>
    <s v="Warm"/>
    <d v="2025-10-01T00:00:00"/>
    <d v="2025-10-05T00:00:00"/>
    <d v="2025-10-10T00:00:00"/>
    <d v="2025-10-13T00:00:00"/>
    <s v="No"/>
    <s v="Nan"/>
    <d v="2025-10-25T00:00:00"/>
    <n v="4"/>
    <x v="1"/>
    <n v="3"/>
    <n v="7"/>
    <n v="12"/>
    <s v="Normal"/>
    <s v="Passive"/>
    <m/>
  </r>
  <r>
    <s v="L1906"/>
    <x v="1"/>
    <s v="Warm"/>
    <d v="2025-10-05T00:00:00"/>
    <d v="2025-10-06T00:00:00"/>
    <d v="2025-10-10T00:00:00"/>
    <d v="2025-10-12T00:00:00"/>
    <s v="No"/>
    <s v="Nan"/>
    <d v="2025-10-25T00:00:00"/>
    <n v="1"/>
    <x v="0"/>
    <n v="2"/>
    <n v="4"/>
    <n v="7"/>
    <s v="Normal"/>
    <s v="Detractor"/>
    <m/>
  </r>
  <r>
    <s v="L1907"/>
    <x v="2"/>
    <s v="Hot"/>
    <d v="2025-10-01T00:00:00"/>
    <d v="2025-10-02T00:00:00"/>
    <d v="2025-10-07T00:00:00"/>
    <d v="2025-10-13T00:00:00"/>
    <s v="No"/>
    <s v="Nan"/>
    <d v="2025-10-31T00:00:00"/>
    <n v="1"/>
    <x v="1"/>
    <n v="6"/>
    <n v="2"/>
    <n v="12"/>
    <s v="Normal"/>
    <s v="Detractor"/>
    <m/>
  </r>
  <r>
    <s v="L1908"/>
    <x v="0"/>
    <s v="Warm"/>
    <d v="2025-10-12T00:00:00"/>
    <d v="2025-10-16T00:00:00"/>
    <d v="2025-10-20T00:00:00"/>
    <d v="2025-10-26T00:00:00"/>
    <s v="No"/>
    <s v="Nan"/>
    <d v="2025-11-25T00:00:00"/>
    <n v="4"/>
    <x v="0"/>
    <n v="6"/>
    <n v="8"/>
    <n v="14"/>
    <s v="Normal"/>
    <s v="Passive"/>
    <m/>
  </r>
  <r>
    <s v="L1909"/>
    <x v="2"/>
    <s v="Warm"/>
    <d v="2025-10-26T00:00:00"/>
    <d v="2025-10-31T00:00:00"/>
    <d v="2025-11-05T00:00:00"/>
    <d v="2025-11-11T00:00:00"/>
    <s v="No"/>
    <s v="Nan"/>
    <d v="2025-11-28T00:00:00"/>
    <n v="5"/>
    <x v="1"/>
    <n v="6"/>
    <n v="2"/>
    <n v="16"/>
    <s v="Normal"/>
    <s v="Detractor"/>
    <m/>
  </r>
  <r>
    <s v="L1910"/>
    <x v="0"/>
    <s v="Warm"/>
    <d v="2025-10-26T00:00:00"/>
    <d v="2025-10-30T00:00:00"/>
    <d v="2025-11-04T00:00:00"/>
    <d v="2025-11-07T00:00:00"/>
    <s v="No"/>
    <s v="Nan"/>
    <d v="2025-12-01T00:00:00"/>
    <n v="4"/>
    <x v="1"/>
    <n v="3"/>
    <n v="4"/>
    <n v="12"/>
    <s v="Normal"/>
    <s v="Detractor"/>
    <m/>
  </r>
  <r>
    <s v="L1911"/>
    <x v="3"/>
    <s v="Hot"/>
    <d v="2025-10-08T00:00:00"/>
    <d v="2025-10-10T00:00:00"/>
    <d v="2025-10-14T00:00:00"/>
    <d v="2025-10-21T00:00:00"/>
    <s v="No"/>
    <s v="Nan"/>
    <d v="2025-11-09T00:00:00"/>
    <n v="2"/>
    <x v="0"/>
    <n v="7"/>
    <n v="1"/>
    <n v="13"/>
    <s v="Normal"/>
    <s v="Detractor"/>
    <m/>
  </r>
  <r>
    <s v="L1912"/>
    <x v="2"/>
    <s v="Hot"/>
    <d v="2025-10-19T00:00:00"/>
    <d v="2025-10-21T00:00:00"/>
    <d v="2025-10-26T00:00:00"/>
    <d v="2025-10-30T00:00:00"/>
    <s v="No"/>
    <s v="Nan"/>
    <d v="2025-11-17T00:00:00"/>
    <n v="2"/>
    <x v="1"/>
    <n v="4"/>
    <n v="8"/>
    <n v="11"/>
    <s v="Normal"/>
    <s v="Passive"/>
    <m/>
  </r>
  <r>
    <s v="L1913"/>
    <x v="1"/>
    <s v="Warm"/>
    <d v="2025-10-11T00:00:00"/>
    <d v="2025-10-16T00:00:00"/>
    <d v="2025-10-17T00:00:00"/>
    <d v="2025-10-22T00:00:00"/>
    <s v="No"/>
    <s v="Nan"/>
    <d v="2025-11-15T00:00:00"/>
    <n v="5"/>
    <x v="4"/>
    <n v="5"/>
    <n v="9"/>
    <n v="11"/>
    <s v="Normal"/>
    <s v="Promoter"/>
    <m/>
  </r>
  <r>
    <s v="L1914"/>
    <x v="0"/>
    <s v="Hot"/>
    <d v="2025-10-01T00:00:00"/>
    <d v="2025-10-04T00:00:00"/>
    <d v="2025-10-07T00:00:00"/>
    <d v="2025-10-12T00:00:00"/>
    <s v="No"/>
    <s v="Nan"/>
    <d v="2025-10-23T00:00:00"/>
    <n v="3"/>
    <x v="3"/>
    <n v="5"/>
    <n v="4"/>
    <n v="11"/>
    <s v="Normal"/>
    <s v="Detractor"/>
    <m/>
  </r>
  <r>
    <s v="L1915"/>
    <x v="0"/>
    <s v="Hot"/>
    <d v="2025-10-06T00:00:00"/>
    <d v="2025-10-07T00:00:00"/>
    <d v="2025-10-12T00:00:00"/>
    <d v="2025-10-18T00:00:00"/>
    <s v="No"/>
    <s v="Nan"/>
    <d v="2025-10-31T00:00:00"/>
    <n v="1"/>
    <x v="1"/>
    <n v="6"/>
    <n v="1"/>
    <n v="12"/>
    <s v="Normal"/>
    <s v="Detractor"/>
    <m/>
  </r>
  <r>
    <s v="L1916"/>
    <x v="2"/>
    <s v="Hot"/>
    <d v="2025-10-09T00:00:00"/>
    <d v="2025-10-10T00:00:00"/>
    <d v="2025-10-15T00:00:00"/>
    <d v="2025-10-20T00:00:00"/>
    <s v="No"/>
    <s v="Nan"/>
    <d v="2025-11-04T00:00:00"/>
    <n v="1"/>
    <x v="1"/>
    <n v="5"/>
    <n v="6"/>
    <n v="11"/>
    <s v="Normal"/>
    <s v="Detractor"/>
    <m/>
  </r>
  <r>
    <s v="L1917"/>
    <x v="3"/>
    <s v="Hot"/>
    <d v="2025-10-02T00:00:00"/>
    <d v="2025-10-05T00:00:00"/>
    <d v="2025-10-06T00:00:00"/>
    <d v="2025-10-08T00:00:00"/>
    <s v="No"/>
    <s v="Nan"/>
    <d v="2025-10-19T00:00:00"/>
    <n v="3"/>
    <x v="4"/>
    <n v="2"/>
    <n v="8"/>
    <n v="6"/>
    <s v="High"/>
    <s v="Passive"/>
    <m/>
  </r>
  <r>
    <s v="L1918"/>
    <x v="2"/>
    <s v="Hot"/>
    <d v="2025-10-05T00:00:00"/>
    <d v="2025-10-09T00:00:00"/>
    <d v="2025-10-10T00:00:00"/>
    <d v="2025-10-12T00:00:00"/>
    <s v="No"/>
    <s v="Nan"/>
    <d v="2025-10-31T00:00:00"/>
    <n v="4"/>
    <x v="4"/>
    <n v="2"/>
    <n v="1"/>
    <n v="7"/>
    <s v="Normal"/>
    <s v="Detractor"/>
    <m/>
  </r>
  <r>
    <s v="L1919"/>
    <x v="3"/>
    <s v="Warm"/>
    <d v="2025-10-24T00:00:00"/>
    <d v="2025-10-29T00:00:00"/>
    <d v="2025-10-31T00:00:00"/>
    <d v="2025-11-04T00:00:00"/>
    <s v="No"/>
    <s v="Nan"/>
    <d v="2025-11-25T00:00:00"/>
    <n v="5"/>
    <x v="5"/>
    <n v="4"/>
    <n v="6"/>
    <n v="11"/>
    <s v="Normal"/>
    <s v="Detractor"/>
    <m/>
  </r>
  <r>
    <s v="L1920"/>
    <x v="3"/>
    <s v="Warm"/>
    <d v="2025-10-14T00:00:00"/>
    <d v="2025-10-18T00:00:00"/>
    <d v="2025-10-21T00:00:00"/>
    <d v="2025-10-26T00:00:00"/>
    <s v="No"/>
    <s v="Nan"/>
    <d v="2025-11-15T00:00:00"/>
    <n v="4"/>
    <x v="3"/>
    <n v="5"/>
    <n v="0"/>
    <n v="12"/>
    <s v="Normal"/>
    <s v="Detractor"/>
    <m/>
  </r>
  <r>
    <s v="L1921"/>
    <x v="0"/>
    <s v="Cold"/>
    <d v="2025-10-17T00:00:00"/>
    <m/>
    <m/>
    <m/>
    <s v="Yes"/>
    <s v="Other"/>
    <m/>
    <s v=""/>
    <x v="2"/>
    <s v=""/>
    <m/>
    <m/>
    <s v="Normal"/>
    <s v="Detractor"/>
    <m/>
  </r>
  <r>
    <s v="L1922"/>
    <x v="2"/>
    <s v="Warm"/>
    <d v="2025-10-04T00:00:00"/>
    <d v="2025-10-07T00:00:00"/>
    <d v="2025-10-09T00:00:00"/>
    <d v="2025-10-12T00:00:00"/>
    <s v="No"/>
    <s v="Nan"/>
    <d v="2025-11-04T00:00:00"/>
    <n v="3"/>
    <x v="5"/>
    <n v="3"/>
    <n v="6"/>
    <n v="8"/>
    <s v="Normal"/>
    <s v="Detractor"/>
    <m/>
  </r>
  <r>
    <s v="L1923"/>
    <x v="2"/>
    <s v="Warm"/>
    <d v="2025-10-24T00:00:00"/>
    <d v="2025-10-29T00:00:00"/>
    <d v="2025-11-03T00:00:00"/>
    <d v="2025-11-08T00:00:00"/>
    <s v="No"/>
    <s v="Nan"/>
    <d v="2025-11-21T00:00:00"/>
    <n v="5"/>
    <x v="1"/>
    <n v="5"/>
    <n v="6"/>
    <n v="15"/>
    <s v="Normal"/>
    <s v="Detractor"/>
    <m/>
  </r>
  <r>
    <s v="L1924"/>
    <x v="3"/>
    <s v="Hot"/>
    <d v="2025-10-03T00:00:00"/>
    <d v="2025-10-04T00:00:00"/>
    <d v="2025-10-05T00:00:00"/>
    <d v="2025-10-08T00:00:00"/>
    <s v="No"/>
    <s v="Nan"/>
    <d v="2025-10-21T00:00:00"/>
    <n v="1"/>
    <x v="4"/>
    <n v="3"/>
    <n v="6"/>
    <n v="5"/>
    <s v="Normal"/>
    <s v="Detractor"/>
    <m/>
  </r>
  <r>
    <s v="L1925"/>
    <x v="2"/>
    <s v="Hot"/>
    <d v="2025-10-16T00:00:00"/>
    <d v="2025-10-17T00:00:00"/>
    <d v="2025-10-22T00:00:00"/>
    <d v="2025-10-29T00:00:00"/>
    <s v="No"/>
    <s v="Nan"/>
    <d v="2025-11-09T00:00:00"/>
    <n v="1"/>
    <x v="1"/>
    <n v="7"/>
    <n v="2"/>
    <n v="13"/>
    <s v="Normal"/>
    <s v="Detractor"/>
    <m/>
  </r>
  <r>
    <s v="L1926"/>
    <x v="1"/>
    <s v="Warm"/>
    <d v="2025-10-15T00:00:00"/>
    <d v="2025-10-19T00:00:00"/>
    <d v="2025-10-23T00:00:00"/>
    <d v="2025-10-29T00:00:00"/>
    <s v="No"/>
    <s v="Nan"/>
    <d v="2025-11-08T00:00:00"/>
    <n v="4"/>
    <x v="0"/>
    <n v="6"/>
    <n v="7"/>
    <n v="14"/>
    <s v="Normal"/>
    <s v="Passive"/>
    <m/>
  </r>
  <r>
    <s v="L1927"/>
    <x v="1"/>
    <s v="Hot"/>
    <d v="2025-10-25T00:00:00"/>
    <d v="2025-10-27T00:00:00"/>
    <d v="2025-10-30T00:00:00"/>
    <d v="2025-11-02T00:00:00"/>
    <s v="Yes"/>
    <s v="Financing Issue"/>
    <m/>
    <n v="2"/>
    <x v="3"/>
    <n v="3"/>
    <m/>
    <n v="8"/>
    <s v="Normal"/>
    <s v="Detractor"/>
    <m/>
  </r>
  <r>
    <s v="L1928"/>
    <x v="2"/>
    <s v="Warm"/>
    <d v="2025-10-12T00:00:00"/>
    <d v="2025-10-15T00:00:00"/>
    <d v="2025-10-19T00:00:00"/>
    <d v="2025-10-26T00:00:00"/>
    <s v="No"/>
    <s v="Nan"/>
    <d v="2025-11-09T00:00:00"/>
    <n v="3"/>
    <x v="0"/>
    <n v="7"/>
    <n v="8"/>
    <n v="14"/>
    <s v="Normal"/>
    <s v="Passive"/>
    <m/>
  </r>
  <r>
    <s v="L1929"/>
    <x v="2"/>
    <s v="Warm"/>
    <d v="2025-10-17T00:00:00"/>
    <d v="2025-10-20T00:00:00"/>
    <d v="2025-10-21T00:00:00"/>
    <d v="2025-10-27T00:00:00"/>
    <s v="No"/>
    <s v="Nan"/>
    <d v="2025-11-26T00:00:00"/>
    <n v="3"/>
    <x v="4"/>
    <n v="6"/>
    <n v="1"/>
    <n v="10"/>
    <s v="Normal"/>
    <s v="Detractor"/>
    <m/>
  </r>
  <r>
    <s v="L1930"/>
    <x v="3"/>
    <s v="Warm"/>
    <d v="2025-10-19T00:00:00"/>
    <d v="2025-10-23T00:00:00"/>
    <d v="2025-10-24T00:00:00"/>
    <d v="2025-10-26T00:00:00"/>
    <s v="No"/>
    <s v="Nan"/>
    <d v="2025-11-10T00:00:00"/>
    <n v="4"/>
    <x v="4"/>
    <n v="2"/>
    <n v="7"/>
    <n v="7"/>
    <s v="Normal"/>
    <s v="Passive"/>
    <m/>
  </r>
  <r>
    <s v="L1931"/>
    <x v="1"/>
    <s v="Hot"/>
    <d v="2025-10-04T00:00:00"/>
    <d v="2025-10-07T00:00:00"/>
    <d v="2025-10-08T00:00:00"/>
    <d v="2025-10-13T00:00:00"/>
    <s v="No"/>
    <s v="Nan"/>
    <d v="2025-11-02T00:00:00"/>
    <n v="3"/>
    <x v="4"/>
    <n v="5"/>
    <n v="9"/>
    <n v="9"/>
    <s v="Normal"/>
    <s v="Promoter"/>
    <m/>
  </r>
  <r>
    <s v="L1932"/>
    <x v="1"/>
    <s v="Warm"/>
    <d v="2025-10-15T00:00:00"/>
    <d v="2025-10-16T00:00:00"/>
    <d v="2025-10-19T00:00:00"/>
    <d v="2025-10-26T00:00:00"/>
    <s v="No"/>
    <s v="Nan"/>
    <d v="2025-11-16T00:00:00"/>
    <n v="1"/>
    <x v="3"/>
    <n v="7"/>
    <n v="2"/>
    <n v="11"/>
    <s v="Normal"/>
    <s v="Detractor"/>
    <m/>
  </r>
  <r>
    <s v="L1933"/>
    <x v="0"/>
    <s v="Warm"/>
    <d v="2025-10-17T00:00:00"/>
    <d v="2025-10-21T00:00:00"/>
    <d v="2025-10-23T00:00:00"/>
    <d v="2025-10-27T00:00:00"/>
    <s v="Yes"/>
    <s v="Changed Mind"/>
    <m/>
    <n v="4"/>
    <x v="5"/>
    <n v="4"/>
    <m/>
    <n v="10"/>
    <s v="Normal"/>
    <s v="Detractor"/>
    <m/>
  </r>
  <r>
    <s v="L1934"/>
    <x v="3"/>
    <s v="Hot"/>
    <d v="2025-10-08T00:00:00"/>
    <d v="2025-10-09T00:00:00"/>
    <d v="2025-10-14T00:00:00"/>
    <d v="2025-10-19T00:00:00"/>
    <s v="No"/>
    <s v="Nan"/>
    <d v="2025-11-12T00:00:00"/>
    <n v="1"/>
    <x v="1"/>
    <n v="5"/>
    <n v="9"/>
    <n v="11"/>
    <s v="Normal"/>
    <s v="Promoter"/>
    <m/>
  </r>
  <r>
    <s v="L1935"/>
    <x v="0"/>
    <s v="Warm"/>
    <d v="2025-10-31T00:00:00"/>
    <d v="2025-11-05T00:00:00"/>
    <d v="2025-11-10T00:00:00"/>
    <d v="2025-11-16T00:00:00"/>
    <s v="No"/>
    <s v="Nan"/>
    <d v="2025-12-15T00:00:00"/>
    <n v="5"/>
    <x v="1"/>
    <n v="6"/>
    <n v="2"/>
    <n v="16"/>
    <s v="Normal"/>
    <s v="Detractor"/>
    <m/>
  </r>
  <r>
    <s v="L1936"/>
    <x v="1"/>
    <s v="Warm"/>
    <d v="2025-10-20T00:00:00"/>
    <d v="2025-10-25T00:00:00"/>
    <d v="2025-10-30T00:00:00"/>
    <d v="2025-11-04T00:00:00"/>
    <s v="No"/>
    <s v="Nan"/>
    <d v="2025-11-22T00:00:00"/>
    <n v="5"/>
    <x v="1"/>
    <n v="5"/>
    <n v="4"/>
    <n v="15"/>
    <s v="Normal"/>
    <s v="Detractor"/>
    <m/>
  </r>
  <r>
    <s v="L1937"/>
    <x v="3"/>
    <s v="Cold"/>
    <d v="2025-10-02T00:00:00"/>
    <m/>
    <m/>
    <m/>
    <s v="Yes"/>
    <s v="Price"/>
    <m/>
    <s v=""/>
    <x v="2"/>
    <s v=""/>
    <m/>
    <m/>
    <s v="Normal"/>
    <s v="Detractor"/>
    <m/>
  </r>
  <r>
    <s v="L1938"/>
    <x v="2"/>
    <s v="Hot"/>
    <d v="2025-10-24T00:00:00"/>
    <d v="2025-10-26T00:00:00"/>
    <d v="2025-10-31T00:00:00"/>
    <d v="2025-11-04T00:00:00"/>
    <s v="No"/>
    <s v="Nan"/>
    <d v="2025-11-16T00:00:00"/>
    <n v="2"/>
    <x v="1"/>
    <n v="4"/>
    <n v="7"/>
    <n v="11"/>
    <s v="Normal"/>
    <s v="Passive"/>
    <m/>
  </r>
  <r>
    <s v="L1939"/>
    <x v="3"/>
    <s v="Cold"/>
    <d v="2025-10-26T00:00:00"/>
    <m/>
    <m/>
    <m/>
    <s v="Yes"/>
    <s v="Price"/>
    <m/>
    <s v=""/>
    <x v="2"/>
    <s v=""/>
    <m/>
    <m/>
    <s v="Normal"/>
    <s v="Detractor"/>
    <m/>
  </r>
  <r>
    <s v="L1940"/>
    <x v="2"/>
    <s v="Warm"/>
    <d v="2025-10-30T00:00:00"/>
    <d v="2025-11-02T00:00:00"/>
    <d v="2025-11-07T00:00:00"/>
    <d v="2025-11-13T00:00:00"/>
    <s v="No"/>
    <s v="Nan"/>
    <d v="2025-12-04T00:00:00"/>
    <n v="3"/>
    <x v="1"/>
    <n v="6"/>
    <n v="8"/>
    <n v="14"/>
    <s v="Normal"/>
    <s v="Passive"/>
    <m/>
  </r>
  <r>
    <s v="L1941"/>
    <x v="2"/>
    <s v="Warm"/>
    <d v="2025-10-28T00:00:00"/>
    <d v="2025-11-02T00:00:00"/>
    <d v="2025-11-04T00:00:00"/>
    <d v="2025-11-10T00:00:00"/>
    <s v="No"/>
    <s v="Nan"/>
    <d v="2025-11-30T00:00:00"/>
    <n v="5"/>
    <x v="5"/>
    <n v="6"/>
    <n v="5"/>
    <n v="13"/>
    <s v="Normal"/>
    <s v="Detractor"/>
    <m/>
  </r>
  <r>
    <s v="L1942"/>
    <x v="3"/>
    <s v="Hot"/>
    <d v="2025-10-22T00:00:00"/>
    <d v="2025-10-25T00:00:00"/>
    <d v="2025-10-29T00:00:00"/>
    <d v="2025-11-02T00:00:00"/>
    <s v="No"/>
    <s v="Nan"/>
    <d v="2025-11-17T00:00:00"/>
    <n v="3"/>
    <x v="0"/>
    <n v="4"/>
    <n v="4"/>
    <n v="11"/>
    <s v="Normal"/>
    <s v="Detractor"/>
    <m/>
  </r>
  <r>
    <s v="L1943"/>
    <x v="2"/>
    <s v="Warm"/>
    <d v="2025-10-17T00:00:00"/>
    <d v="2025-10-18T00:00:00"/>
    <d v="2025-10-21T00:00:00"/>
    <d v="2025-10-26T00:00:00"/>
    <s v="No"/>
    <s v="Nan"/>
    <d v="2025-11-08T00:00:00"/>
    <n v="1"/>
    <x v="3"/>
    <n v="5"/>
    <n v="2"/>
    <n v="9"/>
    <s v="Normal"/>
    <s v="Detractor"/>
    <m/>
  </r>
  <r>
    <s v="L1944"/>
    <x v="0"/>
    <s v="Hot"/>
    <d v="2025-10-10T00:00:00"/>
    <d v="2025-10-14T00:00:00"/>
    <d v="2025-10-18T00:00:00"/>
    <d v="2025-10-22T00:00:00"/>
    <s v="No"/>
    <s v="Nan"/>
    <d v="2025-11-13T00:00:00"/>
    <n v="4"/>
    <x v="0"/>
    <n v="4"/>
    <n v="3"/>
    <n v="12"/>
    <s v="Normal"/>
    <s v="Detractor"/>
    <m/>
  </r>
  <r>
    <s v="L1945"/>
    <x v="1"/>
    <s v="Warm"/>
    <d v="2025-10-15T00:00:00"/>
    <d v="2025-10-20T00:00:00"/>
    <d v="2025-10-24T00:00:00"/>
    <d v="2025-10-27T00:00:00"/>
    <s v="No"/>
    <s v="Nan"/>
    <d v="2025-11-18T00:00:00"/>
    <n v="5"/>
    <x v="0"/>
    <n v="3"/>
    <n v="6"/>
    <n v="12"/>
    <s v="Normal"/>
    <s v="Detractor"/>
    <m/>
  </r>
  <r>
    <s v="L1946"/>
    <x v="2"/>
    <s v="Hot"/>
    <d v="2025-10-21T00:00:00"/>
    <d v="2025-10-25T00:00:00"/>
    <d v="2025-10-30T00:00:00"/>
    <d v="2025-11-01T00:00:00"/>
    <s v="No"/>
    <s v="Nan"/>
    <d v="2025-11-25T00:00:00"/>
    <n v="4"/>
    <x v="1"/>
    <n v="2"/>
    <n v="6"/>
    <n v="11"/>
    <s v="Normal"/>
    <s v="Detractor"/>
    <m/>
  </r>
  <r>
    <s v="L1947"/>
    <x v="0"/>
    <s v="Cold"/>
    <d v="2025-10-31T00:00:00"/>
    <m/>
    <m/>
    <m/>
    <s v="Yes"/>
    <s v="Other"/>
    <m/>
    <s v=""/>
    <x v="2"/>
    <s v=""/>
    <m/>
    <m/>
    <s v="Normal"/>
    <s v="Detractor"/>
    <m/>
  </r>
  <r>
    <s v="L1948"/>
    <x v="2"/>
    <s v="Warm"/>
    <d v="2025-10-01T00:00:00"/>
    <d v="2025-10-06T00:00:00"/>
    <d v="2025-10-11T00:00:00"/>
    <d v="2025-10-15T00:00:00"/>
    <s v="No"/>
    <s v="Nan"/>
    <d v="2025-11-02T00:00:00"/>
    <n v="5"/>
    <x v="1"/>
    <n v="4"/>
    <n v="8"/>
    <n v="14"/>
    <s v="Normal"/>
    <s v="Passive"/>
    <m/>
  </r>
  <r>
    <s v="L1949"/>
    <x v="1"/>
    <s v="Warm"/>
    <d v="2025-10-02T00:00:00"/>
    <d v="2025-10-05T00:00:00"/>
    <d v="2025-10-07T00:00:00"/>
    <d v="2025-10-13T00:00:00"/>
    <s v="No"/>
    <s v="Nan"/>
    <d v="2025-11-04T00:00:00"/>
    <n v="3"/>
    <x v="5"/>
    <n v="6"/>
    <n v="2"/>
    <n v="11"/>
    <s v="Normal"/>
    <s v="Detractor"/>
    <m/>
  </r>
  <r>
    <s v="L1950"/>
    <x v="0"/>
    <s v="Hot"/>
    <d v="2025-10-16T00:00:00"/>
    <d v="2025-10-21T00:00:00"/>
    <d v="2025-10-24T00:00:00"/>
    <d v="2025-10-27T00:00:00"/>
    <s v="No"/>
    <s v="Nan"/>
    <d v="2025-11-21T00:00:00"/>
    <n v="5"/>
    <x v="3"/>
    <n v="3"/>
    <n v="3"/>
    <n v="11"/>
    <s v="Normal"/>
    <s v="Detractor"/>
    <m/>
  </r>
  <r>
    <s v="L1951"/>
    <x v="1"/>
    <s v="Hot"/>
    <d v="2025-10-28T00:00:00"/>
    <d v="2025-11-02T00:00:00"/>
    <d v="2025-11-03T00:00:00"/>
    <d v="2025-11-05T00:00:00"/>
    <s v="No"/>
    <s v="Nan"/>
    <d v="2025-11-28T00:00:00"/>
    <n v="5"/>
    <x v="4"/>
    <n v="2"/>
    <n v="1"/>
    <n v="8"/>
    <s v="Normal"/>
    <s v="Detractor"/>
    <m/>
  </r>
  <r>
    <s v="L1952"/>
    <x v="1"/>
    <s v="Warm"/>
    <d v="2025-10-13T00:00:00"/>
    <d v="2025-10-14T00:00:00"/>
    <d v="2025-10-18T00:00:00"/>
    <d v="2025-10-22T00:00:00"/>
    <s v="No"/>
    <s v="Nan"/>
    <d v="2025-11-21T00:00:00"/>
    <n v="1"/>
    <x v="0"/>
    <n v="4"/>
    <n v="1"/>
    <n v="9"/>
    <s v="Normal"/>
    <s v="Detractor"/>
    <m/>
  </r>
  <r>
    <s v="L1953"/>
    <x v="0"/>
    <s v="Warm"/>
    <d v="2025-10-14T00:00:00"/>
    <d v="2025-10-16T00:00:00"/>
    <d v="2025-10-17T00:00:00"/>
    <d v="2025-10-19T00:00:00"/>
    <s v="No"/>
    <s v="Nan"/>
    <d v="2025-11-03T00:00:00"/>
    <n v="2"/>
    <x v="4"/>
    <n v="2"/>
    <n v="6"/>
    <n v="5"/>
    <s v="Normal"/>
    <s v="Detractor"/>
    <m/>
  </r>
  <r>
    <s v="L1954"/>
    <x v="0"/>
    <s v="Hot"/>
    <d v="2025-10-22T00:00:00"/>
    <d v="2025-10-23T00:00:00"/>
    <d v="2025-10-26T00:00:00"/>
    <d v="2025-10-31T00:00:00"/>
    <s v="No"/>
    <s v="Nan"/>
    <d v="2025-11-13T00:00:00"/>
    <n v="1"/>
    <x v="3"/>
    <n v="5"/>
    <n v="1"/>
    <n v="9"/>
    <s v="Normal"/>
    <s v="Detractor"/>
    <m/>
  </r>
  <r>
    <s v="L1955"/>
    <x v="0"/>
    <s v="Warm"/>
    <d v="2025-10-04T00:00:00"/>
    <d v="2025-10-08T00:00:00"/>
    <d v="2025-10-12T00:00:00"/>
    <d v="2025-10-18T00:00:00"/>
    <s v="No"/>
    <s v="Nan"/>
    <d v="2025-11-01T00:00:00"/>
    <n v="4"/>
    <x v="0"/>
    <n v="6"/>
    <n v="2"/>
    <n v="14"/>
    <s v="Normal"/>
    <s v="Detractor"/>
    <m/>
  </r>
  <r>
    <s v="L1956"/>
    <x v="3"/>
    <s v="Cold"/>
    <d v="2025-10-16T00:00:00"/>
    <m/>
    <m/>
    <m/>
    <s v="Yes"/>
    <s v="Price"/>
    <m/>
    <s v=""/>
    <x v="2"/>
    <s v=""/>
    <m/>
    <m/>
    <s v="Normal"/>
    <s v="Detractor"/>
    <m/>
  </r>
  <r>
    <s v="L1957"/>
    <x v="0"/>
    <s v="Warm"/>
    <d v="2025-10-23T00:00:00"/>
    <d v="2025-10-26T00:00:00"/>
    <d v="2025-10-27T00:00:00"/>
    <d v="2025-10-31T00:00:00"/>
    <s v="No"/>
    <s v="Nan"/>
    <d v="2025-11-11T00:00:00"/>
    <n v="3"/>
    <x v="4"/>
    <n v="4"/>
    <n v="10"/>
    <n v="8"/>
    <s v="Normal"/>
    <s v="Promoter"/>
    <m/>
  </r>
  <r>
    <s v="L1958"/>
    <x v="0"/>
    <s v="Warm"/>
    <d v="2025-10-30T00:00:00"/>
    <d v="2025-11-02T00:00:00"/>
    <d v="2025-11-03T00:00:00"/>
    <d v="2025-11-09T00:00:00"/>
    <s v="No"/>
    <s v="Nan"/>
    <d v="2025-11-24T00:00:00"/>
    <n v="3"/>
    <x v="4"/>
    <n v="6"/>
    <n v="1"/>
    <n v="10"/>
    <s v="Normal"/>
    <s v="Detractor"/>
    <m/>
  </r>
  <r>
    <s v="L1959"/>
    <x v="0"/>
    <s v="Cold"/>
    <d v="2025-10-15T00:00:00"/>
    <m/>
    <m/>
    <m/>
    <s v="Yes"/>
    <s v="Changed Mind"/>
    <m/>
    <s v=""/>
    <x v="2"/>
    <s v=""/>
    <m/>
    <m/>
    <s v="Normal"/>
    <s v="Detractor"/>
    <m/>
  </r>
  <r>
    <s v="L1960"/>
    <x v="0"/>
    <s v="Hot"/>
    <d v="2025-10-03T00:00:00"/>
    <d v="2025-10-08T00:00:00"/>
    <d v="2025-10-10T00:00:00"/>
    <d v="2025-10-13T00:00:00"/>
    <s v="No"/>
    <s v="Nan"/>
    <d v="2025-10-26T00:00:00"/>
    <n v="5"/>
    <x v="5"/>
    <n v="3"/>
    <n v="8"/>
    <n v="10"/>
    <s v="Normal"/>
    <s v="Passive"/>
    <m/>
  </r>
  <r>
    <s v="L1961"/>
    <x v="2"/>
    <s v="Warm"/>
    <d v="2025-10-29T00:00:00"/>
    <d v="2025-11-01T00:00:00"/>
    <d v="2025-11-04T00:00:00"/>
    <d v="2025-11-07T00:00:00"/>
    <s v="No"/>
    <s v="Nan"/>
    <d v="2025-11-30T00:00:00"/>
    <n v="3"/>
    <x v="3"/>
    <n v="3"/>
    <n v="6"/>
    <n v="9"/>
    <s v="Normal"/>
    <s v="Detractor"/>
    <m/>
  </r>
  <r>
    <s v="L1962"/>
    <x v="3"/>
    <s v="Cold"/>
    <d v="2025-10-03T00:00:00"/>
    <m/>
    <m/>
    <m/>
    <s v="Yes"/>
    <s v="Other"/>
    <m/>
    <s v=""/>
    <x v="2"/>
    <s v=""/>
    <m/>
    <m/>
    <s v="Normal"/>
    <s v="Detractor"/>
    <m/>
  </r>
  <r>
    <s v="L1963"/>
    <x v="1"/>
    <s v="Hot"/>
    <d v="2025-10-11T00:00:00"/>
    <d v="2025-10-13T00:00:00"/>
    <d v="2025-10-16T00:00:00"/>
    <d v="2025-10-18T00:00:00"/>
    <s v="No"/>
    <s v="Nan"/>
    <d v="2025-11-15T00:00:00"/>
    <n v="2"/>
    <x v="3"/>
    <n v="2"/>
    <n v="3"/>
    <n v="7"/>
    <s v="Normal"/>
    <s v="Detractor"/>
    <m/>
  </r>
  <r>
    <s v="L1964"/>
    <x v="0"/>
    <s v="Warm"/>
    <d v="2025-10-20T00:00:00"/>
    <d v="2025-10-22T00:00:00"/>
    <d v="2025-10-25T00:00:00"/>
    <d v="2025-10-28T00:00:00"/>
    <s v="No"/>
    <s v="Nan"/>
    <d v="2025-11-22T00:00:00"/>
    <n v="2"/>
    <x v="3"/>
    <n v="3"/>
    <n v="9"/>
    <n v="8"/>
    <s v="Normal"/>
    <s v="Promoter"/>
    <m/>
  </r>
  <r>
    <s v="L1965"/>
    <x v="2"/>
    <s v="Warm"/>
    <d v="2025-10-05T00:00:00"/>
    <d v="2025-10-10T00:00:00"/>
    <d v="2025-10-14T00:00:00"/>
    <d v="2025-10-21T00:00:00"/>
    <s v="No"/>
    <s v="Nan"/>
    <d v="2025-11-18T00:00:00"/>
    <n v="5"/>
    <x v="0"/>
    <n v="7"/>
    <n v="7"/>
    <n v="16"/>
    <s v="Normal"/>
    <s v="Passive"/>
    <m/>
  </r>
  <r>
    <s v="L1966"/>
    <x v="2"/>
    <s v="Warm"/>
    <d v="2025-10-03T00:00:00"/>
    <d v="2025-10-08T00:00:00"/>
    <d v="2025-10-10T00:00:00"/>
    <d v="2025-10-13T00:00:00"/>
    <s v="No"/>
    <s v="Nan"/>
    <d v="2025-11-06T00:00:00"/>
    <n v="5"/>
    <x v="5"/>
    <n v="3"/>
    <n v="4"/>
    <n v="10"/>
    <s v="Normal"/>
    <s v="Detractor"/>
    <m/>
  </r>
  <r>
    <s v="L1967"/>
    <x v="2"/>
    <s v="Warm"/>
    <d v="2025-10-05T00:00:00"/>
    <d v="2025-10-09T00:00:00"/>
    <d v="2025-10-14T00:00:00"/>
    <d v="2025-10-18T00:00:00"/>
    <s v="No"/>
    <s v="Nan"/>
    <d v="2025-11-02T00:00:00"/>
    <n v="4"/>
    <x v="1"/>
    <n v="4"/>
    <n v="7"/>
    <n v="13"/>
    <s v="Normal"/>
    <s v="Passive"/>
    <m/>
  </r>
  <r>
    <s v="L1968"/>
    <x v="1"/>
    <s v="Cold"/>
    <d v="2025-10-09T00:00:00"/>
    <m/>
    <m/>
    <m/>
    <s v="Yes"/>
    <s v="Financing Issue"/>
    <m/>
    <s v=""/>
    <x v="2"/>
    <s v=""/>
    <m/>
    <m/>
    <s v="Normal"/>
    <s v="Detractor"/>
    <m/>
  </r>
  <r>
    <s v="L1969"/>
    <x v="0"/>
    <s v="Warm"/>
    <d v="2025-10-20T00:00:00"/>
    <d v="2025-10-25T00:00:00"/>
    <d v="2025-10-29T00:00:00"/>
    <d v="2025-11-04T00:00:00"/>
    <s v="No"/>
    <s v="Nan"/>
    <d v="2025-12-03T00:00:00"/>
    <n v="5"/>
    <x v="0"/>
    <n v="6"/>
    <n v="6"/>
    <n v="15"/>
    <s v="Normal"/>
    <s v="Detractor"/>
    <m/>
  </r>
  <r>
    <s v="L1970"/>
    <x v="3"/>
    <s v="Hot"/>
    <d v="2025-10-21T00:00:00"/>
    <d v="2025-10-22T00:00:00"/>
    <d v="2025-10-25T00:00:00"/>
    <d v="2025-11-01T00:00:00"/>
    <s v="No"/>
    <s v="Nan"/>
    <d v="2025-11-23T00:00:00"/>
    <n v="1"/>
    <x v="3"/>
    <n v="7"/>
    <n v="10"/>
    <n v="11"/>
    <s v="Normal"/>
    <s v="Promoter"/>
    <m/>
  </r>
  <r>
    <s v="L1971"/>
    <x v="3"/>
    <s v="Cold"/>
    <d v="2025-10-19T00:00:00"/>
    <m/>
    <m/>
    <m/>
    <s v="Yes"/>
    <s v="Price"/>
    <m/>
    <s v=""/>
    <x v="2"/>
    <s v=""/>
    <m/>
    <m/>
    <s v="Normal"/>
    <s v="Detractor"/>
    <m/>
  </r>
  <r>
    <s v="L1972"/>
    <x v="2"/>
    <s v="Hot"/>
    <d v="2025-10-18T00:00:00"/>
    <d v="2025-10-19T00:00:00"/>
    <d v="2025-10-23T00:00:00"/>
    <d v="2025-10-25T00:00:00"/>
    <s v="No"/>
    <s v="Nan"/>
    <d v="2025-11-15T00:00:00"/>
    <n v="1"/>
    <x v="0"/>
    <n v="2"/>
    <n v="10"/>
    <n v="7"/>
    <s v="High"/>
    <s v="Promoter"/>
    <m/>
  </r>
  <r>
    <s v="L1973"/>
    <x v="1"/>
    <s v="Warm"/>
    <d v="2025-10-23T00:00:00"/>
    <d v="2025-10-24T00:00:00"/>
    <d v="2025-10-25T00:00:00"/>
    <d v="2025-10-28T00:00:00"/>
    <s v="No"/>
    <s v="Nan"/>
    <d v="2025-11-26T00:00:00"/>
    <n v="1"/>
    <x v="4"/>
    <n v="3"/>
    <n v="9"/>
    <n v="5"/>
    <s v="Normal"/>
    <s v="Promoter"/>
    <m/>
  </r>
  <r>
    <s v="L1974"/>
    <x v="1"/>
    <s v="Warm"/>
    <d v="2025-10-11T00:00:00"/>
    <d v="2025-10-13T00:00:00"/>
    <d v="2025-10-17T00:00:00"/>
    <d v="2025-10-23T00:00:00"/>
    <s v="No"/>
    <s v="Nan"/>
    <d v="2025-11-02T00:00:00"/>
    <n v="2"/>
    <x v="0"/>
    <n v="6"/>
    <n v="7"/>
    <n v="12"/>
    <s v="Normal"/>
    <s v="Passive"/>
    <m/>
  </r>
  <r>
    <s v="L1975"/>
    <x v="1"/>
    <s v="Warm"/>
    <d v="2025-10-13T00:00:00"/>
    <d v="2025-10-16T00:00:00"/>
    <d v="2025-10-20T00:00:00"/>
    <d v="2025-10-25T00:00:00"/>
    <s v="Yes"/>
    <s v="Others"/>
    <m/>
    <n v="3"/>
    <x v="0"/>
    <n v="5"/>
    <m/>
    <n v="12"/>
    <s v="Normal"/>
    <s v="Detractor"/>
    <m/>
  </r>
  <r>
    <s v="L1976"/>
    <x v="3"/>
    <s v="Warm"/>
    <d v="2025-10-20T00:00:00"/>
    <d v="2025-10-24T00:00:00"/>
    <d v="2025-10-27T00:00:00"/>
    <d v="2025-10-31T00:00:00"/>
    <s v="Yes"/>
    <s v="Price"/>
    <m/>
    <n v="4"/>
    <x v="3"/>
    <n v="4"/>
    <m/>
    <n v="11"/>
    <s v="Normal"/>
    <s v="Detractor"/>
    <m/>
  </r>
  <r>
    <s v="L1977"/>
    <x v="2"/>
    <s v="Cold"/>
    <d v="2025-10-17T00:00:00"/>
    <m/>
    <m/>
    <m/>
    <s v="Yes"/>
    <s v="Financing Issue"/>
    <m/>
    <s v=""/>
    <x v="2"/>
    <s v=""/>
    <m/>
    <m/>
    <s v="Normal"/>
    <s v="Detractor"/>
    <m/>
  </r>
  <r>
    <s v="L1978"/>
    <x v="0"/>
    <s v="Warm"/>
    <d v="2025-10-10T00:00:00"/>
    <d v="2025-10-15T00:00:00"/>
    <d v="2025-10-16T00:00:00"/>
    <d v="2025-10-19T00:00:00"/>
    <s v="No"/>
    <s v="Nan"/>
    <d v="2025-11-02T00:00:00"/>
    <n v="5"/>
    <x v="4"/>
    <n v="3"/>
    <n v="8"/>
    <n v="9"/>
    <s v="Normal"/>
    <s v="Passive"/>
    <m/>
  </r>
  <r>
    <s v="L1979"/>
    <x v="3"/>
    <s v="Warm"/>
    <d v="2025-10-15T00:00:00"/>
    <d v="2025-10-19T00:00:00"/>
    <d v="2025-10-22T00:00:00"/>
    <d v="2025-10-25T00:00:00"/>
    <s v="No"/>
    <s v="Nan"/>
    <d v="2025-11-19T00:00:00"/>
    <n v="4"/>
    <x v="3"/>
    <n v="3"/>
    <n v="5"/>
    <n v="10"/>
    <s v="Normal"/>
    <s v="Detractor"/>
    <m/>
  </r>
  <r>
    <s v="L1980"/>
    <x v="2"/>
    <s v="Hot"/>
    <d v="2025-10-17T00:00:00"/>
    <d v="2025-10-19T00:00:00"/>
    <d v="2025-10-20T00:00:00"/>
    <d v="2025-10-23T00:00:00"/>
    <s v="No"/>
    <s v="Nan"/>
    <d v="2025-11-17T00:00:00"/>
    <n v="2"/>
    <x v="4"/>
    <n v="3"/>
    <n v="0"/>
    <n v="6"/>
    <s v="Normal"/>
    <s v="Detractor"/>
    <m/>
  </r>
  <r>
    <s v="L1981"/>
    <x v="2"/>
    <s v="Cold"/>
    <d v="2025-10-20T00:00:00"/>
    <m/>
    <m/>
    <m/>
    <s v="Yes"/>
    <s v="Other"/>
    <m/>
    <s v=""/>
    <x v="2"/>
    <s v=""/>
    <m/>
    <m/>
    <s v="Normal"/>
    <s v="Detractor"/>
    <m/>
  </r>
  <r>
    <s v="L1982"/>
    <x v="0"/>
    <s v="Cold"/>
    <d v="2025-10-14T00:00:00"/>
    <m/>
    <m/>
    <m/>
    <s v="Yes"/>
    <s v="Financing Issue"/>
    <m/>
    <s v=""/>
    <x v="2"/>
    <s v=""/>
    <m/>
    <m/>
    <s v="Normal"/>
    <s v="Detractor"/>
    <m/>
  </r>
  <r>
    <s v="L1983"/>
    <x v="0"/>
    <s v="Warm"/>
    <d v="2025-10-04T00:00:00"/>
    <d v="2025-10-09T00:00:00"/>
    <d v="2025-10-10T00:00:00"/>
    <d v="2025-10-16T00:00:00"/>
    <s v="No"/>
    <s v="Nan"/>
    <d v="2025-10-29T00:00:00"/>
    <n v="5"/>
    <x v="4"/>
    <n v="6"/>
    <n v="2"/>
    <n v="12"/>
    <s v="Normal"/>
    <s v="Detractor"/>
    <m/>
  </r>
  <r>
    <s v="L1984"/>
    <x v="0"/>
    <s v="Hot"/>
    <d v="2025-10-26T00:00:00"/>
    <d v="2025-10-31T00:00:00"/>
    <d v="2025-11-01T00:00:00"/>
    <d v="2025-11-05T00:00:00"/>
    <s v="No"/>
    <s v="Nan"/>
    <d v="2025-11-28T00:00:00"/>
    <n v="5"/>
    <x v="4"/>
    <n v="4"/>
    <n v="2"/>
    <n v="10"/>
    <s v="Normal"/>
    <s v="Detractor"/>
    <m/>
  </r>
  <r>
    <s v="L1985"/>
    <x v="1"/>
    <s v="Hot"/>
    <d v="2025-10-23T00:00:00"/>
    <d v="2025-10-25T00:00:00"/>
    <d v="2025-10-28T00:00:00"/>
    <d v="2025-11-04T00:00:00"/>
    <s v="No"/>
    <s v="Nan"/>
    <d v="2025-11-28T00:00:00"/>
    <n v="2"/>
    <x v="3"/>
    <n v="7"/>
    <n v="7"/>
    <n v="12"/>
    <s v="Normal"/>
    <s v="Passive"/>
    <m/>
  </r>
  <r>
    <s v="L1986"/>
    <x v="0"/>
    <s v="Hot"/>
    <d v="2025-10-04T00:00:00"/>
    <d v="2025-10-07T00:00:00"/>
    <d v="2025-10-08T00:00:00"/>
    <d v="2025-10-15T00:00:00"/>
    <s v="No"/>
    <s v="Nan"/>
    <d v="2025-10-26T00:00:00"/>
    <n v="3"/>
    <x v="4"/>
    <n v="7"/>
    <n v="8"/>
    <n v="11"/>
    <s v="Normal"/>
    <s v="Passive"/>
    <m/>
  </r>
  <r>
    <s v="L1987"/>
    <x v="2"/>
    <s v="Hot"/>
    <d v="2025-10-28T00:00:00"/>
    <d v="2025-11-02T00:00:00"/>
    <d v="2025-11-04T00:00:00"/>
    <d v="2025-11-08T00:00:00"/>
    <s v="No"/>
    <s v="Nan"/>
    <d v="2025-11-20T00:00:00"/>
    <n v="5"/>
    <x v="5"/>
    <n v="4"/>
    <n v="0"/>
    <n v="11"/>
    <s v="Normal"/>
    <s v="Detractor"/>
    <m/>
  </r>
  <r>
    <s v="L1988"/>
    <x v="0"/>
    <s v="Warm"/>
    <d v="2025-10-21T00:00:00"/>
    <d v="2025-10-24T00:00:00"/>
    <d v="2025-10-26T00:00:00"/>
    <d v="2025-11-01T00:00:00"/>
    <s v="No"/>
    <s v="Nan"/>
    <d v="2025-11-19T00:00:00"/>
    <n v="3"/>
    <x v="5"/>
    <n v="6"/>
    <n v="4"/>
    <n v="11"/>
    <s v="Normal"/>
    <s v="Detractor"/>
    <m/>
  </r>
  <r>
    <s v="L1989"/>
    <x v="2"/>
    <s v="Cold"/>
    <d v="2025-10-21T00:00:00"/>
    <m/>
    <m/>
    <m/>
    <s v="Yes"/>
    <s v="Others"/>
    <m/>
    <s v=""/>
    <x v="2"/>
    <s v=""/>
    <m/>
    <m/>
    <s v="Normal"/>
    <s v="Detractor"/>
    <m/>
  </r>
  <r>
    <s v="L1990"/>
    <x v="3"/>
    <s v="Warm"/>
    <d v="2025-10-29T00:00:00"/>
    <d v="2025-10-31T00:00:00"/>
    <d v="2025-11-05T00:00:00"/>
    <d v="2025-11-07T00:00:00"/>
    <s v="No"/>
    <s v="Nan"/>
    <d v="2025-12-07T00:00:00"/>
    <n v="2"/>
    <x v="1"/>
    <n v="2"/>
    <n v="6"/>
    <n v="9"/>
    <s v="Normal"/>
    <s v="Detractor"/>
    <m/>
  </r>
  <r>
    <s v="L1991"/>
    <x v="1"/>
    <s v="Hot"/>
    <d v="2025-10-25T00:00:00"/>
    <d v="2025-10-29T00:00:00"/>
    <d v="2025-10-31T00:00:00"/>
    <d v="2025-11-07T00:00:00"/>
    <s v="No"/>
    <s v="Nan"/>
    <d v="2025-11-27T00:00:00"/>
    <n v="4"/>
    <x v="5"/>
    <n v="7"/>
    <n v="3"/>
    <n v="13"/>
    <s v="Normal"/>
    <s v="Detractor"/>
    <m/>
  </r>
  <r>
    <s v="L1992"/>
    <x v="3"/>
    <s v="Hot"/>
    <d v="2025-10-18T00:00:00"/>
    <d v="2025-10-23T00:00:00"/>
    <d v="2025-10-28T00:00:00"/>
    <d v="2025-11-04T00:00:00"/>
    <s v="No"/>
    <s v="Nan"/>
    <d v="2025-11-14T00:00:00"/>
    <n v="5"/>
    <x v="1"/>
    <n v="7"/>
    <n v="5"/>
    <n v="17"/>
    <s v="Normal"/>
    <s v="Detractor"/>
    <m/>
  </r>
  <r>
    <s v="L1993"/>
    <x v="3"/>
    <s v="Hot"/>
    <d v="2025-10-24T00:00:00"/>
    <d v="2025-10-27T00:00:00"/>
    <d v="2025-10-29T00:00:00"/>
    <d v="2025-11-02T00:00:00"/>
    <s v="No"/>
    <s v="Nan"/>
    <d v="2025-11-28T00:00:00"/>
    <n v="3"/>
    <x v="5"/>
    <n v="4"/>
    <n v="7"/>
    <n v="9"/>
    <s v="Normal"/>
    <s v="Passive"/>
    <m/>
  </r>
  <r>
    <s v="L1994"/>
    <x v="2"/>
    <s v="Hot"/>
    <d v="2025-10-28T00:00:00"/>
    <d v="2025-11-02T00:00:00"/>
    <d v="2025-11-05T00:00:00"/>
    <d v="2025-11-11T00:00:00"/>
    <s v="No"/>
    <s v="Nan"/>
    <d v="2025-12-09T00:00:00"/>
    <n v="5"/>
    <x v="3"/>
    <n v="6"/>
    <n v="1"/>
    <n v="14"/>
    <s v="Normal"/>
    <s v="Detractor"/>
    <m/>
  </r>
  <r>
    <s v="L1995"/>
    <x v="3"/>
    <s v="Hot"/>
    <d v="2025-10-07T00:00:00"/>
    <d v="2025-10-10T00:00:00"/>
    <d v="2025-10-15T00:00:00"/>
    <d v="2025-10-21T00:00:00"/>
    <s v="No"/>
    <s v="Nan"/>
    <d v="2025-11-18T00:00:00"/>
    <n v="3"/>
    <x v="1"/>
    <n v="6"/>
    <n v="5"/>
    <n v="14"/>
    <s v="Normal"/>
    <s v="Detractor"/>
    <m/>
  </r>
  <r>
    <s v="L1996"/>
    <x v="2"/>
    <s v="Hot"/>
    <d v="2025-10-14T00:00:00"/>
    <d v="2025-10-19T00:00:00"/>
    <d v="2025-10-23T00:00:00"/>
    <d v="2025-10-26T00:00:00"/>
    <s v="No"/>
    <s v="Nan"/>
    <d v="2025-11-12T00:00:00"/>
    <n v="5"/>
    <x v="0"/>
    <n v="3"/>
    <n v="7"/>
    <n v="12"/>
    <s v="Normal"/>
    <s v="Passive"/>
    <m/>
  </r>
  <r>
    <s v="L1997"/>
    <x v="0"/>
    <s v="Warm"/>
    <d v="2025-10-15T00:00:00"/>
    <d v="2025-10-20T00:00:00"/>
    <d v="2025-10-24T00:00:00"/>
    <d v="2025-10-30T00:00:00"/>
    <s v="No"/>
    <s v="Nan"/>
    <d v="2025-11-19T00:00:00"/>
    <n v="5"/>
    <x v="0"/>
    <n v="6"/>
    <n v="3"/>
    <n v="15"/>
    <s v="Normal"/>
    <s v="Detractor"/>
    <m/>
  </r>
  <r>
    <s v="L1998"/>
    <x v="0"/>
    <s v="Cold"/>
    <d v="2025-10-29T00:00:00"/>
    <m/>
    <m/>
    <m/>
    <s v="Yes"/>
    <s v="Changed Mind"/>
    <m/>
    <s v=""/>
    <x v="2"/>
    <s v=""/>
    <m/>
    <m/>
    <s v="Normal"/>
    <s v="Detractor"/>
    <m/>
  </r>
  <r>
    <s v="L1999"/>
    <x v="2"/>
    <s v="Warm"/>
    <d v="2025-10-08T00:00:00"/>
    <d v="2025-10-13T00:00:00"/>
    <d v="2025-10-15T00:00:00"/>
    <d v="2025-10-18T00:00:00"/>
    <s v="No"/>
    <s v="Nan"/>
    <d v="2025-11-13T00:00:00"/>
    <n v="5"/>
    <x v="5"/>
    <n v="3"/>
    <n v="4"/>
    <n v="10"/>
    <s v="Normal"/>
    <s v="Detractor"/>
    <m/>
  </r>
  <r>
    <m/>
    <x v="4"/>
    <m/>
    <m/>
    <m/>
    <m/>
    <m/>
    <m/>
    <m/>
    <m/>
    <m/>
    <x v="6"/>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n v="4"/>
    <n v="4"/>
    <n v="5"/>
    <x v="0"/>
    <n v="13"/>
    <x v="0"/>
    <s v="Detractor"/>
    <m/>
  </r>
  <r>
    <x v="1"/>
    <x v="1"/>
    <x v="0"/>
    <x v="1"/>
    <x v="1"/>
    <x v="1"/>
    <x v="1"/>
    <x v="0"/>
    <x v="0"/>
    <x v="1"/>
    <n v="3"/>
    <n v="5"/>
    <n v="7"/>
    <x v="1"/>
    <n v="15"/>
    <x v="0"/>
    <s v="Passive"/>
    <m/>
  </r>
  <r>
    <x v="2"/>
    <x v="2"/>
    <x v="1"/>
    <x v="2"/>
    <x v="2"/>
    <x v="2"/>
    <x v="2"/>
    <x v="1"/>
    <x v="1"/>
    <x v="2"/>
    <s v=""/>
    <s v=""/>
    <s v=""/>
    <x v="2"/>
    <m/>
    <x v="0"/>
    <s v="Detractor"/>
    <m/>
  </r>
  <r>
    <x v="3"/>
    <x v="0"/>
    <x v="1"/>
    <x v="3"/>
    <x v="2"/>
    <x v="2"/>
    <x v="2"/>
    <x v="1"/>
    <x v="2"/>
    <x v="2"/>
    <s v=""/>
    <s v=""/>
    <s v=""/>
    <x v="2"/>
    <m/>
    <x v="0"/>
    <s v="Detractor"/>
    <m/>
  </r>
  <r>
    <x v="4"/>
    <x v="1"/>
    <x v="0"/>
    <x v="4"/>
    <x v="3"/>
    <x v="3"/>
    <x v="3"/>
    <x v="0"/>
    <x v="0"/>
    <x v="3"/>
    <n v="4"/>
    <n v="3"/>
    <n v="3"/>
    <x v="1"/>
    <n v="10"/>
    <x v="0"/>
    <s v="Passive"/>
    <m/>
  </r>
  <r>
    <x v="5"/>
    <x v="1"/>
    <x v="0"/>
    <x v="5"/>
    <x v="4"/>
    <x v="4"/>
    <x v="4"/>
    <x v="0"/>
    <x v="0"/>
    <x v="1"/>
    <n v="4"/>
    <n v="4"/>
    <n v="3"/>
    <x v="3"/>
    <n v="11"/>
    <x v="0"/>
    <s v="Promoter"/>
    <m/>
  </r>
  <r>
    <x v="6"/>
    <x v="2"/>
    <x v="2"/>
    <x v="6"/>
    <x v="5"/>
    <x v="3"/>
    <x v="5"/>
    <x v="0"/>
    <x v="0"/>
    <x v="1"/>
    <n v="4"/>
    <n v="1"/>
    <n v="7"/>
    <x v="4"/>
    <n v="12"/>
    <x v="0"/>
    <s v="Promoter"/>
    <m/>
  </r>
  <r>
    <x v="7"/>
    <x v="3"/>
    <x v="0"/>
    <x v="7"/>
    <x v="6"/>
    <x v="5"/>
    <x v="6"/>
    <x v="1"/>
    <x v="3"/>
    <x v="2"/>
    <n v="1"/>
    <n v="3"/>
    <n v="7"/>
    <x v="2"/>
    <n v="11"/>
    <x v="0"/>
    <s v="Detractor"/>
    <m/>
  </r>
  <r>
    <x v="8"/>
    <x v="0"/>
    <x v="2"/>
    <x v="4"/>
    <x v="7"/>
    <x v="6"/>
    <x v="7"/>
    <x v="0"/>
    <x v="0"/>
    <x v="4"/>
    <n v="3"/>
    <n v="3"/>
    <n v="5"/>
    <x v="1"/>
    <n v="11"/>
    <x v="0"/>
    <s v="Passive"/>
    <m/>
  </r>
  <r>
    <x v="9"/>
    <x v="2"/>
    <x v="0"/>
    <x v="8"/>
    <x v="8"/>
    <x v="7"/>
    <x v="8"/>
    <x v="0"/>
    <x v="0"/>
    <x v="1"/>
    <n v="4"/>
    <n v="1"/>
    <n v="5"/>
    <x v="5"/>
    <n v="10"/>
    <x v="0"/>
    <s v="Detractor"/>
    <m/>
  </r>
  <r>
    <x v="10"/>
    <x v="0"/>
    <x v="1"/>
    <x v="9"/>
    <x v="2"/>
    <x v="2"/>
    <x v="2"/>
    <x v="1"/>
    <x v="1"/>
    <x v="2"/>
    <s v=""/>
    <s v=""/>
    <s v=""/>
    <x v="2"/>
    <m/>
    <x v="0"/>
    <s v="Detractor"/>
    <m/>
  </r>
  <r>
    <x v="11"/>
    <x v="1"/>
    <x v="0"/>
    <x v="0"/>
    <x v="9"/>
    <x v="8"/>
    <x v="9"/>
    <x v="0"/>
    <x v="0"/>
    <x v="5"/>
    <n v="3"/>
    <n v="4"/>
    <n v="2"/>
    <x v="6"/>
    <n v="9"/>
    <x v="0"/>
    <s v="Detractor"/>
    <m/>
  </r>
  <r>
    <x v="12"/>
    <x v="1"/>
    <x v="0"/>
    <x v="10"/>
    <x v="10"/>
    <x v="9"/>
    <x v="10"/>
    <x v="0"/>
    <x v="0"/>
    <x v="6"/>
    <s v=""/>
    <n v="5"/>
    <n v="7"/>
    <x v="4"/>
    <n v="45974"/>
    <x v="0"/>
    <s v="Promoter"/>
    <m/>
  </r>
  <r>
    <x v="13"/>
    <x v="3"/>
    <x v="0"/>
    <x v="5"/>
    <x v="11"/>
    <x v="10"/>
    <x v="11"/>
    <x v="0"/>
    <x v="0"/>
    <x v="7"/>
    <n v="3"/>
    <n v="3"/>
    <n v="6"/>
    <x v="0"/>
    <n v="12"/>
    <x v="0"/>
    <s v="Detractor"/>
    <m/>
  </r>
  <r>
    <x v="14"/>
    <x v="1"/>
    <x v="2"/>
    <x v="11"/>
    <x v="7"/>
    <x v="11"/>
    <x v="12"/>
    <x v="1"/>
    <x v="3"/>
    <x v="2"/>
    <n v="2"/>
    <n v="1"/>
    <n v="3"/>
    <x v="2"/>
    <n v="6"/>
    <x v="0"/>
    <s v="Detractor"/>
    <m/>
  </r>
  <r>
    <x v="15"/>
    <x v="1"/>
    <x v="0"/>
    <x v="12"/>
    <x v="12"/>
    <x v="12"/>
    <x v="13"/>
    <x v="0"/>
    <x v="0"/>
    <x v="8"/>
    <n v="4"/>
    <n v="5"/>
    <n v="5"/>
    <x v="1"/>
    <n v="14"/>
    <x v="0"/>
    <s v="Passive"/>
    <m/>
  </r>
  <r>
    <x v="16"/>
    <x v="2"/>
    <x v="2"/>
    <x v="13"/>
    <x v="13"/>
    <x v="13"/>
    <x v="14"/>
    <x v="0"/>
    <x v="0"/>
    <x v="9"/>
    <n v="1"/>
    <n v="4"/>
    <n v="6"/>
    <x v="0"/>
    <n v="11"/>
    <x v="0"/>
    <s v="Detractor"/>
    <m/>
  </r>
  <r>
    <x v="17"/>
    <x v="0"/>
    <x v="2"/>
    <x v="4"/>
    <x v="14"/>
    <x v="11"/>
    <x v="15"/>
    <x v="0"/>
    <x v="0"/>
    <x v="10"/>
    <n v="1"/>
    <n v="3"/>
    <n v="5"/>
    <x v="6"/>
    <n v="9"/>
    <x v="0"/>
    <s v="Detractor"/>
    <m/>
  </r>
  <r>
    <x v="18"/>
    <x v="0"/>
    <x v="0"/>
    <x v="14"/>
    <x v="15"/>
    <x v="14"/>
    <x v="16"/>
    <x v="0"/>
    <x v="0"/>
    <x v="11"/>
    <n v="1"/>
    <n v="5"/>
    <n v="5"/>
    <x v="7"/>
    <n v="11"/>
    <x v="0"/>
    <s v="Detractor"/>
    <m/>
  </r>
  <r>
    <x v="19"/>
    <x v="2"/>
    <x v="0"/>
    <x v="15"/>
    <x v="0"/>
    <x v="15"/>
    <x v="17"/>
    <x v="0"/>
    <x v="0"/>
    <x v="11"/>
    <n v="1"/>
    <n v="5"/>
    <n v="2"/>
    <x v="8"/>
    <n v="8"/>
    <x v="0"/>
    <s v="Detractor"/>
    <m/>
  </r>
  <r>
    <x v="20"/>
    <x v="3"/>
    <x v="0"/>
    <x v="16"/>
    <x v="16"/>
    <x v="16"/>
    <x v="9"/>
    <x v="0"/>
    <x v="0"/>
    <x v="12"/>
    <n v="4"/>
    <n v="2"/>
    <n v="7"/>
    <x v="5"/>
    <n v="13"/>
    <x v="0"/>
    <s v="Detractor"/>
    <m/>
  </r>
  <r>
    <x v="21"/>
    <x v="0"/>
    <x v="2"/>
    <x v="8"/>
    <x v="10"/>
    <x v="10"/>
    <x v="18"/>
    <x v="0"/>
    <x v="0"/>
    <x v="13"/>
    <n v="1"/>
    <n v="1"/>
    <n v="3"/>
    <x v="9"/>
    <n v="5"/>
    <x v="0"/>
    <s v="Detractor"/>
    <m/>
  </r>
  <r>
    <x v="22"/>
    <x v="1"/>
    <x v="0"/>
    <x v="0"/>
    <x v="9"/>
    <x v="0"/>
    <x v="17"/>
    <x v="0"/>
    <x v="0"/>
    <x v="14"/>
    <n v="3"/>
    <n v="5"/>
    <n v="3"/>
    <x v="1"/>
    <n v="11"/>
    <x v="0"/>
    <s v="Passive"/>
    <m/>
  </r>
  <r>
    <x v="23"/>
    <x v="0"/>
    <x v="0"/>
    <x v="17"/>
    <x v="17"/>
    <x v="17"/>
    <x v="19"/>
    <x v="0"/>
    <x v="0"/>
    <x v="15"/>
    <n v="2"/>
    <n v="4"/>
    <n v="4"/>
    <x v="9"/>
    <n v="10"/>
    <x v="0"/>
    <s v="Detractor"/>
    <m/>
  </r>
  <r>
    <x v="24"/>
    <x v="1"/>
    <x v="0"/>
    <x v="18"/>
    <x v="0"/>
    <x v="18"/>
    <x v="0"/>
    <x v="0"/>
    <x v="0"/>
    <x v="8"/>
    <n v="5"/>
    <n v="2"/>
    <n v="7"/>
    <x v="10"/>
    <n v="14"/>
    <x v="0"/>
    <s v="Detractor"/>
    <m/>
  </r>
  <r>
    <x v="25"/>
    <x v="3"/>
    <x v="0"/>
    <x v="19"/>
    <x v="12"/>
    <x v="12"/>
    <x v="0"/>
    <x v="0"/>
    <x v="0"/>
    <x v="10"/>
    <n v="1"/>
    <n v="5"/>
    <n v="2"/>
    <x v="8"/>
    <n v="8"/>
    <x v="0"/>
    <s v="Detractor"/>
    <m/>
  </r>
  <r>
    <x v="26"/>
    <x v="2"/>
    <x v="0"/>
    <x v="20"/>
    <x v="8"/>
    <x v="19"/>
    <x v="20"/>
    <x v="0"/>
    <x v="0"/>
    <x v="16"/>
    <n v="5"/>
    <n v="5"/>
    <n v="6"/>
    <x v="10"/>
    <n v="16"/>
    <x v="0"/>
    <s v="Detractor"/>
    <m/>
  </r>
  <r>
    <x v="27"/>
    <x v="0"/>
    <x v="0"/>
    <x v="21"/>
    <x v="18"/>
    <x v="18"/>
    <x v="21"/>
    <x v="0"/>
    <x v="0"/>
    <x v="17"/>
    <n v="5"/>
    <n v="4"/>
    <n v="2"/>
    <x v="9"/>
    <n v="11"/>
    <x v="0"/>
    <s v="Detractor"/>
    <m/>
  </r>
  <r>
    <x v="28"/>
    <x v="2"/>
    <x v="0"/>
    <x v="22"/>
    <x v="11"/>
    <x v="12"/>
    <x v="4"/>
    <x v="0"/>
    <x v="0"/>
    <x v="14"/>
    <n v="5"/>
    <n v="2"/>
    <n v="6"/>
    <x v="9"/>
    <n v="13"/>
    <x v="0"/>
    <s v="Detractor"/>
    <m/>
  </r>
  <r>
    <x v="29"/>
    <x v="0"/>
    <x v="1"/>
    <x v="6"/>
    <x v="2"/>
    <x v="2"/>
    <x v="2"/>
    <x v="1"/>
    <x v="3"/>
    <x v="2"/>
    <s v=""/>
    <s v=""/>
    <s v=""/>
    <x v="2"/>
    <m/>
    <x v="0"/>
    <s v="Detractor"/>
    <m/>
  </r>
  <r>
    <x v="30"/>
    <x v="1"/>
    <x v="0"/>
    <x v="11"/>
    <x v="3"/>
    <x v="6"/>
    <x v="15"/>
    <x v="0"/>
    <x v="0"/>
    <x v="18"/>
    <n v="3"/>
    <n v="2"/>
    <n v="3"/>
    <x v="9"/>
    <n v="8"/>
    <x v="0"/>
    <s v="Detractor"/>
    <m/>
  </r>
  <r>
    <x v="31"/>
    <x v="2"/>
    <x v="0"/>
    <x v="4"/>
    <x v="14"/>
    <x v="20"/>
    <x v="22"/>
    <x v="0"/>
    <x v="0"/>
    <x v="14"/>
    <n v="1"/>
    <n v="1"/>
    <n v="4"/>
    <x v="7"/>
    <n v="6"/>
    <x v="0"/>
    <s v="Detractor"/>
    <m/>
  </r>
  <r>
    <x v="32"/>
    <x v="0"/>
    <x v="0"/>
    <x v="5"/>
    <x v="4"/>
    <x v="7"/>
    <x v="23"/>
    <x v="0"/>
    <x v="0"/>
    <x v="8"/>
    <n v="4"/>
    <n v="5"/>
    <n v="4"/>
    <x v="9"/>
    <n v="13"/>
    <x v="0"/>
    <s v="Detractor"/>
    <m/>
  </r>
  <r>
    <x v="33"/>
    <x v="1"/>
    <x v="0"/>
    <x v="15"/>
    <x v="12"/>
    <x v="8"/>
    <x v="24"/>
    <x v="0"/>
    <x v="0"/>
    <x v="19"/>
    <n v="3"/>
    <n v="1"/>
    <n v="3"/>
    <x v="9"/>
    <n v="7"/>
    <x v="0"/>
    <s v="Detractor"/>
    <m/>
  </r>
  <r>
    <x v="34"/>
    <x v="2"/>
    <x v="1"/>
    <x v="23"/>
    <x v="2"/>
    <x v="2"/>
    <x v="2"/>
    <x v="1"/>
    <x v="2"/>
    <x v="2"/>
    <s v=""/>
    <s v=""/>
    <s v=""/>
    <x v="2"/>
    <m/>
    <x v="0"/>
    <s v="Detractor"/>
    <m/>
  </r>
  <r>
    <x v="35"/>
    <x v="2"/>
    <x v="0"/>
    <x v="17"/>
    <x v="19"/>
    <x v="17"/>
    <x v="22"/>
    <x v="0"/>
    <x v="0"/>
    <x v="20"/>
    <n v="4"/>
    <n v="2"/>
    <n v="5"/>
    <x v="3"/>
    <n v="11"/>
    <x v="0"/>
    <s v="Promoter"/>
    <m/>
  </r>
  <r>
    <x v="36"/>
    <x v="0"/>
    <x v="0"/>
    <x v="1"/>
    <x v="20"/>
    <x v="21"/>
    <x v="6"/>
    <x v="1"/>
    <x v="4"/>
    <x v="2"/>
    <n v="1"/>
    <n v="1"/>
    <n v="2"/>
    <x v="2"/>
    <n v="4"/>
    <x v="0"/>
    <s v="Detractor"/>
    <m/>
  </r>
  <r>
    <x v="37"/>
    <x v="0"/>
    <x v="0"/>
    <x v="3"/>
    <x v="4"/>
    <x v="4"/>
    <x v="11"/>
    <x v="0"/>
    <x v="0"/>
    <x v="21"/>
    <n v="3"/>
    <n v="4"/>
    <n v="4"/>
    <x v="0"/>
    <n v="11"/>
    <x v="0"/>
    <s v="Detractor"/>
    <m/>
  </r>
  <r>
    <x v="38"/>
    <x v="0"/>
    <x v="0"/>
    <x v="24"/>
    <x v="19"/>
    <x v="20"/>
    <x v="15"/>
    <x v="0"/>
    <x v="0"/>
    <x v="22"/>
    <n v="5"/>
    <n v="3"/>
    <n v="7"/>
    <x v="3"/>
    <n v="15"/>
    <x v="0"/>
    <s v="Promoter"/>
    <m/>
  </r>
  <r>
    <x v="39"/>
    <x v="1"/>
    <x v="0"/>
    <x v="5"/>
    <x v="11"/>
    <x v="22"/>
    <x v="11"/>
    <x v="1"/>
    <x v="1"/>
    <x v="2"/>
    <n v="3"/>
    <n v="4"/>
    <n v="5"/>
    <x v="2"/>
    <n v="12"/>
    <x v="0"/>
    <s v="Detractor"/>
    <m/>
  </r>
  <r>
    <x v="40"/>
    <x v="0"/>
    <x v="1"/>
    <x v="20"/>
    <x v="2"/>
    <x v="2"/>
    <x v="2"/>
    <x v="1"/>
    <x v="2"/>
    <x v="2"/>
    <s v=""/>
    <s v=""/>
    <s v=""/>
    <x v="2"/>
    <m/>
    <x v="0"/>
    <s v="Detractor"/>
    <m/>
  </r>
  <r>
    <x v="41"/>
    <x v="2"/>
    <x v="0"/>
    <x v="25"/>
    <x v="13"/>
    <x v="5"/>
    <x v="25"/>
    <x v="0"/>
    <x v="0"/>
    <x v="22"/>
    <n v="3"/>
    <n v="2"/>
    <n v="6"/>
    <x v="5"/>
    <n v="11"/>
    <x v="0"/>
    <s v="Detractor"/>
    <m/>
  </r>
  <r>
    <x v="42"/>
    <x v="2"/>
    <x v="0"/>
    <x v="17"/>
    <x v="21"/>
    <x v="23"/>
    <x v="12"/>
    <x v="0"/>
    <x v="0"/>
    <x v="3"/>
    <n v="1"/>
    <n v="4"/>
    <n v="7"/>
    <x v="11"/>
    <n v="12"/>
    <x v="0"/>
    <s v="Passive"/>
    <m/>
  </r>
  <r>
    <x v="43"/>
    <x v="0"/>
    <x v="1"/>
    <x v="26"/>
    <x v="2"/>
    <x v="2"/>
    <x v="2"/>
    <x v="1"/>
    <x v="3"/>
    <x v="2"/>
    <s v=""/>
    <s v=""/>
    <s v=""/>
    <x v="2"/>
    <m/>
    <x v="0"/>
    <s v="Detractor"/>
    <m/>
  </r>
  <r>
    <x v="44"/>
    <x v="0"/>
    <x v="2"/>
    <x v="11"/>
    <x v="5"/>
    <x v="24"/>
    <x v="1"/>
    <x v="0"/>
    <x v="0"/>
    <x v="8"/>
    <n v="5"/>
    <n v="2"/>
    <n v="4"/>
    <x v="1"/>
    <n v="11"/>
    <x v="0"/>
    <s v="Passive"/>
    <m/>
  </r>
  <r>
    <x v="45"/>
    <x v="3"/>
    <x v="2"/>
    <x v="24"/>
    <x v="19"/>
    <x v="25"/>
    <x v="15"/>
    <x v="0"/>
    <x v="0"/>
    <x v="4"/>
    <n v="5"/>
    <n v="4"/>
    <n v="6"/>
    <x v="9"/>
    <n v="15"/>
    <x v="0"/>
    <s v="Detractor"/>
    <m/>
  </r>
  <r>
    <x v="46"/>
    <x v="2"/>
    <x v="0"/>
    <x v="22"/>
    <x v="12"/>
    <x v="12"/>
    <x v="13"/>
    <x v="0"/>
    <x v="0"/>
    <x v="23"/>
    <n v="2"/>
    <n v="5"/>
    <n v="5"/>
    <x v="7"/>
    <n v="12"/>
    <x v="0"/>
    <s v="Detractor"/>
    <m/>
  </r>
  <r>
    <x v="47"/>
    <x v="1"/>
    <x v="1"/>
    <x v="11"/>
    <x v="2"/>
    <x v="2"/>
    <x v="2"/>
    <x v="1"/>
    <x v="2"/>
    <x v="2"/>
    <s v=""/>
    <s v=""/>
    <s v=""/>
    <x v="2"/>
    <m/>
    <x v="0"/>
    <s v="Detractor"/>
    <m/>
  </r>
  <r>
    <x v="48"/>
    <x v="3"/>
    <x v="2"/>
    <x v="23"/>
    <x v="16"/>
    <x v="26"/>
    <x v="17"/>
    <x v="0"/>
    <x v="0"/>
    <x v="24"/>
    <n v="2"/>
    <n v="5"/>
    <n v="6"/>
    <x v="6"/>
    <n v="13"/>
    <x v="0"/>
    <s v="Detractor"/>
    <m/>
  </r>
  <r>
    <x v="49"/>
    <x v="0"/>
    <x v="2"/>
    <x v="18"/>
    <x v="9"/>
    <x v="8"/>
    <x v="26"/>
    <x v="0"/>
    <x v="0"/>
    <x v="1"/>
    <n v="4"/>
    <n v="4"/>
    <n v="5"/>
    <x v="5"/>
    <n v="13"/>
    <x v="0"/>
    <s v="Detractor"/>
    <m/>
  </r>
  <r>
    <x v="50"/>
    <x v="0"/>
    <x v="2"/>
    <x v="27"/>
    <x v="9"/>
    <x v="27"/>
    <x v="24"/>
    <x v="0"/>
    <x v="0"/>
    <x v="25"/>
    <n v="2"/>
    <n v="1"/>
    <n v="6"/>
    <x v="5"/>
    <n v="9"/>
    <x v="0"/>
    <s v="Detractor"/>
    <m/>
  </r>
  <r>
    <x v="51"/>
    <x v="2"/>
    <x v="2"/>
    <x v="28"/>
    <x v="1"/>
    <x v="20"/>
    <x v="27"/>
    <x v="0"/>
    <x v="0"/>
    <x v="15"/>
    <n v="1"/>
    <n v="2"/>
    <n v="2"/>
    <x v="5"/>
    <n v="5"/>
    <x v="0"/>
    <s v="Detractor"/>
    <m/>
  </r>
  <r>
    <x v="52"/>
    <x v="0"/>
    <x v="2"/>
    <x v="1"/>
    <x v="1"/>
    <x v="1"/>
    <x v="15"/>
    <x v="0"/>
    <x v="0"/>
    <x v="20"/>
    <n v="3"/>
    <n v="5"/>
    <n v="4"/>
    <x v="8"/>
    <n v="12"/>
    <x v="0"/>
    <s v="Detractor"/>
    <m/>
  </r>
  <r>
    <x v="53"/>
    <x v="1"/>
    <x v="0"/>
    <x v="2"/>
    <x v="13"/>
    <x v="5"/>
    <x v="28"/>
    <x v="0"/>
    <x v="0"/>
    <x v="11"/>
    <n v="5"/>
    <n v="2"/>
    <n v="4"/>
    <x v="8"/>
    <n v="11"/>
    <x v="0"/>
    <s v="Detractor"/>
    <m/>
  </r>
  <r>
    <x v="54"/>
    <x v="2"/>
    <x v="0"/>
    <x v="6"/>
    <x v="22"/>
    <x v="28"/>
    <x v="21"/>
    <x v="0"/>
    <x v="0"/>
    <x v="8"/>
    <n v="3"/>
    <n v="5"/>
    <n v="5"/>
    <x v="1"/>
    <n v="13"/>
    <x v="0"/>
    <s v="Passive"/>
    <m/>
  </r>
  <r>
    <x v="55"/>
    <x v="0"/>
    <x v="2"/>
    <x v="3"/>
    <x v="23"/>
    <x v="12"/>
    <x v="4"/>
    <x v="0"/>
    <x v="0"/>
    <x v="7"/>
    <n v="1"/>
    <n v="3"/>
    <n v="6"/>
    <x v="9"/>
    <n v="10"/>
    <x v="0"/>
    <s v="Detractor"/>
    <m/>
  </r>
  <r>
    <x v="56"/>
    <x v="2"/>
    <x v="0"/>
    <x v="1"/>
    <x v="1"/>
    <x v="11"/>
    <x v="12"/>
    <x v="0"/>
    <x v="0"/>
    <x v="5"/>
    <n v="3"/>
    <n v="4"/>
    <n v="3"/>
    <x v="5"/>
    <n v="10"/>
    <x v="0"/>
    <s v="Detractor"/>
    <m/>
  </r>
  <r>
    <x v="57"/>
    <x v="0"/>
    <x v="2"/>
    <x v="14"/>
    <x v="17"/>
    <x v="20"/>
    <x v="15"/>
    <x v="0"/>
    <x v="0"/>
    <x v="26"/>
    <n v="5"/>
    <n v="5"/>
    <n v="7"/>
    <x v="10"/>
    <n v="17"/>
    <x v="0"/>
    <s v="Detractor"/>
    <m/>
  </r>
  <r>
    <x v="58"/>
    <x v="0"/>
    <x v="0"/>
    <x v="6"/>
    <x v="3"/>
    <x v="24"/>
    <x v="21"/>
    <x v="1"/>
    <x v="4"/>
    <x v="2"/>
    <n v="2"/>
    <n v="4"/>
    <n v="7"/>
    <x v="2"/>
    <n v="13"/>
    <x v="0"/>
    <s v="Detractor"/>
    <m/>
  </r>
  <r>
    <x v="59"/>
    <x v="0"/>
    <x v="0"/>
    <x v="29"/>
    <x v="17"/>
    <x v="23"/>
    <x v="27"/>
    <x v="0"/>
    <x v="0"/>
    <x v="25"/>
    <n v="4"/>
    <n v="3"/>
    <n v="4"/>
    <x v="0"/>
    <n v="11"/>
    <x v="0"/>
    <s v="Detractor"/>
    <m/>
  </r>
  <r>
    <x v="60"/>
    <x v="1"/>
    <x v="0"/>
    <x v="9"/>
    <x v="7"/>
    <x v="1"/>
    <x v="7"/>
    <x v="0"/>
    <x v="0"/>
    <x v="8"/>
    <n v="5"/>
    <n v="2"/>
    <n v="6"/>
    <x v="11"/>
    <n v="13"/>
    <x v="0"/>
    <s v="Passive"/>
    <m/>
  </r>
  <r>
    <x v="61"/>
    <x v="1"/>
    <x v="2"/>
    <x v="19"/>
    <x v="4"/>
    <x v="4"/>
    <x v="8"/>
    <x v="0"/>
    <x v="0"/>
    <x v="27"/>
    <n v="5"/>
    <n v="4"/>
    <n v="6"/>
    <x v="3"/>
    <n v="15"/>
    <x v="0"/>
    <s v="Promoter"/>
    <m/>
  </r>
  <r>
    <x v="62"/>
    <x v="2"/>
    <x v="0"/>
    <x v="17"/>
    <x v="1"/>
    <x v="1"/>
    <x v="12"/>
    <x v="0"/>
    <x v="0"/>
    <x v="26"/>
    <n v="5"/>
    <n v="5"/>
    <n v="2"/>
    <x v="9"/>
    <n v="12"/>
    <x v="0"/>
    <s v="Detractor"/>
    <m/>
  </r>
  <r>
    <x v="63"/>
    <x v="0"/>
    <x v="2"/>
    <x v="1"/>
    <x v="24"/>
    <x v="1"/>
    <x v="1"/>
    <x v="0"/>
    <x v="0"/>
    <x v="8"/>
    <n v="5"/>
    <n v="3"/>
    <n v="7"/>
    <x v="9"/>
    <n v="15"/>
    <x v="0"/>
    <s v="Detractor"/>
    <m/>
  </r>
  <r>
    <x v="64"/>
    <x v="0"/>
    <x v="1"/>
    <x v="17"/>
    <x v="2"/>
    <x v="2"/>
    <x v="2"/>
    <x v="1"/>
    <x v="1"/>
    <x v="2"/>
    <s v=""/>
    <s v=""/>
    <s v=""/>
    <x v="2"/>
    <m/>
    <x v="0"/>
    <s v="Detractor"/>
    <m/>
  </r>
  <r>
    <x v="65"/>
    <x v="1"/>
    <x v="0"/>
    <x v="26"/>
    <x v="11"/>
    <x v="4"/>
    <x v="4"/>
    <x v="0"/>
    <x v="0"/>
    <x v="1"/>
    <n v="1"/>
    <n v="5"/>
    <n v="3"/>
    <x v="4"/>
    <n v="9"/>
    <x v="0"/>
    <s v="Promoter"/>
    <m/>
  </r>
  <r>
    <x v="66"/>
    <x v="0"/>
    <x v="0"/>
    <x v="18"/>
    <x v="0"/>
    <x v="8"/>
    <x v="17"/>
    <x v="0"/>
    <x v="0"/>
    <x v="8"/>
    <n v="5"/>
    <n v="3"/>
    <n v="4"/>
    <x v="8"/>
    <n v="12"/>
    <x v="0"/>
    <s v="Detractor"/>
    <m/>
  </r>
  <r>
    <x v="67"/>
    <x v="1"/>
    <x v="2"/>
    <x v="12"/>
    <x v="25"/>
    <x v="0"/>
    <x v="24"/>
    <x v="0"/>
    <x v="0"/>
    <x v="12"/>
    <n v="3"/>
    <n v="3"/>
    <n v="2"/>
    <x v="7"/>
    <n v="8"/>
    <x v="0"/>
    <s v="Detractor"/>
    <m/>
  </r>
  <r>
    <x v="68"/>
    <x v="0"/>
    <x v="1"/>
    <x v="26"/>
    <x v="2"/>
    <x v="2"/>
    <x v="2"/>
    <x v="1"/>
    <x v="4"/>
    <x v="2"/>
    <s v=""/>
    <s v=""/>
    <s v=""/>
    <x v="2"/>
    <m/>
    <x v="0"/>
    <s v="Detractor"/>
    <m/>
  </r>
  <r>
    <x v="69"/>
    <x v="2"/>
    <x v="2"/>
    <x v="17"/>
    <x v="21"/>
    <x v="17"/>
    <x v="27"/>
    <x v="0"/>
    <x v="0"/>
    <x v="18"/>
    <n v="1"/>
    <n v="5"/>
    <n v="3"/>
    <x v="10"/>
    <n v="9"/>
    <x v="0"/>
    <s v="Detractor"/>
    <m/>
  </r>
  <r>
    <x v="70"/>
    <x v="0"/>
    <x v="2"/>
    <x v="21"/>
    <x v="5"/>
    <x v="28"/>
    <x v="5"/>
    <x v="0"/>
    <x v="0"/>
    <x v="11"/>
    <n v="2"/>
    <n v="4"/>
    <n v="4"/>
    <x v="4"/>
    <n v="10"/>
    <x v="0"/>
    <s v="Promoter"/>
    <m/>
  </r>
  <r>
    <x v="71"/>
    <x v="0"/>
    <x v="0"/>
    <x v="2"/>
    <x v="26"/>
    <x v="29"/>
    <x v="29"/>
    <x v="0"/>
    <x v="0"/>
    <x v="28"/>
    <n v="3"/>
    <n v="2"/>
    <n v="2"/>
    <x v="11"/>
    <n v="7"/>
    <x v="0"/>
    <s v="Passive"/>
    <m/>
  </r>
  <r>
    <x v="72"/>
    <x v="3"/>
    <x v="2"/>
    <x v="16"/>
    <x v="5"/>
    <x v="24"/>
    <x v="7"/>
    <x v="0"/>
    <x v="0"/>
    <x v="22"/>
    <n v="3"/>
    <n v="2"/>
    <n v="3"/>
    <x v="5"/>
    <n v="8"/>
    <x v="0"/>
    <s v="Detractor"/>
    <m/>
  </r>
  <r>
    <x v="73"/>
    <x v="1"/>
    <x v="1"/>
    <x v="8"/>
    <x v="2"/>
    <x v="2"/>
    <x v="2"/>
    <x v="1"/>
    <x v="5"/>
    <x v="2"/>
    <s v=""/>
    <s v=""/>
    <s v=""/>
    <x v="2"/>
    <m/>
    <x v="0"/>
    <s v="Detractor"/>
    <m/>
  </r>
  <r>
    <x v="74"/>
    <x v="0"/>
    <x v="0"/>
    <x v="29"/>
    <x v="21"/>
    <x v="21"/>
    <x v="16"/>
    <x v="0"/>
    <x v="0"/>
    <x v="25"/>
    <n v="3"/>
    <n v="3"/>
    <n v="4"/>
    <x v="6"/>
    <n v="10"/>
    <x v="0"/>
    <s v="Detractor"/>
    <m/>
  </r>
  <r>
    <x v="75"/>
    <x v="0"/>
    <x v="2"/>
    <x v="25"/>
    <x v="13"/>
    <x v="30"/>
    <x v="27"/>
    <x v="0"/>
    <x v="0"/>
    <x v="17"/>
    <n v="3"/>
    <n v="5"/>
    <n v="7"/>
    <x v="10"/>
    <n v="15"/>
    <x v="0"/>
    <s v="Detractor"/>
    <m/>
  </r>
  <r>
    <x v="76"/>
    <x v="3"/>
    <x v="0"/>
    <x v="24"/>
    <x v="27"/>
    <x v="14"/>
    <x v="6"/>
    <x v="0"/>
    <x v="0"/>
    <x v="3"/>
    <n v="1"/>
    <n v="3"/>
    <n v="3"/>
    <x v="1"/>
    <n v="7"/>
    <x v="0"/>
    <s v="Passive"/>
    <m/>
  </r>
  <r>
    <x v="77"/>
    <x v="3"/>
    <x v="1"/>
    <x v="15"/>
    <x v="2"/>
    <x v="2"/>
    <x v="2"/>
    <x v="1"/>
    <x v="1"/>
    <x v="2"/>
    <s v=""/>
    <s v=""/>
    <s v=""/>
    <x v="2"/>
    <m/>
    <x v="0"/>
    <s v="Detractor"/>
    <m/>
  </r>
  <r>
    <x v="78"/>
    <x v="1"/>
    <x v="1"/>
    <x v="4"/>
    <x v="2"/>
    <x v="2"/>
    <x v="2"/>
    <x v="1"/>
    <x v="4"/>
    <x v="2"/>
    <s v=""/>
    <s v=""/>
    <s v=""/>
    <x v="2"/>
    <m/>
    <x v="0"/>
    <s v="Detractor"/>
    <m/>
  </r>
  <r>
    <x v="79"/>
    <x v="3"/>
    <x v="0"/>
    <x v="6"/>
    <x v="3"/>
    <x v="6"/>
    <x v="1"/>
    <x v="1"/>
    <x v="3"/>
    <x v="2"/>
    <n v="2"/>
    <n v="2"/>
    <n v="6"/>
    <x v="2"/>
    <n v="10"/>
    <x v="0"/>
    <s v="Detractor"/>
    <m/>
  </r>
  <r>
    <x v="80"/>
    <x v="2"/>
    <x v="1"/>
    <x v="21"/>
    <x v="2"/>
    <x v="2"/>
    <x v="2"/>
    <x v="1"/>
    <x v="1"/>
    <x v="2"/>
    <s v=""/>
    <s v=""/>
    <s v=""/>
    <x v="2"/>
    <m/>
    <x v="0"/>
    <s v="Detractor"/>
    <m/>
  </r>
  <r>
    <x v="81"/>
    <x v="3"/>
    <x v="1"/>
    <x v="22"/>
    <x v="2"/>
    <x v="2"/>
    <x v="2"/>
    <x v="1"/>
    <x v="1"/>
    <x v="2"/>
    <s v=""/>
    <s v=""/>
    <s v=""/>
    <x v="2"/>
    <m/>
    <x v="0"/>
    <s v="Detractor"/>
    <m/>
  </r>
  <r>
    <x v="82"/>
    <x v="2"/>
    <x v="0"/>
    <x v="24"/>
    <x v="21"/>
    <x v="21"/>
    <x v="27"/>
    <x v="0"/>
    <x v="0"/>
    <x v="29"/>
    <n v="2"/>
    <n v="3"/>
    <n v="5"/>
    <x v="7"/>
    <n v="10"/>
    <x v="0"/>
    <s v="Detractor"/>
    <m/>
  </r>
  <r>
    <x v="83"/>
    <x v="1"/>
    <x v="2"/>
    <x v="12"/>
    <x v="28"/>
    <x v="31"/>
    <x v="18"/>
    <x v="0"/>
    <x v="0"/>
    <x v="24"/>
    <n v="5"/>
    <n v="3"/>
    <n v="5"/>
    <x v="7"/>
    <n v="13"/>
    <x v="0"/>
    <s v="Detractor"/>
    <m/>
  </r>
  <r>
    <x v="84"/>
    <x v="1"/>
    <x v="0"/>
    <x v="6"/>
    <x v="5"/>
    <x v="24"/>
    <x v="5"/>
    <x v="0"/>
    <x v="0"/>
    <x v="23"/>
    <n v="4"/>
    <n v="2"/>
    <n v="6"/>
    <x v="8"/>
    <n v="12"/>
    <x v="0"/>
    <s v="Detractor"/>
    <m/>
  </r>
  <r>
    <x v="85"/>
    <x v="1"/>
    <x v="1"/>
    <x v="0"/>
    <x v="2"/>
    <x v="2"/>
    <x v="2"/>
    <x v="1"/>
    <x v="2"/>
    <x v="2"/>
    <s v=""/>
    <s v=""/>
    <s v=""/>
    <x v="2"/>
    <m/>
    <x v="0"/>
    <s v="Detractor"/>
    <m/>
  </r>
  <r>
    <x v="86"/>
    <x v="1"/>
    <x v="2"/>
    <x v="12"/>
    <x v="9"/>
    <x v="8"/>
    <x v="24"/>
    <x v="0"/>
    <x v="0"/>
    <x v="24"/>
    <n v="1"/>
    <n v="4"/>
    <n v="3"/>
    <x v="11"/>
    <n v="8"/>
    <x v="0"/>
    <s v="Passive"/>
    <m/>
  </r>
  <r>
    <x v="87"/>
    <x v="1"/>
    <x v="1"/>
    <x v="6"/>
    <x v="2"/>
    <x v="2"/>
    <x v="2"/>
    <x v="1"/>
    <x v="3"/>
    <x v="2"/>
    <s v=""/>
    <s v=""/>
    <s v=""/>
    <x v="2"/>
    <m/>
    <x v="0"/>
    <s v="Detractor"/>
    <m/>
  </r>
  <r>
    <x v="88"/>
    <x v="2"/>
    <x v="2"/>
    <x v="11"/>
    <x v="7"/>
    <x v="6"/>
    <x v="1"/>
    <x v="0"/>
    <x v="0"/>
    <x v="30"/>
    <n v="2"/>
    <n v="3"/>
    <n v="6"/>
    <x v="7"/>
    <n v="11"/>
    <x v="0"/>
    <s v="Detractor"/>
    <m/>
  </r>
  <r>
    <x v="89"/>
    <x v="2"/>
    <x v="2"/>
    <x v="19"/>
    <x v="12"/>
    <x v="31"/>
    <x v="18"/>
    <x v="0"/>
    <x v="0"/>
    <x v="1"/>
    <n v="1"/>
    <n v="4"/>
    <n v="5"/>
    <x v="1"/>
    <n v="10"/>
    <x v="0"/>
    <s v="Passive"/>
    <m/>
  </r>
  <r>
    <x v="90"/>
    <x v="1"/>
    <x v="0"/>
    <x v="2"/>
    <x v="29"/>
    <x v="32"/>
    <x v="30"/>
    <x v="0"/>
    <x v="0"/>
    <x v="17"/>
    <n v="1"/>
    <n v="3"/>
    <n v="5"/>
    <x v="6"/>
    <n v="9"/>
    <x v="0"/>
    <s v="Detractor"/>
    <m/>
  </r>
  <r>
    <x v="91"/>
    <x v="3"/>
    <x v="2"/>
    <x v="25"/>
    <x v="30"/>
    <x v="21"/>
    <x v="14"/>
    <x v="0"/>
    <x v="0"/>
    <x v="19"/>
    <n v="5"/>
    <n v="5"/>
    <n v="3"/>
    <x v="3"/>
    <n v="13"/>
    <x v="0"/>
    <s v="Promoter"/>
    <m/>
  </r>
  <r>
    <x v="92"/>
    <x v="0"/>
    <x v="1"/>
    <x v="30"/>
    <x v="2"/>
    <x v="2"/>
    <x v="2"/>
    <x v="1"/>
    <x v="5"/>
    <x v="2"/>
    <s v=""/>
    <s v=""/>
    <s v=""/>
    <x v="2"/>
    <m/>
    <x v="0"/>
    <s v="Detractor"/>
    <m/>
  </r>
  <r>
    <x v="93"/>
    <x v="1"/>
    <x v="1"/>
    <x v="24"/>
    <x v="2"/>
    <x v="2"/>
    <x v="2"/>
    <x v="1"/>
    <x v="4"/>
    <x v="2"/>
    <s v=""/>
    <s v=""/>
    <s v=""/>
    <x v="2"/>
    <m/>
    <x v="0"/>
    <s v="Detractor"/>
    <m/>
  </r>
  <r>
    <x v="94"/>
    <x v="3"/>
    <x v="1"/>
    <x v="28"/>
    <x v="2"/>
    <x v="2"/>
    <x v="2"/>
    <x v="1"/>
    <x v="2"/>
    <x v="2"/>
    <s v=""/>
    <s v=""/>
    <s v=""/>
    <x v="2"/>
    <m/>
    <x v="0"/>
    <s v="Detractor"/>
    <m/>
  </r>
  <r>
    <x v="95"/>
    <x v="0"/>
    <x v="0"/>
    <x v="12"/>
    <x v="0"/>
    <x v="8"/>
    <x v="26"/>
    <x v="0"/>
    <x v="0"/>
    <x v="20"/>
    <n v="2"/>
    <n v="3"/>
    <n v="5"/>
    <x v="3"/>
    <n v="10"/>
    <x v="0"/>
    <s v="Promoter"/>
    <m/>
  </r>
  <r>
    <x v="96"/>
    <x v="1"/>
    <x v="2"/>
    <x v="24"/>
    <x v="20"/>
    <x v="17"/>
    <x v="31"/>
    <x v="1"/>
    <x v="4"/>
    <x v="2"/>
    <n v="4"/>
    <n v="3"/>
    <n v="7"/>
    <x v="2"/>
    <n v="14"/>
    <x v="0"/>
    <s v="Detractor"/>
    <m/>
  </r>
  <r>
    <x v="97"/>
    <x v="1"/>
    <x v="0"/>
    <x v="30"/>
    <x v="1"/>
    <x v="17"/>
    <x v="12"/>
    <x v="0"/>
    <x v="0"/>
    <x v="20"/>
    <n v="4"/>
    <n v="1"/>
    <n v="6"/>
    <x v="5"/>
    <n v="11"/>
    <x v="0"/>
    <s v="Detractor"/>
    <m/>
  </r>
  <r>
    <x v="98"/>
    <x v="2"/>
    <x v="0"/>
    <x v="27"/>
    <x v="25"/>
    <x v="31"/>
    <x v="4"/>
    <x v="0"/>
    <x v="0"/>
    <x v="31"/>
    <n v="4"/>
    <n v="5"/>
    <n v="7"/>
    <x v="6"/>
    <n v="16"/>
    <x v="0"/>
    <s v="Detractor"/>
    <m/>
  </r>
  <r>
    <x v="99"/>
    <x v="0"/>
    <x v="0"/>
    <x v="23"/>
    <x v="31"/>
    <x v="18"/>
    <x v="0"/>
    <x v="0"/>
    <x v="0"/>
    <x v="8"/>
    <n v="3"/>
    <n v="5"/>
    <n v="7"/>
    <x v="4"/>
    <n v="15"/>
    <x v="0"/>
    <s v="Promoter"/>
    <m/>
  </r>
  <r>
    <x v="100"/>
    <x v="0"/>
    <x v="2"/>
    <x v="9"/>
    <x v="1"/>
    <x v="11"/>
    <x v="12"/>
    <x v="0"/>
    <x v="0"/>
    <x v="15"/>
    <n v="2"/>
    <n v="4"/>
    <n v="3"/>
    <x v="10"/>
    <n v="9"/>
    <x v="0"/>
    <s v="Detractor"/>
    <m/>
  </r>
  <r>
    <x v="101"/>
    <x v="3"/>
    <x v="0"/>
    <x v="6"/>
    <x v="22"/>
    <x v="16"/>
    <x v="21"/>
    <x v="0"/>
    <x v="0"/>
    <x v="20"/>
    <n v="3"/>
    <n v="4"/>
    <n v="6"/>
    <x v="10"/>
    <n v="13"/>
    <x v="0"/>
    <s v="Detractor"/>
    <m/>
  </r>
  <r>
    <x v="102"/>
    <x v="2"/>
    <x v="0"/>
    <x v="21"/>
    <x v="16"/>
    <x v="28"/>
    <x v="32"/>
    <x v="0"/>
    <x v="0"/>
    <x v="14"/>
    <n v="3"/>
    <n v="3"/>
    <n v="3"/>
    <x v="6"/>
    <n v="9"/>
    <x v="0"/>
    <s v="Detractor"/>
    <m/>
  </r>
  <r>
    <x v="103"/>
    <x v="2"/>
    <x v="1"/>
    <x v="16"/>
    <x v="2"/>
    <x v="2"/>
    <x v="2"/>
    <x v="1"/>
    <x v="5"/>
    <x v="2"/>
    <s v=""/>
    <s v=""/>
    <s v=""/>
    <x v="2"/>
    <m/>
    <x v="0"/>
    <s v="Detractor"/>
    <m/>
  </r>
  <r>
    <x v="104"/>
    <x v="2"/>
    <x v="1"/>
    <x v="9"/>
    <x v="2"/>
    <x v="2"/>
    <x v="2"/>
    <x v="1"/>
    <x v="5"/>
    <x v="2"/>
    <s v=""/>
    <s v=""/>
    <s v=""/>
    <x v="2"/>
    <m/>
    <x v="0"/>
    <s v="Detractor"/>
    <m/>
  </r>
  <r>
    <x v="105"/>
    <x v="2"/>
    <x v="0"/>
    <x v="4"/>
    <x v="7"/>
    <x v="1"/>
    <x v="3"/>
    <x v="0"/>
    <x v="0"/>
    <x v="19"/>
    <n v="3"/>
    <n v="2"/>
    <n v="5"/>
    <x v="0"/>
    <n v="10"/>
    <x v="0"/>
    <s v="Detractor"/>
    <m/>
  </r>
  <r>
    <x v="106"/>
    <x v="0"/>
    <x v="0"/>
    <x v="15"/>
    <x v="23"/>
    <x v="12"/>
    <x v="18"/>
    <x v="1"/>
    <x v="1"/>
    <x v="2"/>
    <n v="5"/>
    <n v="3"/>
    <n v="4"/>
    <x v="2"/>
    <n v="12"/>
    <x v="0"/>
    <s v="Detractor"/>
    <m/>
  </r>
  <r>
    <x v="107"/>
    <x v="0"/>
    <x v="0"/>
    <x v="21"/>
    <x v="18"/>
    <x v="28"/>
    <x v="32"/>
    <x v="0"/>
    <x v="0"/>
    <x v="11"/>
    <n v="5"/>
    <n v="1"/>
    <n v="3"/>
    <x v="4"/>
    <n v="9"/>
    <x v="0"/>
    <s v="Promoter"/>
    <m/>
  </r>
  <r>
    <x v="108"/>
    <x v="1"/>
    <x v="2"/>
    <x v="1"/>
    <x v="20"/>
    <x v="17"/>
    <x v="27"/>
    <x v="0"/>
    <x v="0"/>
    <x v="14"/>
    <n v="1"/>
    <n v="3"/>
    <n v="3"/>
    <x v="8"/>
    <n v="7"/>
    <x v="0"/>
    <s v="Detractor"/>
    <m/>
  </r>
  <r>
    <x v="109"/>
    <x v="1"/>
    <x v="1"/>
    <x v="9"/>
    <x v="2"/>
    <x v="2"/>
    <x v="2"/>
    <x v="1"/>
    <x v="5"/>
    <x v="2"/>
    <s v=""/>
    <s v=""/>
    <s v=""/>
    <x v="2"/>
    <m/>
    <x v="0"/>
    <s v="Detractor"/>
    <m/>
  </r>
  <r>
    <x v="110"/>
    <x v="2"/>
    <x v="1"/>
    <x v="12"/>
    <x v="2"/>
    <x v="2"/>
    <x v="2"/>
    <x v="1"/>
    <x v="4"/>
    <x v="2"/>
    <s v=""/>
    <s v=""/>
    <s v=""/>
    <x v="2"/>
    <m/>
    <x v="0"/>
    <s v="Detractor"/>
    <m/>
  </r>
  <r>
    <x v="111"/>
    <x v="2"/>
    <x v="0"/>
    <x v="11"/>
    <x v="24"/>
    <x v="25"/>
    <x v="12"/>
    <x v="0"/>
    <x v="0"/>
    <x v="15"/>
    <n v="1"/>
    <n v="1"/>
    <n v="4"/>
    <x v="0"/>
    <n v="6"/>
    <x v="0"/>
    <s v="Detractor"/>
    <m/>
  </r>
  <r>
    <x v="112"/>
    <x v="2"/>
    <x v="0"/>
    <x v="17"/>
    <x v="17"/>
    <x v="23"/>
    <x v="19"/>
    <x v="1"/>
    <x v="3"/>
    <x v="2"/>
    <n v="2"/>
    <n v="3"/>
    <n v="5"/>
    <x v="2"/>
    <n v="10"/>
    <x v="0"/>
    <s v="Detractor"/>
    <m/>
  </r>
  <r>
    <x v="113"/>
    <x v="1"/>
    <x v="2"/>
    <x v="30"/>
    <x v="20"/>
    <x v="20"/>
    <x v="31"/>
    <x v="0"/>
    <x v="0"/>
    <x v="31"/>
    <n v="2"/>
    <n v="4"/>
    <n v="6"/>
    <x v="5"/>
    <n v="12"/>
    <x v="0"/>
    <s v="Detractor"/>
    <m/>
  </r>
  <r>
    <x v="114"/>
    <x v="3"/>
    <x v="0"/>
    <x v="17"/>
    <x v="1"/>
    <x v="25"/>
    <x v="19"/>
    <x v="0"/>
    <x v="0"/>
    <x v="32"/>
    <n v="5"/>
    <n v="3"/>
    <n v="2"/>
    <x v="4"/>
    <n v="10"/>
    <x v="0"/>
    <s v="Promoter"/>
    <m/>
  </r>
  <r>
    <x v="115"/>
    <x v="3"/>
    <x v="2"/>
    <x v="24"/>
    <x v="27"/>
    <x v="21"/>
    <x v="16"/>
    <x v="0"/>
    <x v="0"/>
    <x v="5"/>
    <n v="1"/>
    <n v="4"/>
    <n v="4"/>
    <x v="1"/>
    <n v="9"/>
    <x v="0"/>
    <s v="Passive"/>
    <m/>
  </r>
  <r>
    <x v="116"/>
    <x v="1"/>
    <x v="1"/>
    <x v="7"/>
    <x v="2"/>
    <x v="2"/>
    <x v="2"/>
    <x v="1"/>
    <x v="3"/>
    <x v="2"/>
    <s v=""/>
    <s v=""/>
    <s v=""/>
    <x v="2"/>
    <m/>
    <x v="0"/>
    <s v="Detractor"/>
    <m/>
  </r>
  <r>
    <x v="117"/>
    <x v="1"/>
    <x v="2"/>
    <x v="15"/>
    <x v="0"/>
    <x v="18"/>
    <x v="21"/>
    <x v="0"/>
    <x v="0"/>
    <x v="32"/>
    <n v="1"/>
    <n v="2"/>
    <n v="2"/>
    <x v="10"/>
    <n v="5"/>
    <x v="0"/>
    <s v="Detractor"/>
    <m/>
  </r>
  <r>
    <x v="118"/>
    <x v="1"/>
    <x v="0"/>
    <x v="29"/>
    <x v="21"/>
    <x v="14"/>
    <x v="16"/>
    <x v="0"/>
    <x v="0"/>
    <x v="22"/>
    <n v="3"/>
    <n v="2"/>
    <n v="5"/>
    <x v="7"/>
    <n v="10"/>
    <x v="0"/>
    <s v="Detractor"/>
    <m/>
  </r>
  <r>
    <x v="119"/>
    <x v="1"/>
    <x v="1"/>
    <x v="1"/>
    <x v="2"/>
    <x v="2"/>
    <x v="2"/>
    <x v="1"/>
    <x v="1"/>
    <x v="2"/>
    <s v=""/>
    <s v=""/>
    <s v=""/>
    <x v="2"/>
    <m/>
    <x v="0"/>
    <s v="Detractor"/>
    <m/>
  </r>
  <r>
    <x v="120"/>
    <x v="1"/>
    <x v="0"/>
    <x v="7"/>
    <x v="30"/>
    <x v="21"/>
    <x v="14"/>
    <x v="0"/>
    <x v="0"/>
    <x v="33"/>
    <n v="4"/>
    <n v="5"/>
    <n v="3"/>
    <x v="10"/>
    <n v="12"/>
    <x v="0"/>
    <s v="Detractor"/>
    <m/>
  </r>
  <r>
    <x v="121"/>
    <x v="1"/>
    <x v="2"/>
    <x v="15"/>
    <x v="28"/>
    <x v="31"/>
    <x v="0"/>
    <x v="0"/>
    <x v="0"/>
    <x v="24"/>
    <n v="4"/>
    <n v="3"/>
    <n v="3"/>
    <x v="0"/>
    <n v="10"/>
    <x v="0"/>
    <s v="Detractor"/>
    <m/>
  </r>
  <r>
    <x v="122"/>
    <x v="2"/>
    <x v="2"/>
    <x v="21"/>
    <x v="31"/>
    <x v="18"/>
    <x v="17"/>
    <x v="0"/>
    <x v="0"/>
    <x v="19"/>
    <n v="4"/>
    <n v="5"/>
    <n v="5"/>
    <x v="5"/>
    <n v="14"/>
    <x v="0"/>
    <s v="Detractor"/>
    <m/>
  </r>
  <r>
    <x v="123"/>
    <x v="2"/>
    <x v="2"/>
    <x v="8"/>
    <x v="32"/>
    <x v="33"/>
    <x v="33"/>
    <x v="0"/>
    <x v="0"/>
    <x v="16"/>
    <n v="5"/>
    <n v="3"/>
    <n v="6"/>
    <x v="7"/>
    <n v="14"/>
    <x v="0"/>
    <s v="Detractor"/>
    <m/>
  </r>
  <r>
    <x v="124"/>
    <x v="2"/>
    <x v="0"/>
    <x v="22"/>
    <x v="23"/>
    <x v="31"/>
    <x v="13"/>
    <x v="0"/>
    <x v="0"/>
    <x v="30"/>
    <n v="4"/>
    <n v="2"/>
    <n v="6"/>
    <x v="8"/>
    <n v="12"/>
    <x v="0"/>
    <s v="Detractor"/>
    <m/>
  </r>
  <r>
    <x v="125"/>
    <x v="2"/>
    <x v="2"/>
    <x v="12"/>
    <x v="12"/>
    <x v="8"/>
    <x v="34"/>
    <x v="0"/>
    <x v="0"/>
    <x v="14"/>
    <n v="4"/>
    <n v="1"/>
    <n v="7"/>
    <x v="6"/>
    <n v="12"/>
    <x v="0"/>
    <s v="Detractor"/>
    <m/>
  </r>
  <r>
    <x v="126"/>
    <x v="1"/>
    <x v="0"/>
    <x v="14"/>
    <x v="27"/>
    <x v="23"/>
    <x v="19"/>
    <x v="0"/>
    <x v="0"/>
    <x v="29"/>
    <n v="3"/>
    <n v="5"/>
    <n v="5"/>
    <x v="8"/>
    <n v="13"/>
    <x v="0"/>
    <s v="Detractor"/>
    <m/>
  </r>
  <r>
    <x v="127"/>
    <x v="3"/>
    <x v="1"/>
    <x v="29"/>
    <x v="2"/>
    <x v="2"/>
    <x v="2"/>
    <x v="1"/>
    <x v="4"/>
    <x v="2"/>
    <s v=""/>
    <s v=""/>
    <s v=""/>
    <x v="2"/>
    <m/>
    <x v="0"/>
    <s v="Detractor"/>
    <m/>
  </r>
  <r>
    <x v="128"/>
    <x v="0"/>
    <x v="2"/>
    <x v="29"/>
    <x v="27"/>
    <x v="23"/>
    <x v="19"/>
    <x v="0"/>
    <x v="0"/>
    <x v="34"/>
    <n v="2"/>
    <n v="5"/>
    <n v="5"/>
    <x v="8"/>
    <n v="12"/>
    <x v="0"/>
    <s v="Detractor"/>
    <m/>
  </r>
  <r>
    <x v="129"/>
    <x v="1"/>
    <x v="1"/>
    <x v="15"/>
    <x v="2"/>
    <x v="2"/>
    <x v="2"/>
    <x v="1"/>
    <x v="4"/>
    <x v="2"/>
    <s v=""/>
    <s v=""/>
    <s v=""/>
    <x v="2"/>
    <m/>
    <x v="0"/>
    <s v="Detractor"/>
    <m/>
  </r>
  <r>
    <x v="130"/>
    <x v="0"/>
    <x v="1"/>
    <x v="6"/>
    <x v="2"/>
    <x v="2"/>
    <x v="2"/>
    <x v="1"/>
    <x v="5"/>
    <x v="2"/>
    <s v=""/>
    <s v=""/>
    <s v=""/>
    <x v="2"/>
    <m/>
    <x v="0"/>
    <s v="Detractor"/>
    <m/>
  </r>
  <r>
    <x v="131"/>
    <x v="3"/>
    <x v="2"/>
    <x v="17"/>
    <x v="1"/>
    <x v="20"/>
    <x v="15"/>
    <x v="0"/>
    <x v="0"/>
    <x v="25"/>
    <n v="5"/>
    <n v="2"/>
    <n v="7"/>
    <x v="8"/>
    <n v="14"/>
    <x v="0"/>
    <s v="Detractor"/>
    <m/>
  </r>
  <r>
    <x v="132"/>
    <x v="2"/>
    <x v="1"/>
    <x v="15"/>
    <x v="2"/>
    <x v="2"/>
    <x v="2"/>
    <x v="1"/>
    <x v="4"/>
    <x v="2"/>
    <s v=""/>
    <s v=""/>
    <s v=""/>
    <x v="2"/>
    <m/>
    <x v="0"/>
    <s v="Detractor"/>
    <m/>
  </r>
  <r>
    <x v="133"/>
    <x v="3"/>
    <x v="0"/>
    <x v="23"/>
    <x v="5"/>
    <x v="24"/>
    <x v="32"/>
    <x v="0"/>
    <x v="0"/>
    <x v="24"/>
    <n v="1"/>
    <n v="2"/>
    <n v="5"/>
    <x v="0"/>
    <n v="8"/>
    <x v="0"/>
    <s v="Detractor"/>
    <m/>
  </r>
  <r>
    <x v="134"/>
    <x v="1"/>
    <x v="1"/>
    <x v="22"/>
    <x v="2"/>
    <x v="2"/>
    <x v="2"/>
    <x v="1"/>
    <x v="2"/>
    <x v="2"/>
    <s v=""/>
    <s v=""/>
    <s v=""/>
    <x v="2"/>
    <m/>
    <x v="0"/>
    <s v="Detractor"/>
    <m/>
  </r>
  <r>
    <x v="135"/>
    <x v="2"/>
    <x v="0"/>
    <x v="16"/>
    <x v="5"/>
    <x v="3"/>
    <x v="1"/>
    <x v="0"/>
    <x v="0"/>
    <x v="10"/>
    <n v="3"/>
    <n v="1"/>
    <n v="5"/>
    <x v="9"/>
    <n v="9"/>
    <x v="0"/>
    <s v="Detractor"/>
    <m/>
  </r>
  <r>
    <x v="136"/>
    <x v="1"/>
    <x v="0"/>
    <x v="18"/>
    <x v="9"/>
    <x v="0"/>
    <x v="18"/>
    <x v="0"/>
    <x v="0"/>
    <x v="24"/>
    <n v="4"/>
    <n v="5"/>
    <n v="7"/>
    <x v="6"/>
    <n v="16"/>
    <x v="0"/>
    <s v="Detractor"/>
    <m/>
  </r>
  <r>
    <x v="137"/>
    <x v="2"/>
    <x v="0"/>
    <x v="30"/>
    <x v="17"/>
    <x v="21"/>
    <x v="27"/>
    <x v="1"/>
    <x v="5"/>
    <x v="2"/>
    <n v="1"/>
    <n v="2"/>
    <n v="5"/>
    <x v="2"/>
    <n v="8"/>
    <x v="0"/>
    <s v="Detractor"/>
    <m/>
  </r>
  <r>
    <x v="138"/>
    <x v="0"/>
    <x v="1"/>
    <x v="7"/>
    <x v="2"/>
    <x v="2"/>
    <x v="2"/>
    <x v="1"/>
    <x v="2"/>
    <x v="2"/>
    <s v=""/>
    <s v=""/>
    <s v=""/>
    <x v="2"/>
    <m/>
    <x v="0"/>
    <s v="Detractor"/>
    <m/>
  </r>
  <r>
    <x v="139"/>
    <x v="0"/>
    <x v="0"/>
    <x v="5"/>
    <x v="11"/>
    <x v="12"/>
    <x v="13"/>
    <x v="0"/>
    <x v="0"/>
    <x v="21"/>
    <n v="3"/>
    <n v="2"/>
    <n v="5"/>
    <x v="7"/>
    <n v="10"/>
    <x v="0"/>
    <s v="Detractor"/>
    <m/>
  </r>
  <r>
    <x v="140"/>
    <x v="0"/>
    <x v="0"/>
    <x v="29"/>
    <x v="20"/>
    <x v="21"/>
    <x v="14"/>
    <x v="0"/>
    <x v="0"/>
    <x v="5"/>
    <n v="5"/>
    <n v="1"/>
    <n v="3"/>
    <x v="6"/>
    <n v="9"/>
    <x v="0"/>
    <s v="Detractor"/>
    <m/>
  </r>
  <r>
    <x v="141"/>
    <x v="3"/>
    <x v="1"/>
    <x v="30"/>
    <x v="2"/>
    <x v="2"/>
    <x v="2"/>
    <x v="1"/>
    <x v="1"/>
    <x v="2"/>
    <s v=""/>
    <s v=""/>
    <s v=""/>
    <x v="2"/>
    <m/>
    <x v="0"/>
    <s v="Detractor"/>
    <m/>
  </r>
  <r>
    <x v="142"/>
    <x v="1"/>
    <x v="2"/>
    <x v="24"/>
    <x v="20"/>
    <x v="21"/>
    <x v="6"/>
    <x v="0"/>
    <x v="0"/>
    <x v="18"/>
    <n v="4"/>
    <n v="1"/>
    <n v="2"/>
    <x v="8"/>
    <n v="7"/>
    <x v="0"/>
    <s v="Detractor"/>
    <m/>
  </r>
  <r>
    <x v="143"/>
    <x v="3"/>
    <x v="2"/>
    <x v="9"/>
    <x v="7"/>
    <x v="3"/>
    <x v="32"/>
    <x v="0"/>
    <x v="0"/>
    <x v="14"/>
    <n v="5"/>
    <n v="4"/>
    <n v="6"/>
    <x v="10"/>
    <n v="15"/>
    <x v="0"/>
    <s v="Detractor"/>
    <m/>
  </r>
  <r>
    <x v="144"/>
    <x v="0"/>
    <x v="2"/>
    <x v="14"/>
    <x v="27"/>
    <x v="14"/>
    <x v="25"/>
    <x v="0"/>
    <x v="0"/>
    <x v="5"/>
    <n v="3"/>
    <n v="3"/>
    <n v="2"/>
    <x v="5"/>
    <n v="8"/>
    <x v="0"/>
    <s v="Detractor"/>
    <m/>
  </r>
  <r>
    <x v="145"/>
    <x v="1"/>
    <x v="0"/>
    <x v="30"/>
    <x v="17"/>
    <x v="17"/>
    <x v="27"/>
    <x v="0"/>
    <x v="0"/>
    <x v="17"/>
    <n v="1"/>
    <n v="4"/>
    <n v="3"/>
    <x v="10"/>
    <n v="8"/>
    <x v="0"/>
    <s v="Detractor"/>
    <m/>
  </r>
  <r>
    <x v="146"/>
    <x v="0"/>
    <x v="2"/>
    <x v="2"/>
    <x v="33"/>
    <x v="34"/>
    <x v="29"/>
    <x v="0"/>
    <x v="0"/>
    <x v="35"/>
    <n v="2"/>
    <n v="1"/>
    <n v="4"/>
    <x v="5"/>
    <n v="7"/>
    <x v="0"/>
    <s v="Detractor"/>
    <m/>
  </r>
  <r>
    <x v="147"/>
    <x v="3"/>
    <x v="1"/>
    <x v="12"/>
    <x v="2"/>
    <x v="2"/>
    <x v="2"/>
    <x v="1"/>
    <x v="3"/>
    <x v="2"/>
    <s v=""/>
    <s v=""/>
    <s v=""/>
    <x v="2"/>
    <m/>
    <x v="0"/>
    <s v="Detractor"/>
    <m/>
  </r>
  <r>
    <x v="148"/>
    <x v="3"/>
    <x v="2"/>
    <x v="21"/>
    <x v="31"/>
    <x v="28"/>
    <x v="1"/>
    <x v="0"/>
    <x v="0"/>
    <x v="24"/>
    <n v="4"/>
    <n v="2"/>
    <n v="2"/>
    <x v="7"/>
    <n v="8"/>
    <x v="0"/>
    <s v="Detractor"/>
    <m/>
  </r>
  <r>
    <x v="149"/>
    <x v="3"/>
    <x v="0"/>
    <x v="13"/>
    <x v="21"/>
    <x v="30"/>
    <x v="6"/>
    <x v="0"/>
    <x v="0"/>
    <x v="3"/>
    <n v="5"/>
    <n v="1"/>
    <n v="4"/>
    <x v="8"/>
    <n v="10"/>
    <x v="0"/>
    <s v="Detractor"/>
    <m/>
  </r>
  <r>
    <x v="150"/>
    <x v="0"/>
    <x v="2"/>
    <x v="17"/>
    <x v="21"/>
    <x v="17"/>
    <x v="27"/>
    <x v="0"/>
    <x v="0"/>
    <x v="14"/>
    <n v="1"/>
    <n v="5"/>
    <n v="3"/>
    <x v="0"/>
    <n v="9"/>
    <x v="0"/>
    <s v="Detractor"/>
    <m/>
  </r>
  <r>
    <x v="151"/>
    <x v="1"/>
    <x v="1"/>
    <x v="31"/>
    <x v="2"/>
    <x v="2"/>
    <x v="2"/>
    <x v="1"/>
    <x v="1"/>
    <x v="2"/>
    <s v=""/>
    <s v=""/>
    <s v=""/>
    <x v="2"/>
    <m/>
    <x v="0"/>
    <s v="Detractor"/>
    <m/>
  </r>
  <r>
    <x v="152"/>
    <x v="1"/>
    <x v="1"/>
    <x v="31"/>
    <x v="2"/>
    <x v="2"/>
    <x v="2"/>
    <x v="1"/>
    <x v="3"/>
    <x v="2"/>
    <s v=""/>
    <s v=""/>
    <s v=""/>
    <x v="2"/>
    <m/>
    <x v="0"/>
    <s v="Detractor"/>
    <m/>
  </r>
  <r>
    <x v="153"/>
    <x v="0"/>
    <x v="0"/>
    <x v="21"/>
    <x v="22"/>
    <x v="3"/>
    <x v="32"/>
    <x v="0"/>
    <x v="0"/>
    <x v="19"/>
    <n v="1"/>
    <n v="2"/>
    <n v="6"/>
    <x v="11"/>
    <n v="9"/>
    <x v="0"/>
    <s v="Passive"/>
    <m/>
  </r>
  <r>
    <x v="154"/>
    <x v="1"/>
    <x v="1"/>
    <x v="30"/>
    <x v="2"/>
    <x v="2"/>
    <x v="2"/>
    <x v="1"/>
    <x v="1"/>
    <x v="2"/>
    <s v=""/>
    <s v=""/>
    <s v=""/>
    <x v="2"/>
    <m/>
    <x v="0"/>
    <s v="Detractor"/>
    <m/>
  </r>
  <r>
    <x v="155"/>
    <x v="0"/>
    <x v="2"/>
    <x v="12"/>
    <x v="0"/>
    <x v="0"/>
    <x v="26"/>
    <x v="0"/>
    <x v="0"/>
    <x v="14"/>
    <n v="2"/>
    <n v="4"/>
    <n v="4"/>
    <x v="8"/>
    <n v="10"/>
    <x v="0"/>
    <s v="Detractor"/>
    <m/>
  </r>
  <r>
    <x v="156"/>
    <x v="1"/>
    <x v="1"/>
    <x v="8"/>
    <x v="2"/>
    <x v="2"/>
    <x v="2"/>
    <x v="1"/>
    <x v="4"/>
    <x v="2"/>
    <s v=""/>
    <s v=""/>
    <s v=""/>
    <x v="2"/>
    <m/>
    <x v="0"/>
    <s v="Detractor"/>
    <m/>
  </r>
  <r>
    <x v="157"/>
    <x v="2"/>
    <x v="2"/>
    <x v="13"/>
    <x v="30"/>
    <x v="14"/>
    <x v="6"/>
    <x v="0"/>
    <x v="0"/>
    <x v="32"/>
    <n v="3"/>
    <n v="4"/>
    <n v="3"/>
    <x v="1"/>
    <n v="10"/>
    <x v="0"/>
    <s v="Passive"/>
    <m/>
  </r>
  <r>
    <x v="158"/>
    <x v="2"/>
    <x v="1"/>
    <x v="0"/>
    <x v="2"/>
    <x v="2"/>
    <x v="2"/>
    <x v="1"/>
    <x v="2"/>
    <x v="2"/>
    <s v=""/>
    <s v=""/>
    <s v=""/>
    <x v="2"/>
    <m/>
    <x v="0"/>
    <s v="Detractor"/>
    <m/>
  </r>
  <r>
    <x v="159"/>
    <x v="3"/>
    <x v="2"/>
    <x v="3"/>
    <x v="11"/>
    <x v="22"/>
    <x v="11"/>
    <x v="0"/>
    <x v="0"/>
    <x v="24"/>
    <n v="2"/>
    <n v="4"/>
    <n v="5"/>
    <x v="7"/>
    <n v="11"/>
    <x v="0"/>
    <s v="Detractor"/>
    <m/>
  </r>
  <r>
    <x v="160"/>
    <x v="2"/>
    <x v="0"/>
    <x v="22"/>
    <x v="12"/>
    <x v="0"/>
    <x v="34"/>
    <x v="0"/>
    <x v="0"/>
    <x v="20"/>
    <n v="2"/>
    <n v="2"/>
    <n v="6"/>
    <x v="9"/>
    <n v="10"/>
    <x v="0"/>
    <s v="Detractor"/>
    <m/>
  </r>
  <r>
    <x v="161"/>
    <x v="2"/>
    <x v="0"/>
    <x v="6"/>
    <x v="22"/>
    <x v="24"/>
    <x v="21"/>
    <x v="0"/>
    <x v="0"/>
    <x v="14"/>
    <n v="3"/>
    <n v="3"/>
    <n v="7"/>
    <x v="0"/>
    <n v="13"/>
    <x v="0"/>
    <s v="Detractor"/>
    <m/>
  </r>
  <r>
    <x v="162"/>
    <x v="2"/>
    <x v="2"/>
    <x v="7"/>
    <x v="15"/>
    <x v="13"/>
    <x v="6"/>
    <x v="0"/>
    <x v="0"/>
    <x v="36"/>
    <n v="3"/>
    <n v="3"/>
    <n v="5"/>
    <x v="11"/>
    <n v="11"/>
    <x v="0"/>
    <s v="Passive"/>
    <m/>
  </r>
  <r>
    <x v="163"/>
    <x v="0"/>
    <x v="2"/>
    <x v="3"/>
    <x v="4"/>
    <x v="22"/>
    <x v="23"/>
    <x v="0"/>
    <x v="0"/>
    <x v="21"/>
    <n v="3"/>
    <n v="3"/>
    <n v="6"/>
    <x v="7"/>
    <n v="12"/>
    <x v="0"/>
    <s v="Detractor"/>
    <m/>
  </r>
  <r>
    <x v="164"/>
    <x v="2"/>
    <x v="2"/>
    <x v="2"/>
    <x v="29"/>
    <x v="35"/>
    <x v="35"/>
    <x v="0"/>
    <x v="0"/>
    <x v="37"/>
    <n v="1"/>
    <n v="1"/>
    <n v="6"/>
    <x v="5"/>
    <n v="8"/>
    <x v="0"/>
    <s v="Detractor"/>
    <m/>
  </r>
  <r>
    <x v="165"/>
    <x v="2"/>
    <x v="0"/>
    <x v="23"/>
    <x v="5"/>
    <x v="3"/>
    <x v="15"/>
    <x v="0"/>
    <x v="0"/>
    <x v="4"/>
    <n v="1"/>
    <n v="1"/>
    <n v="2"/>
    <x v="0"/>
    <n v="4"/>
    <x v="0"/>
    <s v="Detractor"/>
    <m/>
  </r>
  <r>
    <x v="166"/>
    <x v="3"/>
    <x v="0"/>
    <x v="30"/>
    <x v="1"/>
    <x v="1"/>
    <x v="7"/>
    <x v="1"/>
    <x v="3"/>
    <x v="2"/>
    <n v="4"/>
    <n v="5"/>
    <n v="6"/>
    <x v="2"/>
    <n v="15"/>
    <x v="0"/>
    <s v="Detractor"/>
    <m/>
  </r>
  <r>
    <x v="167"/>
    <x v="2"/>
    <x v="2"/>
    <x v="6"/>
    <x v="5"/>
    <x v="24"/>
    <x v="3"/>
    <x v="1"/>
    <x v="5"/>
    <x v="2"/>
    <n v="4"/>
    <n v="2"/>
    <n v="2"/>
    <x v="2"/>
    <n v="8"/>
    <x v="0"/>
    <s v="Detractor"/>
    <m/>
  </r>
  <r>
    <x v="168"/>
    <x v="2"/>
    <x v="0"/>
    <x v="6"/>
    <x v="3"/>
    <x v="16"/>
    <x v="32"/>
    <x v="0"/>
    <x v="0"/>
    <x v="32"/>
    <n v="2"/>
    <n v="5"/>
    <n v="4"/>
    <x v="7"/>
    <n v="11"/>
    <x v="0"/>
    <s v="Detractor"/>
    <m/>
  </r>
  <r>
    <x v="169"/>
    <x v="1"/>
    <x v="2"/>
    <x v="11"/>
    <x v="7"/>
    <x v="11"/>
    <x v="3"/>
    <x v="0"/>
    <x v="0"/>
    <x v="19"/>
    <n v="2"/>
    <n v="1"/>
    <n v="6"/>
    <x v="0"/>
    <n v="9"/>
    <x v="0"/>
    <s v="Detractor"/>
    <m/>
  </r>
  <r>
    <x v="170"/>
    <x v="3"/>
    <x v="1"/>
    <x v="1"/>
    <x v="2"/>
    <x v="2"/>
    <x v="2"/>
    <x v="1"/>
    <x v="2"/>
    <x v="2"/>
    <s v=""/>
    <s v=""/>
    <s v=""/>
    <x v="2"/>
    <m/>
    <x v="0"/>
    <s v="Detractor"/>
    <m/>
  </r>
  <r>
    <x v="171"/>
    <x v="3"/>
    <x v="2"/>
    <x v="14"/>
    <x v="21"/>
    <x v="14"/>
    <x v="14"/>
    <x v="0"/>
    <x v="0"/>
    <x v="38"/>
    <n v="4"/>
    <n v="2"/>
    <n v="4"/>
    <x v="10"/>
    <n v="10"/>
    <x v="0"/>
    <s v="Detractor"/>
    <m/>
  </r>
  <r>
    <x v="172"/>
    <x v="3"/>
    <x v="2"/>
    <x v="8"/>
    <x v="32"/>
    <x v="19"/>
    <x v="20"/>
    <x v="0"/>
    <x v="0"/>
    <x v="7"/>
    <n v="5"/>
    <n v="4"/>
    <n v="6"/>
    <x v="1"/>
    <n v="15"/>
    <x v="0"/>
    <s v="Passive"/>
    <m/>
  </r>
  <r>
    <x v="173"/>
    <x v="3"/>
    <x v="2"/>
    <x v="31"/>
    <x v="26"/>
    <x v="29"/>
    <x v="29"/>
    <x v="0"/>
    <x v="0"/>
    <x v="28"/>
    <n v="2"/>
    <n v="2"/>
    <n v="2"/>
    <x v="5"/>
    <n v="6"/>
    <x v="0"/>
    <s v="Detractor"/>
    <m/>
  </r>
  <r>
    <x v="174"/>
    <x v="3"/>
    <x v="0"/>
    <x v="17"/>
    <x v="1"/>
    <x v="17"/>
    <x v="31"/>
    <x v="0"/>
    <x v="0"/>
    <x v="39"/>
    <n v="5"/>
    <n v="1"/>
    <n v="7"/>
    <x v="5"/>
    <n v="13"/>
    <x v="0"/>
    <s v="Detractor"/>
    <m/>
  </r>
  <r>
    <x v="175"/>
    <x v="3"/>
    <x v="1"/>
    <x v="8"/>
    <x v="2"/>
    <x v="2"/>
    <x v="2"/>
    <x v="1"/>
    <x v="5"/>
    <x v="2"/>
    <s v=""/>
    <s v=""/>
    <s v=""/>
    <x v="2"/>
    <m/>
    <x v="0"/>
    <s v="Detractor"/>
    <m/>
  </r>
  <r>
    <x v="176"/>
    <x v="0"/>
    <x v="0"/>
    <x v="3"/>
    <x v="34"/>
    <x v="9"/>
    <x v="36"/>
    <x v="0"/>
    <x v="0"/>
    <x v="40"/>
    <n v="5"/>
    <n v="4"/>
    <n v="5"/>
    <x v="9"/>
    <n v="14"/>
    <x v="0"/>
    <s v="Detractor"/>
    <m/>
  </r>
  <r>
    <x v="177"/>
    <x v="2"/>
    <x v="2"/>
    <x v="6"/>
    <x v="22"/>
    <x v="16"/>
    <x v="21"/>
    <x v="0"/>
    <x v="0"/>
    <x v="5"/>
    <n v="3"/>
    <n v="4"/>
    <n v="6"/>
    <x v="7"/>
    <n v="13"/>
    <x v="0"/>
    <s v="Detractor"/>
    <m/>
  </r>
  <r>
    <x v="178"/>
    <x v="3"/>
    <x v="0"/>
    <x v="7"/>
    <x v="6"/>
    <x v="36"/>
    <x v="30"/>
    <x v="0"/>
    <x v="0"/>
    <x v="34"/>
    <n v="1"/>
    <n v="2"/>
    <n v="3"/>
    <x v="3"/>
    <n v="6"/>
    <x v="0"/>
    <s v="Promoter"/>
    <m/>
  </r>
  <r>
    <x v="179"/>
    <x v="2"/>
    <x v="0"/>
    <x v="5"/>
    <x v="4"/>
    <x v="22"/>
    <x v="11"/>
    <x v="0"/>
    <x v="0"/>
    <x v="7"/>
    <n v="4"/>
    <n v="3"/>
    <n v="5"/>
    <x v="8"/>
    <n v="12"/>
    <x v="0"/>
    <s v="Detractor"/>
    <m/>
  </r>
  <r>
    <x v="180"/>
    <x v="2"/>
    <x v="2"/>
    <x v="25"/>
    <x v="26"/>
    <x v="32"/>
    <x v="37"/>
    <x v="0"/>
    <x v="0"/>
    <x v="4"/>
    <n v="1"/>
    <n v="1"/>
    <n v="2"/>
    <x v="10"/>
    <n v="4"/>
    <x v="0"/>
    <s v="Detractor"/>
    <m/>
  </r>
  <r>
    <x v="181"/>
    <x v="0"/>
    <x v="0"/>
    <x v="28"/>
    <x v="7"/>
    <x v="11"/>
    <x v="7"/>
    <x v="0"/>
    <x v="0"/>
    <x v="12"/>
    <n v="4"/>
    <n v="1"/>
    <n v="7"/>
    <x v="8"/>
    <n v="12"/>
    <x v="0"/>
    <s v="Detractor"/>
    <m/>
  </r>
  <r>
    <x v="182"/>
    <x v="3"/>
    <x v="1"/>
    <x v="6"/>
    <x v="2"/>
    <x v="2"/>
    <x v="2"/>
    <x v="1"/>
    <x v="2"/>
    <x v="2"/>
    <s v=""/>
    <s v=""/>
    <s v=""/>
    <x v="2"/>
    <m/>
    <x v="0"/>
    <s v="Detractor"/>
    <m/>
  </r>
  <r>
    <x v="183"/>
    <x v="1"/>
    <x v="2"/>
    <x v="25"/>
    <x v="26"/>
    <x v="36"/>
    <x v="25"/>
    <x v="0"/>
    <x v="0"/>
    <x v="41"/>
    <n v="1"/>
    <n v="3"/>
    <n v="7"/>
    <x v="5"/>
    <n v="11"/>
    <x v="0"/>
    <s v="Detractor"/>
    <m/>
  </r>
  <r>
    <x v="184"/>
    <x v="0"/>
    <x v="0"/>
    <x v="23"/>
    <x v="18"/>
    <x v="8"/>
    <x v="24"/>
    <x v="0"/>
    <x v="0"/>
    <x v="8"/>
    <n v="4"/>
    <n v="5"/>
    <n v="3"/>
    <x v="9"/>
    <n v="12"/>
    <x v="0"/>
    <s v="Detractor"/>
    <m/>
  </r>
  <r>
    <x v="185"/>
    <x v="1"/>
    <x v="0"/>
    <x v="0"/>
    <x v="31"/>
    <x v="18"/>
    <x v="24"/>
    <x v="0"/>
    <x v="0"/>
    <x v="6"/>
    <n v="1"/>
    <n v="5"/>
    <n v="4"/>
    <x v="0"/>
    <n v="10"/>
    <x v="0"/>
    <s v="Detractor"/>
    <m/>
  </r>
  <r>
    <x v="186"/>
    <x v="2"/>
    <x v="0"/>
    <x v="27"/>
    <x v="0"/>
    <x v="26"/>
    <x v="5"/>
    <x v="0"/>
    <x v="0"/>
    <x v="3"/>
    <n v="3"/>
    <n v="1"/>
    <n v="2"/>
    <x v="9"/>
    <n v="6"/>
    <x v="0"/>
    <s v="Detractor"/>
    <m/>
  </r>
  <r>
    <x v="187"/>
    <x v="2"/>
    <x v="2"/>
    <x v="31"/>
    <x v="15"/>
    <x v="13"/>
    <x v="6"/>
    <x v="0"/>
    <x v="0"/>
    <x v="19"/>
    <n v="5"/>
    <n v="3"/>
    <n v="5"/>
    <x v="11"/>
    <n v="13"/>
    <x v="0"/>
    <s v="Passive"/>
    <m/>
  </r>
  <r>
    <x v="188"/>
    <x v="0"/>
    <x v="2"/>
    <x v="13"/>
    <x v="27"/>
    <x v="14"/>
    <x v="14"/>
    <x v="0"/>
    <x v="0"/>
    <x v="32"/>
    <n v="4"/>
    <n v="3"/>
    <n v="4"/>
    <x v="3"/>
    <n v="11"/>
    <x v="0"/>
    <s v="Promoter"/>
    <m/>
  </r>
  <r>
    <x v="189"/>
    <x v="0"/>
    <x v="1"/>
    <x v="13"/>
    <x v="2"/>
    <x v="2"/>
    <x v="2"/>
    <x v="1"/>
    <x v="2"/>
    <x v="2"/>
    <s v=""/>
    <s v=""/>
    <s v=""/>
    <x v="2"/>
    <m/>
    <x v="0"/>
    <s v="Detractor"/>
    <m/>
  </r>
  <r>
    <x v="190"/>
    <x v="1"/>
    <x v="1"/>
    <x v="19"/>
    <x v="2"/>
    <x v="2"/>
    <x v="2"/>
    <x v="1"/>
    <x v="1"/>
    <x v="2"/>
    <s v=""/>
    <s v=""/>
    <s v=""/>
    <x v="2"/>
    <m/>
    <x v="0"/>
    <s v="Detractor"/>
    <m/>
  </r>
  <r>
    <x v="191"/>
    <x v="3"/>
    <x v="0"/>
    <x v="23"/>
    <x v="9"/>
    <x v="8"/>
    <x v="17"/>
    <x v="0"/>
    <x v="0"/>
    <x v="42"/>
    <n v="5"/>
    <n v="4"/>
    <n v="4"/>
    <x v="4"/>
    <n v="13"/>
    <x v="0"/>
    <s v="Promoter"/>
    <m/>
  </r>
  <r>
    <x v="192"/>
    <x v="1"/>
    <x v="0"/>
    <x v="8"/>
    <x v="8"/>
    <x v="19"/>
    <x v="36"/>
    <x v="1"/>
    <x v="3"/>
    <x v="2"/>
    <n v="4"/>
    <n v="5"/>
    <n v="2"/>
    <x v="2"/>
    <n v="11"/>
    <x v="0"/>
    <s v="Detractor"/>
    <m/>
  </r>
  <r>
    <x v="193"/>
    <x v="0"/>
    <x v="0"/>
    <x v="30"/>
    <x v="1"/>
    <x v="1"/>
    <x v="3"/>
    <x v="0"/>
    <x v="0"/>
    <x v="22"/>
    <n v="4"/>
    <n v="5"/>
    <n v="5"/>
    <x v="7"/>
    <n v="14"/>
    <x v="0"/>
    <s v="Detractor"/>
    <m/>
  </r>
  <r>
    <x v="194"/>
    <x v="1"/>
    <x v="0"/>
    <x v="25"/>
    <x v="13"/>
    <x v="13"/>
    <x v="28"/>
    <x v="0"/>
    <x v="0"/>
    <x v="36"/>
    <n v="3"/>
    <n v="4"/>
    <n v="2"/>
    <x v="9"/>
    <n v="9"/>
    <x v="0"/>
    <s v="Detractor"/>
    <m/>
  </r>
  <r>
    <x v="195"/>
    <x v="0"/>
    <x v="0"/>
    <x v="24"/>
    <x v="27"/>
    <x v="30"/>
    <x v="25"/>
    <x v="0"/>
    <x v="0"/>
    <x v="39"/>
    <n v="1"/>
    <n v="2"/>
    <n v="3"/>
    <x v="3"/>
    <n v="6"/>
    <x v="0"/>
    <s v="Promoter"/>
    <m/>
  </r>
  <r>
    <x v="196"/>
    <x v="1"/>
    <x v="2"/>
    <x v="7"/>
    <x v="30"/>
    <x v="21"/>
    <x v="14"/>
    <x v="0"/>
    <x v="0"/>
    <x v="33"/>
    <n v="4"/>
    <n v="5"/>
    <n v="3"/>
    <x v="4"/>
    <n v="12"/>
    <x v="0"/>
    <s v="Promoter"/>
    <m/>
  </r>
  <r>
    <x v="197"/>
    <x v="0"/>
    <x v="1"/>
    <x v="21"/>
    <x v="2"/>
    <x v="2"/>
    <x v="2"/>
    <x v="1"/>
    <x v="3"/>
    <x v="2"/>
    <s v=""/>
    <s v=""/>
    <s v=""/>
    <x v="2"/>
    <m/>
    <x v="0"/>
    <s v="Detractor"/>
    <m/>
  </r>
  <r>
    <x v="198"/>
    <x v="0"/>
    <x v="0"/>
    <x v="22"/>
    <x v="25"/>
    <x v="15"/>
    <x v="13"/>
    <x v="0"/>
    <x v="0"/>
    <x v="1"/>
    <n v="1"/>
    <n v="4"/>
    <n v="7"/>
    <x v="1"/>
    <n v="12"/>
    <x v="0"/>
    <s v="Passive"/>
    <m/>
  </r>
  <r>
    <x v="199"/>
    <x v="0"/>
    <x v="1"/>
    <x v="4"/>
    <x v="2"/>
    <x v="2"/>
    <x v="2"/>
    <x v="1"/>
    <x v="2"/>
    <x v="2"/>
    <s v=""/>
    <s v=""/>
    <s v=""/>
    <x v="2"/>
    <m/>
    <x v="0"/>
    <s v="Detractor"/>
    <m/>
  </r>
  <r>
    <x v="200"/>
    <x v="3"/>
    <x v="2"/>
    <x v="18"/>
    <x v="18"/>
    <x v="26"/>
    <x v="17"/>
    <x v="0"/>
    <x v="0"/>
    <x v="30"/>
    <n v="3"/>
    <n v="3"/>
    <n v="6"/>
    <x v="5"/>
    <n v="12"/>
    <x v="0"/>
    <s v="Detractor"/>
    <m/>
  </r>
  <r>
    <x v="201"/>
    <x v="1"/>
    <x v="2"/>
    <x v="18"/>
    <x v="31"/>
    <x v="28"/>
    <x v="24"/>
    <x v="0"/>
    <x v="0"/>
    <x v="43"/>
    <n v="2"/>
    <n v="2"/>
    <n v="7"/>
    <x v="0"/>
    <n v="11"/>
    <x v="0"/>
    <s v="Detractor"/>
    <m/>
  </r>
  <r>
    <x v="202"/>
    <x v="1"/>
    <x v="2"/>
    <x v="19"/>
    <x v="4"/>
    <x v="12"/>
    <x v="18"/>
    <x v="0"/>
    <x v="0"/>
    <x v="44"/>
    <n v="5"/>
    <n v="1"/>
    <n v="4"/>
    <x v="0"/>
    <n v="10"/>
    <x v="0"/>
    <s v="Detractor"/>
    <m/>
  </r>
  <r>
    <x v="203"/>
    <x v="1"/>
    <x v="0"/>
    <x v="18"/>
    <x v="9"/>
    <x v="18"/>
    <x v="0"/>
    <x v="0"/>
    <x v="0"/>
    <x v="31"/>
    <n v="4"/>
    <n v="3"/>
    <n v="7"/>
    <x v="3"/>
    <n v="14"/>
    <x v="0"/>
    <s v="Promoter"/>
    <m/>
  </r>
  <r>
    <x v="204"/>
    <x v="0"/>
    <x v="1"/>
    <x v="24"/>
    <x v="2"/>
    <x v="2"/>
    <x v="2"/>
    <x v="1"/>
    <x v="4"/>
    <x v="2"/>
    <s v=""/>
    <s v=""/>
    <s v=""/>
    <x v="2"/>
    <m/>
    <x v="0"/>
    <s v="Detractor"/>
    <m/>
  </r>
  <r>
    <x v="205"/>
    <x v="1"/>
    <x v="2"/>
    <x v="22"/>
    <x v="28"/>
    <x v="15"/>
    <x v="18"/>
    <x v="0"/>
    <x v="0"/>
    <x v="30"/>
    <n v="3"/>
    <n v="2"/>
    <n v="6"/>
    <x v="0"/>
    <n v="11"/>
    <x v="0"/>
    <s v="Detractor"/>
    <m/>
  </r>
  <r>
    <x v="206"/>
    <x v="1"/>
    <x v="1"/>
    <x v="16"/>
    <x v="2"/>
    <x v="2"/>
    <x v="2"/>
    <x v="1"/>
    <x v="4"/>
    <x v="2"/>
    <s v=""/>
    <s v=""/>
    <s v=""/>
    <x v="2"/>
    <m/>
    <x v="0"/>
    <s v="Detractor"/>
    <m/>
  </r>
  <r>
    <x v="207"/>
    <x v="0"/>
    <x v="0"/>
    <x v="28"/>
    <x v="1"/>
    <x v="11"/>
    <x v="7"/>
    <x v="0"/>
    <x v="0"/>
    <x v="19"/>
    <n v="1"/>
    <n v="4"/>
    <n v="7"/>
    <x v="11"/>
    <n v="12"/>
    <x v="0"/>
    <s v="Passive"/>
    <m/>
  </r>
  <r>
    <x v="208"/>
    <x v="2"/>
    <x v="1"/>
    <x v="11"/>
    <x v="2"/>
    <x v="2"/>
    <x v="2"/>
    <x v="1"/>
    <x v="5"/>
    <x v="2"/>
    <s v=""/>
    <s v=""/>
    <s v=""/>
    <x v="2"/>
    <m/>
    <x v="0"/>
    <s v="Detractor"/>
    <m/>
  </r>
  <r>
    <x v="209"/>
    <x v="0"/>
    <x v="2"/>
    <x v="20"/>
    <x v="35"/>
    <x v="9"/>
    <x v="36"/>
    <x v="0"/>
    <x v="0"/>
    <x v="0"/>
    <n v="4"/>
    <n v="3"/>
    <n v="5"/>
    <x v="3"/>
    <n v="12"/>
    <x v="0"/>
    <s v="Promoter"/>
    <m/>
  </r>
  <r>
    <x v="210"/>
    <x v="1"/>
    <x v="1"/>
    <x v="11"/>
    <x v="2"/>
    <x v="2"/>
    <x v="2"/>
    <x v="1"/>
    <x v="5"/>
    <x v="2"/>
    <s v=""/>
    <s v=""/>
    <s v=""/>
    <x v="2"/>
    <m/>
    <x v="0"/>
    <s v="Detractor"/>
    <m/>
  </r>
  <r>
    <x v="211"/>
    <x v="0"/>
    <x v="0"/>
    <x v="30"/>
    <x v="17"/>
    <x v="21"/>
    <x v="14"/>
    <x v="1"/>
    <x v="1"/>
    <x v="2"/>
    <n v="1"/>
    <n v="2"/>
    <n v="3"/>
    <x v="2"/>
    <n v="6"/>
    <x v="0"/>
    <s v="Detractor"/>
    <m/>
  </r>
  <r>
    <x v="212"/>
    <x v="2"/>
    <x v="2"/>
    <x v="3"/>
    <x v="11"/>
    <x v="31"/>
    <x v="13"/>
    <x v="0"/>
    <x v="0"/>
    <x v="12"/>
    <n v="2"/>
    <n v="1"/>
    <n v="6"/>
    <x v="8"/>
    <n v="9"/>
    <x v="0"/>
    <s v="Detractor"/>
    <m/>
  </r>
  <r>
    <x v="213"/>
    <x v="0"/>
    <x v="2"/>
    <x v="23"/>
    <x v="18"/>
    <x v="26"/>
    <x v="21"/>
    <x v="0"/>
    <x v="0"/>
    <x v="17"/>
    <n v="4"/>
    <n v="3"/>
    <n v="3"/>
    <x v="0"/>
    <n v="10"/>
    <x v="0"/>
    <s v="Detractor"/>
    <m/>
  </r>
  <r>
    <x v="214"/>
    <x v="1"/>
    <x v="1"/>
    <x v="4"/>
    <x v="2"/>
    <x v="2"/>
    <x v="2"/>
    <x v="1"/>
    <x v="2"/>
    <x v="2"/>
    <s v=""/>
    <s v=""/>
    <s v=""/>
    <x v="2"/>
    <m/>
    <x v="0"/>
    <s v="Detractor"/>
    <m/>
  </r>
  <r>
    <x v="215"/>
    <x v="2"/>
    <x v="1"/>
    <x v="30"/>
    <x v="2"/>
    <x v="2"/>
    <x v="2"/>
    <x v="1"/>
    <x v="5"/>
    <x v="2"/>
    <s v=""/>
    <s v=""/>
    <s v=""/>
    <x v="2"/>
    <m/>
    <x v="0"/>
    <s v="Detractor"/>
    <m/>
  </r>
  <r>
    <x v="216"/>
    <x v="3"/>
    <x v="2"/>
    <x v="23"/>
    <x v="9"/>
    <x v="18"/>
    <x v="9"/>
    <x v="0"/>
    <x v="0"/>
    <x v="31"/>
    <n v="5"/>
    <n v="3"/>
    <n v="3"/>
    <x v="6"/>
    <n v="11"/>
    <x v="0"/>
    <s v="Detractor"/>
    <m/>
  </r>
  <r>
    <x v="217"/>
    <x v="1"/>
    <x v="0"/>
    <x v="18"/>
    <x v="9"/>
    <x v="0"/>
    <x v="17"/>
    <x v="1"/>
    <x v="5"/>
    <x v="2"/>
    <n v="4"/>
    <n v="5"/>
    <n v="3"/>
    <x v="2"/>
    <n v="12"/>
    <x v="0"/>
    <s v="Detractor"/>
    <m/>
  </r>
  <r>
    <x v="218"/>
    <x v="2"/>
    <x v="1"/>
    <x v="31"/>
    <x v="2"/>
    <x v="2"/>
    <x v="2"/>
    <x v="1"/>
    <x v="2"/>
    <x v="2"/>
    <s v=""/>
    <s v=""/>
    <s v=""/>
    <x v="2"/>
    <m/>
    <x v="0"/>
    <s v="Detractor"/>
    <m/>
  </r>
  <r>
    <x v="219"/>
    <x v="2"/>
    <x v="1"/>
    <x v="18"/>
    <x v="2"/>
    <x v="2"/>
    <x v="2"/>
    <x v="1"/>
    <x v="1"/>
    <x v="2"/>
    <s v=""/>
    <s v=""/>
    <s v=""/>
    <x v="2"/>
    <m/>
    <x v="0"/>
    <s v="Detractor"/>
    <m/>
  </r>
  <r>
    <x v="220"/>
    <x v="3"/>
    <x v="1"/>
    <x v="8"/>
    <x v="2"/>
    <x v="2"/>
    <x v="2"/>
    <x v="1"/>
    <x v="5"/>
    <x v="2"/>
    <s v=""/>
    <s v=""/>
    <s v=""/>
    <x v="2"/>
    <m/>
    <x v="0"/>
    <s v="Detractor"/>
    <m/>
  </r>
  <r>
    <x v="221"/>
    <x v="0"/>
    <x v="0"/>
    <x v="15"/>
    <x v="23"/>
    <x v="31"/>
    <x v="26"/>
    <x v="0"/>
    <x v="0"/>
    <x v="6"/>
    <n v="5"/>
    <n v="2"/>
    <n v="2"/>
    <x v="9"/>
    <n v="9"/>
    <x v="0"/>
    <s v="Detractor"/>
    <m/>
  </r>
  <r>
    <x v="222"/>
    <x v="0"/>
    <x v="0"/>
    <x v="7"/>
    <x v="6"/>
    <x v="36"/>
    <x v="38"/>
    <x v="0"/>
    <x v="0"/>
    <x v="17"/>
    <n v="1"/>
    <n v="2"/>
    <n v="6"/>
    <x v="10"/>
    <n v="9"/>
    <x v="0"/>
    <s v="Detractor"/>
    <m/>
  </r>
  <r>
    <x v="223"/>
    <x v="1"/>
    <x v="0"/>
    <x v="8"/>
    <x v="8"/>
    <x v="19"/>
    <x v="10"/>
    <x v="0"/>
    <x v="0"/>
    <x v="40"/>
    <n v="4"/>
    <n v="5"/>
    <n v="4"/>
    <x v="11"/>
    <n v="13"/>
    <x v="0"/>
    <s v="Passive"/>
    <m/>
  </r>
  <r>
    <x v="224"/>
    <x v="3"/>
    <x v="0"/>
    <x v="22"/>
    <x v="28"/>
    <x v="12"/>
    <x v="4"/>
    <x v="0"/>
    <x v="0"/>
    <x v="31"/>
    <n v="3"/>
    <n v="4"/>
    <n v="6"/>
    <x v="9"/>
    <n v="13"/>
    <x v="0"/>
    <s v="Detractor"/>
    <m/>
  </r>
  <r>
    <x v="225"/>
    <x v="0"/>
    <x v="0"/>
    <x v="29"/>
    <x v="21"/>
    <x v="23"/>
    <x v="27"/>
    <x v="1"/>
    <x v="1"/>
    <x v="2"/>
    <n v="3"/>
    <n v="4"/>
    <n v="4"/>
    <x v="2"/>
    <n v="11"/>
    <x v="0"/>
    <s v="Detractor"/>
    <m/>
  </r>
  <r>
    <x v="226"/>
    <x v="3"/>
    <x v="0"/>
    <x v="0"/>
    <x v="18"/>
    <x v="8"/>
    <x v="0"/>
    <x v="1"/>
    <x v="3"/>
    <x v="2"/>
    <n v="2"/>
    <n v="5"/>
    <n v="6"/>
    <x v="2"/>
    <n v="13"/>
    <x v="0"/>
    <s v="Detractor"/>
    <m/>
  </r>
  <r>
    <x v="227"/>
    <x v="0"/>
    <x v="2"/>
    <x v="29"/>
    <x v="21"/>
    <x v="21"/>
    <x v="19"/>
    <x v="0"/>
    <x v="0"/>
    <x v="34"/>
    <n v="3"/>
    <n v="3"/>
    <n v="6"/>
    <x v="8"/>
    <n v="12"/>
    <x v="0"/>
    <s v="Detractor"/>
    <m/>
  </r>
  <r>
    <x v="228"/>
    <x v="2"/>
    <x v="1"/>
    <x v="17"/>
    <x v="2"/>
    <x v="2"/>
    <x v="2"/>
    <x v="1"/>
    <x v="1"/>
    <x v="2"/>
    <s v=""/>
    <s v=""/>
    <s v=""/>
    <x v="2"/>
    <m/>
    <x v="0"/>
    <s v="Detractor"/>
    <m/>
  </r>
  <r>
    <x v="229"/>
    <x v="0"/>
    <x v="0"/>
    <x v="27"/>
    <x v="9"/>
    <x v="27"/>
    <x v="5"/>
    <x v="0"/>
    <x v="0"/>
    <x v="10"/>
    <n v="2"/>
    <n v="1"/>
    <n v="3"/>
    <x v="0"/>
    <n v="6"/>
    <x v="0"/>
    <s v="Detractor"/>
    <m/>
  </r>
  <r>
    <x v="230"/>
    <x v="3"/>
    <x v="0"/>
    <x v="25"/>
    <x v="26"/>
    <x v="5"/>
    <x v="28"/>
    <x v="0"/>
    <x v="0"/>
    <x v="45"/>
    <n v="1"/>
    <n v="4"/>
    <n v="4"/>
    <x v="0"/>
    <n v="9"/>
    <x v="0"/>
    <s v="Detractor"/>
    <m/>
  </r>
  <r>
    <x v="231"/>
    <x v="2"/>
    <x v="0"/>
    <x v="14"/>
    <x v="17"/>
    <x v="14"/>
    <x v="19"/>
    <x v="0"/>
    <x v="0"/>
    <x v="11"/>
    <n v="5"/>
    <n v="1"/>
    <n v="7"/>
    <x v="1"/>
    <n v="13"/>
    <x v="0"/>
    <s v="Passive"/>
    <m/>
  </r>
  <r>
    <x v="232"/>
    <x v="2"/>
    <x v="0"/>
    <x v="24"/>
    <x v="27"/>
    <x v="30"/>
    <x v="6"/>
    <x v="1"/>
    <x v="4"/>
    <x v="2"/>
    <n v="1"/>
    <n v="2"/>
    <n v="4"/>
    <x v="2"/>
    <n v="7"/>
    <x v="0"/>
    <s v="Detractor"/>
    <m/>
  </r>
  <r>
    <x v="233"/>
    <x v="2"/>
    <x v="2"/>
    <x v="14"/>
    <x v="17"/>
    <x v="21"/>
    <x v="16"/>
    <x v="0"/>
    <x v="0"/>
    <x v="29"/>
    <n v="5"/>
    <n v="2"/>
    <n v="4"/>
    <x v="3"/>
    <n v="11"/>
    <x v="0"/>
    <s v="Promoter"/>
    <m/>
  </r>
  <r>
    <x v="234"/>
    <x v="3"/>
    <x v="2"/>
    <x v="21"/>
    <x v="18"/>
    <x v="18"/>
    <x v="26"/>
    <x v="0"/>
    <x v="0"/>
    <x v="31"/>
    <n v="5"/>
    <n v="4"/>
    <n v="6"/>
    <x v="8"/>
    <n v="15"/>
    <x v="0"/>
    <s v="Detractor"/>
    <m/>
  </r>
  <r>
    <x v="235"/>
    <x v="1"/>
    <x v="2"/>
    <x v="25"/>
    <x v="6"/>
    <x v="5"/>
    <x v="28"/>
    <x v="0"/>
    <x v="0"/>
    <x v="11"/>
    <n v="2"/>
    <n v="3"/>
    <n v="4"/>
    <x v="11"/>
    <n v="9"/>
    <x v="0"/>
    <s v="Passive"/>
    <m/>
  </r>
  <r>
    <x v="236"/>
    <x v="1"/>
    <x v="2"/>
    <x v="14"/>
    <x v="27"/>
    <x v="30"/>
    <x v="16"/>
    <x v="0"/>
    <x v="0"/>
    <x v="20"/>
    <n v="3"/>
    <n v="2"/>
    <n v="6"/>
    <x v="11"/>
    <n v="11"/>
    <x v="0"/>
    <s v="Passive"/>
    <m/>
  </r>
  <r>
    <x v="237"/>
    <x v="1"/>
    <x v="0"/>
    <x v="2"/>
    <x v="26"/>
    <x v="32"/>
    <x v="28"/>
    <x v="0"/>
    <x v="0"/>
    <x v="18"/>
    <n v="3"/>
    <n v="1"/>
    <n v="7"/>
    <x v="6"/>
    <n v="11"/>
    <x v="0"/>
    <s v="Detractor"/>
    <m/>
  </r>
  <r>
    <x v="238"/>
    <x v="3"/>
    <x v="0"/>
    <x v="4"/>
    <x v="24"/>
    <x v="1"/>
    <x v="12"/>
    <x v="0"/>
    <x v="0"/>
    <x v="18"/>
    <n v="2"/>
    <n v="3"/>
    <n v="2"/>
    <x v="10"/>
    <n v="7"/>
    <x v="0"/>
    <s v="Detractor"/>
    <m/>
  </r>
  <r>
    <x v="239"/>
    <x v="2"/>
    <x v="2"/>
    <x v="11"/>
    <x v="7"/>
    <x v="3"/>
    <x v="3"/>
    <x v="1"/>
    <x v="4"/>
    <x v="2"/>
    <n v="2"/>
    <n v="4"/>
    <n v="3"/>
    <x v="2"/>
    <n v="9"/>
    <x v="0"/>
    <s v="Detractor"/>
    <m/>
  </r>
  <r>
    <x v="240"/>
    <x v="1"/>
    <x v="0"/>
    <x v="12"/>
    <x v="9"/>
    <x v="26"/>
    <x v="24"/>
    <x v="0"/>
    <x v="0"/>
    <x v="19"/>
    <n v="1"/>
    <n v="2"/>
    <n v="5"/>
    <x v="3"/>
    <n v="8"/>
    <x v="0"/>
    <s v="Promoter"/>
    <m/>
  </r>
  <r>
    <x v="241"/>
    <x v="3"/>
    <x v="2"/>
    <x v="18"/>
    <x v="31"/>
    <x v="26"/>
    <x v="5"/>
    <x v="0"/>
    <x v="0"/>
    <x v="26"/>
    <n v="2"/>
    <n v="4"/>
    <n v="2"/>
    <x v="10"/>
    <n v="8"/>
    <x v="0"/>
    <s v="Detractor"/>
    <m/>
  </r>
  <r>
    <x v="242"/>
    <x v="1"/>
    <x v="1"/>
    <x v="6"/>
    <x v="2"/>
    <x v="2"/>
    <x v="2"/>
    <x v="1"/>
    <x v="1"/>
    <x v="2"/>
    <s v=""/>
    <s v=""/>
    <s v=""/>
    <x v="2"/>
    <m/>
    <x v="0"/>
    <s v="Detractor"/>
    <m/>
  </r>
  <r>
    <x v="243"/>
    <x v="0"/>
    <x v="1"/>
    <x v="30"/>
    <x v="2"/>
    <x v="2"/>
    <x v="2"/>
    <x v="1"/>
    <x v="4"/>
    <x v="2"/>
    <s v=""/>
    <s v=""/>
    <s v=""/>
    <x v="2"/>
    <m/>
    <x v="0"/>
    <s v="Detractor"/>
    <m/>
  </r>
  <r>
    <x v="244"/>
    <x v="1"/>
    <x v="2"/>
    <x v="31"/>
    <x v="6"/>
    <x v="5"/>
    <x v="28"/>
    <x v="0"/>
    <x v="0"/>
    <x v="46"/>
    <n v="3"/>
    <n v="3"/>
    <n v="4"/>
    <x v="5"/>
    <n v="10"/>
    <x v="0"/>
    <s v="Detractor"/>
    <m/>
  </r>
  <r>
    <x v="245"/>
    <x v="1"/>
    <x v="0"/>
    <x v="24"/>
    <x v="21"/>
    <x v="21"/>
    <x v="22"/>
    <x v="1"/>
    <x v="3"/>
    <x v="2"/>
    <n v="2"/>
    <n v="3"/>
    <n v="7"/>
    <x v="2"/>
    <n v="12"/>
    <x v="0"/>
    <s v="Detractor"/>
    <m/>
  </r>
  <r>
    <x v="246"/>
    <x v="2"/>
    <x v="2"/>
    <x v="30"/>
    <x v="20"/>
    <x v="17"/>
    <x v="27"/>
    <x v="0"/>
    <x v="0"/>
    <x v="15"/>
    <n v="2"/>
    <n v="3"/>
    <n v="3"/>
    <x v="5"/>
    <n v="8"/>
    <x v="0"/>
    <s v="Detractor"/>
    <m/>
  </r>
  <r>
    <x v="247"/>
    <x v="3"/>
    <x v="0"/>
    <x v="12"/>
    <x v="28"/>
    <x v="10"/>
    <x v="23"/>
    <x v="0"/>
    <x v="0"/>
    <x v="47"/>
    <n v="5"/>
    <n v="5"/>
    <n v="7"/>
    <x v="8"/>
    <n v="17"/>
    <x v="0"/>
    <s v="Detractor"/>
    <m/>
  </r>
  <r>
    <x v="248"/>
    <x v="2"/>
    <x v="0"/>
    <x v="30"/>
    <x v="20"/>
    <x v="25"/>
    <x v="22"/>
    <x v="0"/>
    <x v="0"/>
    <x v="32"/>
    <n v="2"/>
    <n v="5"/>
    <n v="3"/>
    <x v="11"/>
    <n v="10"/>
    <x v="0"/>
    <s v="Passive"/>
    <m/>
  </r>
  <r>
    <x v="249"/>
    <x v="2"/>
    <x v="2"/>
    <x v="12"/>
    <x v="9"/>
    <x v="27"/>
    <x v="5"/>
    <x v="0"/>
    <x v="0"/>
    <x v="17"/>
    <n v="1"/>
    <n v="1"/>
    <n v="3"/>
    <x v="9"/>
    <n v="5"/>
    <x v="0"/>
    <s v="Detractor"/>
    <m/>
  </r>
  <r>
    <x v="250"/>
    <x v="2"/>
    <x v="0"/>
    <x v="3"/>
    <x v="11"/>
    <x v="10"/>
    <x v="18"/>
    <x v="0"/>
    <x v="0"/>
    <x v="6"/>
    <n v="2"/>
    <n v="3"/>
    <n v="3"/>
    <x v="0"/>
    <n v="8"/>
    <x v="0"/>
    <s v="Detractor"/>
    <m/>
  </r>
  <r>
    <x v="251"/>
    <x v="2"/>
    <x v="2"/>
    <x v="11"/>
    <x v="22"/>
    <x v="24"/>
    <x v="21"/>
    <x v="0"/>
    <x v="0"/>
    <x v="11"/>
    <n v="4"/>
    <n v="3"/>
    <n v="7"/>
    <x v="5"/>
    <n v="14"/>
    <x v="0"/>
    <s v="Detractor"/>
    <m/>
  </r>
  <r>
    <x v="252"/>
    <x v="2"/>
    <x v="2"/>
    <x v="25"/>
    <x v="15"/>
    <x v="37"/>
    <x v="38"/>
    <x v="0"/>
    <x v="0"/>
    <x v="33"/>
    <n v="4"/>
    <n v="2"/>
    <n v="4"/>
    <x v="4"/>
    <n v="10"/>
    <x v="0"/>
    <s v="Promoter"/>
    <m/>
  </r>
  <r>
    <x v="253"/>
    <x v="1"/>
    <x v="0"/>
    <x v="27"/>
    <x v="12"/>
    <x v="8"/>
    <x v="24"/>
    <x v="0"/>
    <x v="0"/>
    <x v="1"/>
    <n v="5"/>
    <n v="1"/>
    <n v="3"/>
    <x v="8"/>
    <n v="9"/>
    <x v="0"/>
    <s v="Detractor"/>
    <m/>
  </r>
  <r>
    <x v="254"/>
    <x v="2"/>
    <x v="0"/>
    <x v="24"/>
    <x v="19"/>
    <x v="23"/>
    <x v="12"/>
    <x v="0"/>
    <x v="0"/>
    <x v="20"/>
    <n v="5"/>
    <n v="1"/>
    <n v="7"/>
    <x v="7"/>
    <n v="13"/>
    <x v="0"/>
    <s v="Detractor"/>
    <m/>
  </r>
  <r>
    <x v="255"/>
    <x v="2"/>
    <x v="0"/>
    <x v="20"/>
    <x v="35"/>
    <x v="38"/>
    <x v="39"/>
    <x v="1"/>
    <x v="2"/>
    <x v="2"/>
    <n v="4"/>
    <n v="4"/>
    <n v="5"/>
    <x v="2"/>
    <n v="13"/>
    <x v="0"/>
    <s v="Detractor"/>
    <m/>
  </r>
  <r>
    <x v="256"/>
    <x v="3"/>
    <x v="0"/>
    <x v="17"/>
    <x v="1"/>
    <x v="25"/>
    <x v="31"/>
    <x v="0"/>
    <x v="0"/>
    <x v="42"/>
    <n v="5"/>
    <n v="3"/>
    <n v="5"/>
    <x v="9"/>
    <n v="13"/>
    <x v="0"/>
    <s v="Detractor"/>
    <m/>
  </r>
  <r>
    <x v="257"/>
    <x v="0"/>
    <x v="1"/>
    <x v="19"/>
    <x v="2"/>
    <x v="2"/>
    <x v="2"/>
    <x v="1"/>
    <x v="4"/>
    <x v="2"/>
    <s v=""/>
    <s v=""/>
    <s v=""/>
    <x v="2"/>
    <m/>
    <x v="0"/>
    <s v="Detractor"/>
    <m/>
  </r>
  <r>
    <x v="258"/>
    <x v="1"/>
    <x v="2"/>
    <x v="19"/>
    <x v="4"/>
    <x v="10"/>
    <x v="18"/>
    <x v="1"/>
    <x v="4"/>
    <x v="2"/>
    <n v="5"/>
    <n v="2"/>
    <n v="3"/>
    <x v="2"/>
    <n v="10"/>
    <x v="0"/>
    <s v="Detractor"/>
    <m/>
  </r>
  <r>
    <x v="259"/>
    <x v="1"/>
    <x v="0"/>
    <x v="0"/>
    <x v="9"/>
    <x v="8"/>
    <x v="0"/>
    <x v="0"/>
    <x v="0"/>
    <x v="31"/>
    <n v="3"/>
    <n v="4"/>
    <n v="6"/>
    <x v="8"/>
    <n v="13"/>
    <x v="0"/>
    <s v="Detractor"/>
    <m/>
  </r>
  <r>
    <x v="260"/>
    <x v="1"/>
    <x v="0"/>
    <x v="23"/>
    <x v="31"/>
    <x v="18"/>
    <x v="0"/>
    <x v="0"/>
    <x v="0"/>
    <x v="20"/>
    <n v="3"/>
    <n v="5"/>
    <n v="7"/>
    <x v="0"/>
    <n v="15"/>
    <x v="0"/>
    <s v="Detractor"/>
    <m/>
  </r>
  <r>
    <x v="261"/>
    <x v="2"/>
    <x v="0"/>
    <x v="27"/>
    <x v="9"/>
    <x v="18"/>
    <x v="24"/>
    <x v="0"/>
    <x v="0"/>
    <x v="6"/>
    <n v="2"/>
    <n v="3"/>
    <n v="4"/>
    <x v="3"/>
    <n v="9"/>
    <x v="0"/>
    <s v="Promoter"/>
    <m/>
  </r>
  <r>
    <x v="262"/>
    <x v="2"/>
    <x v="1"/>
    <x v="19"/>
    <x v="2"/>
    <x v="2"/>
    <x v="2"/>
    <x v="1"/>
    <x v="1"/>
    <x v="2"/>
    <s v=""/>
    <s v=""/>
    <s v=""/>
    <x v="2"/>
    <m/>
    <x v="0"/>
    <s v="Detractor"/>
    <m/>
  </r>
  <r>
    <x v="263"/>
    <x v="2"/>
    <x v="0"/>
    <x v="20"/>
    <x v="35"/>
    <x v="4"/>
    <x v="36"/>
    <x v="0"/>
    <x v="0"/>
    <x v="40"/>
    <n v="4"/>
    <n v="1"/>
    <n v="7"/>
    <x v="7"/>
    <n v="12"/>
    <x v="0"/>
    <s v="Detractor"/>
    <m/>
  </r>
  <r>
    <x v="264"/>
    <x v="3"/>
    <x v="0"/>
    <x v="29"/>
    <x v="30"/>
    <x v="30"/>
    <x v="14"/>
    <x v="0"/>
    <x v="0"/>
    <x v="26"/>
    <n v="1"/>
    <n v="3"/>
    <n v="5"/>
    <x v="11"/>
    <n v="9"/>
    <x v="0"/>
    <s v="Passive"/>
    <m/>
  </r>
  <r>
    <x v="265"/>
    <x v="0"/>
    <x v="0"/>
    <x v="4"/>
    <x v="3"/>
    <x v="3"/>
    <x v="1"/>
    <x v="0"/>
    <x v="0"/>
    <x v="5"/>
    <n v="4"/>
    <n v="3"/>
    <n v="5"/>
    <x v="7"/>
    <n v="12"/>
    <x v="0"/>
    <s v="Detractor"/>
    <m/>
  </r>
  <r>
    <x v="266"/>
    <x v="2"/>
    <x v="1"/>
    <x v="7"/>
    <x v="2"/>
    <x v="2"/>
    <x v="2"/>
    <x v="1"/>
    <x v="3"/>
    <x v="2"/>
    <s v=""/>
    <s v=""/>
    <s v=""/>
    <x v="2"/>
    <m/>
    <x v="0"/>
    <s v="Detractor"/>
    <m/>
  </r>
  <r>
    <x v="267"/>
    <x v="0"/>
    <x v="1"/>
    <x v="21"/>
    <x v="2"/>
    <x v="2"/>
    <x v="2"/>
    <x v="1"/>
    <x v="2"/>
    <x v="2"/>
    <s v=""/>
    <s v=""/>
    <s v=""/>
    <x v="2"/>
    <m/>
    <x v="0"/>
    <s v="Detractor"/>
    <m/>
  </r>
  <r>
    <x v="268"/>
    <x v="3"/>
    <x v="0"/>
    <x v="24"/>
    <x v="20"/>
    <x v="25"/>
    <x v="31"/>
    <x v="0"/>
    <x v="0"/>
    <x v="3"/>
    <n v="4"/>
    <n v="5"/>
    <n v="5"/>
    <x v="5"/>
    <n v="14"/>
    <x v="0"/>
    <s v="Detractor"/>
    <m/>
  </r>
  <r>
    <x v="269"/>
    <x v="1"/>
    <x v="0"/>
    <x v="0"/>
    <x v="9"/>
    <x v="26"/>
    <x v="5"/>
    <x v="0"/>
    <x v="0"/>
    <x v="12"/>
    <n v="3"/>
    <n v="2"/>
    <n v="2"/>
    <x v="10"/>
    <n v="7"/>
    <x v="0"/>
    <s v="Detractor"/>
    <m/>
  </r>
  <r>
    <x v="270"/>
    <x v="2"/>
    <x v="2"/>
    <x v="13"/>
    <x v="30"/>
    <x v="13"/>
    <x v="16"/>
    <x v="0"/>
    <x v="0"/>
    <x v="26"/>
    <n v="3"/>
    <n v="2"/>
    <n v="7"/>
    <x v="7"/>
    <n v="12"/>
    <x v="0"/>
    <s v="Detractor"/>
    <m/>
  </r>
  <r>
    <x v="271"/>
    <x v="0"/>
    <x v="2"/>
    <x v="20"/>
    <x v="8"/>
    <x v="9"/>
    <x v="11"/>
    <x v="0"/>
    <x v="0"/>
    <x v="8"/>
    <n v="5"/>
    <n v="2"/>
    <n v="2"/>
    <x v="5"/>
    <n v="9"/>
    <x v="0"/>
    <s v="Detractor"/>
    <m/>
  </r>
  <r>
    <x v="272"/>
    <x v="0"/>
    <x v="0"/>
    <x v="17"/>
    <x v="21"/>
    <x v="23"/>
    <x v="19"/>
    <x v="0"/>
    <x v="0"/>
    <x v="3"/>
    <n v="1"/>
    <n v="4"/>
    <n v="5"/>
    <x v="3"/>
    <n v="10"/>
    <x v="0"/>
    <s v="Promoter"/>
    <m/>
  </r>
  <r>
    <x v="273"/>
    <x v="2"/>
    <x v="2"/>
    <x v="5"/>
    <x v="11"/>
    <x v="12"/>
    <x v="4"/>
    <x v="0"/>
    <x v="0"/>
    <x v="10"/>
    <n v="3"/>
    <n v="2"/>
    <n v="6"/>
    <x v="0"/>
    <n v="11"/>
    <x v="0"/>
    <s v="Detractor"/>
    <m/>
  </r>
  <r>
    <x v="274"/>
    <x v="1"/>
    <x v="0"/>
    <x v="13"/>
    <x v="21"/>
    <x v="23"/>
    <x v="12"/>
    <x v="0"/>
    <x v="0"/>
    <x v="32"/>
    <n v="5"/>
    <n v="4"/>
    <n v="7"/>
    <x v="9"/>
    <n v="16"/>
    <x v="0"/>
    <s v="Detractor"/>
    <m/>
  </r>
  <r>
    <x v="275"/>
    <x v="1"/>
    <x v="2"/>
    <x v="25"/>
    <x v="26"/>
    <x v="37"/>
    <x v="38"/>
    <x v="0"/>
    <x v="0"/>
    <x v="18"/>
    <n v="1"/>
    <n v="5"/>
    <n v="4"/>
    <x v="4"/>
    <n v="10"/>
    <x v="0"/>
    <s v="Promoter"/>
    <m/>
  </r>
  <r>
    <x v="276"/>
    <x v="1"/>
    <x v="0"/>
    <x v="31"/>
    <x v="6"/>
    <x v="5"/>
    <x v="6"/>
    <x v="0"/>
    <x v="0"/>
    <x v="32"/>
    <n v="3"/>
    <n v="3"/>
    <n v="7"/>
    <x v="1"/>
    <n v="13"/>
    <x v="0"/>
    <s v="Passive"/>
    <m/>
  </r>
  <r>
    <x v="277"/>
    <x v="3"/>
    <x v="0"/>
    <x v="14"/>
    <x v="21"/>
    <x v="23"/>
    <x v="27"/>
    <x v="0"/>
    <x v="0"/>
    <x v="4"/>
    <n v="4"/>
    <n v="4"/>
    <n v="4"/>
    <x v="10"/>
    <n v="12"/>
    <x v="0"/>
    <s v="Detractor"/>
    <m/>
  </r>
  <r>
    <x v="278"/>
    <x v="0"/>
    <x v="1"/>
    <x v="19"/>
    <x v="2"/>
    <x v="2"/>
    <x v="2"/>
    <x v="1"/>
    <x v="1"/>
    <x v="2"/>
    <s v=""/>
    <s v=""/>
    <s v=""/>
    <x v="2"/>
    <m/>
    <x v="0"/>
    <s v="Detractor"/>
    <m/>
  </r>
  <r>
    <x v="279"/>
    <x v="0"/>
    <x v="2"/>
    <x v="30"/>
    <x v="1"/>
    <x v="1"/>
    <x v="3"/>
    <x v="1"/>
    <x v="1"/>
    <x v="2"/>
    <n v="4"/>
    <n v="5"/>
    <n v="5"/>
    <x v="2"/>
    <n v="14"/>
    <x v="0"/>
    <s v="Detractor"/>
    <m/>
  </r>
  <r>
    <x v="280"/>
    <x v="0"/>
    <x v="0"/>
    <x v="18"/>
    <x v="16"/>
    <x v="27"/>
    <x v="9"/>
    <x v="0"/>
    <x v="0"/>
    <x v="42"/>
    <n v="1"/>
    <n v="4"/>
    <n v="5"/>
    <x v="1"/>
    <n v="10"/>
    <x v="0"/>
    <s v="Passive"/>
    <m/>
  </r>
  <r>
    <x v="281"/>
    <x v="3"/>
    <x v="1"/>
    <x v="15"/>
    <x v="2"/>
    <x v="2"/>
    <x v="2"/>
    <x v="1"/>
    <x v="3"/>
    <x v="2"/>
    <s v=""/>
    <s v=""/>
    <s v=""/>
    <x v="2"/>
    <m/>
    <x v="0"/>
    <s v="Detractor"/>
    <m/>
  </r>
  <r>
    <x v="282"/>
    <x v="0"/>
    <x v="2"/>
    <x v="5"/>
    <x v="28"/>
    <x v="10"/>
    <x v="13"/>
    <x v="1"/>
    <x v="2"/>
    <x v="2"/>
    <n v="1"/>
    <n v="5"/>
    <n v="4"/>
    <x v="2"/>
    <n v="10"/>
    <x v="0"/>
    <s v="Detractor"/>
    <m/>
  </r>
  <r>
    <x v="283"/>
    <x v="3"/>
    <x v="1"/>
    <x v="23"/>
    <x v="2"/>
    <x v="2"/>
    <x v="2"/>
    <x v="1"/>
    <x v="3"/>
    <x v="2"/>
    <s v=""/>
    <s v=""/>
    <s v=""/>
    <x v="2"/>
    <m/>
    <x v="0"/>
    <s v="Detractor"/>
    <m/>
  </r>
  <r>
    <x v="284"/>
    <x v="1"/>
    <x v="0"/>
    <x v="20"/>
    <x v="34"/>
    <x v="4"/>
    <x v="8"/>
    <x v="0"/>
    <x v="0"/>
    <x v="0"/>
    <n v="3"/>
    <n v="2"/>
    <n v="6"/>
    <x v="8"/>
    <n v="11"/>
    <x v="0"/>
    <s v="Detractor"/>
    <m/>
  </r>
  <r>
    <x v="285"/>
    <x v="2"/>
    <x v="0"/>
    <x v="30"/>
    <x v="19"/>
    <x v="17"/>
    <x v="16"/>
    <x v="0"/>
    <x v="0"/>
    <x v="25"/>
    <n v="3"/>
    <n v="2"/>
    <n v="2"/>
    <x v="3"/>
    <n v="7"/>
    <x v="0"/>
    <s v="Promoter"/>
    <m/>
  </r>
  <r>
    <x v="286"/>
    <x v="0"/>
    <x v="1"/>
    <x v="11"/>
    <x v="2"/>
    <x v="2"/>
    <x v="2"/>
    <x v="1"/>
    <x v="2"/>
    <x v="2"/>
    <s v=""/>
    <s v=""/>
    <s v=""/>
    <x v="2"/>
    <m/>
    <x v="0"/>
    <s v="Detractor"/>
    <m/>
  </r>
  <r>
    <x v="287"/>
    <x v="0"/>
    <x v="2"/>
    <x v="7"/>
    <x v="6"/>
    <x v="13"/>
    <x v="16"/>
    <x v="0"/>
    <x v="0"/>
    <x v="46"/>
    <n v="1"/>
    <n v="5"/>
    <n v="7"/>
    <x v="0"/>
    <n v="13"/>
    <x v="0"/>
    <s v="Detractor"/>
    <m/>
  </r>
  <r>
    <x v="288"/>
    <x v="1"/>
    <x v="0"/>
    <x v="11"/>
    <x v="24"/>
    <x v="25"/>
    <x v="19"/>
    <x v="1"/>
    <x v="3"/>
    <x v="2"/>
    <n v="1"/>
    <n v="1"/>
    <n v="2"/>
    <x v="2"/>
    <n v="4"/>
    <x v="0"/>
    <s v="Detractor"/>
    <m/>
  </r>
  <r>
    <x v="289"/>
    <x v="2"/>
    <x v="1"/>
    <x v="12"/>
    <x v="2"/>
    <x v="2"/>
    <x v="2"/>
    <x v="1"/>
    <x v="1"/>
    <x v="2"/>
    <s v=""/>
    <s v=""/>
    <s v=""/>
    <x v="2"/>
    <m/>
    <x v="0"/>
    <s v="Detractor"/>
    <m/>
  </r>
  <r>
    <x v="290"/>
    <x v="3"/>
    <x v="2"/>
    <x v="30"/>
    <x v="14"/>
    <x v="6"/>
    <x v="32"/>
    <x v="0"/>
    <x v="0"/>
    <x v="5"/>
    <n v="5"/>
    <n v="5"/>
    <n v="7"/>
    <x v="8"/>
    <n v="17"/>
    <x v="0"/>
    <s v="Detractor"/>
    <m/>
  </r>
  <r>
    <x v="291"/>
    <x v="2"/>
    <x v="0"/>
    <x v="12"/>
    <x v="28"/>
    <x v="12"/>
    <x v="13"/>
    <x v="0"/>
    <x v="0"/>
    <x v="12"/>
    <n v="5"/>
    <n v="4"/>
    <n v="5"/>
    <x v="10"/>
    <n v="14"/>
    <x v="0"/>
    <s v="Detractor"/>
    <m/>
  </r>
  <r>
    <x v="292"/>
    <x v="1"/>
    <x v="1"/>
    <x v="28"/>
    <x v="2"/>
    <x v="2"/>
    <x v="2"/>
    <x v="1"/>
    <x v="1"/>
    <x v="2"/>
    <s v=""/>
    <s v=""/>
    <s v=""/>
    <x v="2"/>
    <m/>
    <x v="0"/>
    <s v="Detractor"/>
    <m/>
  </r>
  <r>
    <x v="293"/>
    <x v="1"/>
    <x v="2"/>
    <x v="8"/>
    <x v="32"/>
    <x v="39"/>
    <x v="40"/>
    <x v="0"/>
    <x v="0"/>
    <x v="21"/>
    <n v="5"/>
    <n v="5"/>
    <n v="7"/>
    <x v="5"/>
    <n v="17"/>
    <x v="0"/>
    <s v="Detractor"/>
    <m/>
  </r>
  <r>
    <x v="294"/>
    <x v="2"/>
    <x v="1"/>
    <x v="17"/>
    <x v="2"/>
    <x v="2"/>
    <x v="2"/>
    <x v="1"/>
    <x v="5"/>
    <x v="2"/>
    <s v=""/>
    <s v=""/>
    <s v=""/>
    <x v="2"/>
    <m/>
    <x v="0"/>
    <s v="Detractor"/>
    <m/>
  </r>
  <r>
    <x v="295"/>
    <x v="3"/>
    <x v="0"/>
    <x v="16"/>
    <x v="16"/>
    <x v="28"/>
    <x v="24"/>
    <x v="1"/>
    <x v="4"/>
    <x v="2"/>
    <n v="4"/>
    <n v="3"/>
    <n v="7"/>
    <x v="2"/>
    <n v="14"/>
    <x v="0"/>
    <s v="Detractor"/>
    <m/>
  </r>
  <r>
    <x v="296"/>
    <x v="3"/>
    <x v="0"/>
    <x v="21"/>
    <x v="31"/>
    <x v="16"/>
    <x v="9"/>
    <x v="0"/>
    <x v="0"/>
    <x v="24"/>
    <n v="4"/>
    <n v="1"/>
    <n v="7"/>
    <x v="5"/>
    <n v="12"/>
    <x v="0"/>
    <s v="Detractor"/>
    <m/>
  </r>
  <r>
    <x v="297"/>
    <x v="0"/>
    <x v="0"/>
    <x v="6"/>
    <x v="16"/>
    <x v="26"/>
    <x v="9"/>
    <x v="0"/>
    <x v="0"/>
    <x v="23"/>
    <n v="5"/>
    <n v="5"/>
    <n v="4"/>
    <x v="4"/>
    <n v="14"/>
    <x v="0"/>
    <s v="Promoter"/>
    <m/>
  </r>
  <r>
    <x v="298"/>
    <x v="3"/>
    <x v="2"/>
    <x v="11"/>
    <x v="5"/>
    <x v="3"/>
    <x v="15"/>
    <x v="0"/>
    <x v="0"/>
    <x v="20"/>
    <n v="5"/>
    <n v="1"/>
    <n v="2"/>
    <x v="4"/>
    <n v="8"/>
    <x v="0"/>
    <s v="Promoter"/>
    <m/>
  </r>
  <r>
    <x v="299"/>
    <x v="2"/>
    <x v="1"/>
    <x v="25"/>
    <x v="2"/>
    <x v="2"/>
    <x v="2"/>
    <x v="1"/>
    <x v="3"/>
    <x v="2"/>
    <s v=""/>
    <s v=""/>
    <s v=""/>
    <x v="2"/>
    <m/>
    <x v="0"/>
    <s v="Detractor"/>
    <m/>
  </r>
  <r>
    <x v="300"/>
    <x v="1"/>
    <x v="1"/>
    <x v="18"/>
    <x v="2"/>
    <x v="2"/>
    <x v="2"/>
    <x v="1"/>
    <x v="5"/>
    <x v="2"/>
    <s v=""/>
    <s v=""/>
    <s v=""/>
    <x v="2"/>
    <m/>
    <x v="0"/>
    <s v="Detractor"/>
    <m/>
  </r>
  <r>
    <x v="301"/>
    <x v="0"/>
    <x v="0"/>
    <x v="31"/>
    <x v="33"/>
    <x v="34"/>
    <x v="30"/>
    <x v="0"/>
    <x v="0"/>
    <x v="26"/>
    <n v="1"/>
    <n v="1"/>
    <n v="6"/>
    <x v="1"/>
    <n v="8"/>
    <x v="0"/>
    <s v="Passive"/>
    <m/>
  </r>
  <r>
    <x v="302"/>
    <x v="0"/>
    <x v="0"/>
    <x v="26"/>
    <x v="34"/>
    <x v="38"/>
    <x v="39"/>
    <x v="0"/>
    <x v="0"/>
    <x v="21"/>
    <n v="4"/>
    <n v="5"/>
    <n v="5"/>
    <x v="7"/>
    <n v="14"/>
    <x v="0"/>
    <s v="Detractor"/>
    <m/>
  </r>
  <r>
    <x v="303"/>
    <x v="1"/>
    <x v="0"/>
    <x v="4"/>
    <x v="22"/>
    <x v="28"/>
    <x v="32"/>
    <x v="0"/>
    <x v="0"/>
    <x v="8"/>
    <n v="5"/>
    <n v="5"/>
    <n v="3"/>
    <x v="5"/>
    <n v="13"/>
    <x v="0"/>
    <s v="Detractor"/>
    <m/>
  </r>
  <r>
    <x v="304"/>
    <x v="3"/>
    <x v="0"/>
    <x v="15"/>
    <x v="25"/>
    <x v="8"/>
    <x v="26"/>
    <x v="0"/>
    <x v="0"/>
    <x v="19"/>
    <n v="2"/>
    <n v="2"/>
    <n v="5"/>
    <x v="10"/>
    <n v="9"/>
    <x v="0"/>
    <s v="Detractor"/>
    <m/>
  </r>
  <r>
    <x v="305"/>
    <x v="1"/>
    <x v="0"/>
    <x v="1"/>
    <x v="1"/>
    <x v="1"/>
    <x v="31"/>
    <x v="0"/>
    <x v="0"/>
    <x v="19"/>
    <n v="3"/>
    <n v="5"/>
    <n v="3"/>
    <x v="10"/>
    <n v="11"/>
    <x v="0"/>
    <s v="Detractor"/>
    <m/>
  </r>
  <r>
    <x v="306"/>
    <x v="3"/>
    <x v="0"/>
    <x v="18"/>
    <x v="0"/>
    <x v="15"/>
    <x v="34"/>
    <x v="0"/>
    <x v="0"/>
    <x v="6"/>
    <n v="5"/>
    <n v="5"/>
    <n v="5"/>
    <x v="1"/>
    <n v="15"/>
    <x v="0"/>
    <s v="Passive"/>
    <m/>
  </r>
  <r>
    <x v="307"/>
    <x v="1"/>
    <x v="0"/>
    <x v="17"/>
    <x v="19"/>
    <x v="17"/>
    <x v="19"/>
    <x v="0"/>
    <x v="0"/>
    <x v="11"/>
    <n v="4"/>
    <n v="2"/>
    <n v="4"/>
    <x v="3"/>
    <n v="10"/>
    <x v="0"/>
    <s v="Promoter"/>
    <m/>
  </r>
  <r>
    <x v="308"/>
    <x v="2"/>
    <x v="0"/>
    <x v="2"/>
    <x v="13"/>
    <x v="5"/>
    <x v="28"/>
    <x v="0"/>
    <x v="0"/>
    <x v="32"/>
    <n v="5"/>
    <n v="2"/>
    <n v="4"/>
    <x v="5"/>
    <n v="11"/>
    <x v="0"/>
    <s v="Detractor"/>
    <m/>
  </r>
  <r>
    <x v="309"/>
    <x v="3"/>
    <x v="0"/>
    <x v="25"/>
    <x v="6"/>
    <x v="5"/>
    <x v="28"/>
    <x v="0"/>
    <x v="0"/>
    <x v="18"/>
    <n v="2"/>
    <n v="3"/>
    <n v="4"/>
    <x v="7"/>
    <n v="9"/>
    <x v="0"/>
    <s v="Detractor"/>
    <m/>
  </r>
  <r>
    <x v="310"/>
    <x v="2"/>
    <x v="2"/>
    <x v="24"/>
    <x v="27"/>
    <x v="23"/>
    <x v="27"/>
    <x v="0"/>
    <x v="0"/>
    <x v="20"/>
    <n v="1"/>
    <n v="5"/>
    <n v="4"/>
    <x v="9"/>
    <n v="10"/>
    <x v="0"/>
    <s v="Detractor"/>
    <m/>
  </r>
  <r>
    <x v="311"/>
    <x v="0"/>
    <x v="2"/>
    <x v="8"/>
    <x v="8"/>
    <x v="33"/>
    <x v="33"/>
    <x v="0"/>
    <x v="0"/>
    <x v="27"/>
    <n v="4"/>
    <n v="4"/>
    <n v="6"/>
    <x v="5"/>
    <n v="14"/>
    <x v="0"/>
    <s v="Detractor"/>
    <m/>
  </r>
  <r>
    <x v="312"/>
    <x v="1"/>
    <x v="0"/>
    <x v="27"/>
    <x v="18"/>
    <x v="28"/>
    <x v="9"/>
    <x v="0"/>
    <x v="0"/>
    <x v="30"/>
    <n v="1"/>
    <n v="1"/>
    <n v="6"/>
    <x v="5"/>
    <n v="8"/>
    <x v="0"/>
    <s v="Detractor"/>
    <m/>
  </r>
  <r>
    <x v="313"/>
    <x v="0"/>
    <x v="0"/>
    <x v="5"/>
    <x v="11"/>
    <x v="12"/>
    <x v="34"/>
    <x v="0"/>
    <x v="0"/>
    <x v="8"/>
    <n v="3"/>
    <n v="2"/>
    <n v="3"/>
    <x v="5"/>
    <n v="8"/>
    <x v="0"/>
    <s v="Detractor"/>
    <m/>
  </r>
  <r>
    <x v="314"/>
    <x v="0"/>
    <x v="0"/>
    <x v="3"/>
    <x v="23"/>
    <x v="22"/>
    <x v="23"/>
    <x v="0"/>
    <x v="0"/>
    <x v="31"/>
    <n v="1"/>
    <n v="5"/>
    <n v="6"/>
    <x v="8"/>
    <n v="12"/>
    <x v="0"/>
    <s v="Detractor"/>
    <m/>
  </r>
  <r>
    <x v="315"/>
    <x v="0"/>
    <x v="0"/>
    <x v="23"/>
    <x v="9"/>
    <x v="8"/>
    <x v="26"/>
    <x v="0"/>
    <x v="0"/>
    <x v="30"/>
    <n v="5"/>
    <n v="4"/>
    <n v="5"/>
    <x v="7"/>
    <n v="14"/>
    <x v="0"/>
    <s v="Detractor"/>
    <m/>
  </r>
  <r>
    <x v="316"/>
    <x v="0"/>
    <x v="0"/>
    <x v="23"/>
    <x v="16"/>
    <x v="24"/>
    <x v="1"/>
    <x v="0"/>
    <x v="0"/>
    <x v="18"/>
    <n v="2"/>
    <n v="1"/>
    <n v="4"/>
    <x v="3"/>
    <n v="7"/>
    <x v="0"/>
    <s v="Promoter"/>
    <m/>
  </r>
  <r>
    <x v="317"/>
    <x v="1"/>
    <x v="0"/>
    <x v="8"/>
    <x v="10"/>
    <x v="9"/>
    <x v="10"/>
    <x v="1"/>
    <x v="4"/>
    <x v="2"/>
    <n v="1"/>
    <n v="5"/>
    <n v="7"/>
    <x v="2"/>
    <n v="13"/>
    <x v="0"/>
    <s v="Detractor"/>
    <m/>
  </r>
  <r>
    <x v="318"/>
    <x v="0"/>
    <x v="0"/>
    <x v="2"/>
    <x v="33"/>
    <x v="36"/>
    <x v="35"/>
    <x v="0"/>
    <x v="0"/>
    <x v="22"/>
    <n v="2"/>
    <n v="4"/>
    <n v="2"/>
    <x v="5"/>
    <n v="8"/>
    <x v="0"/>
    <s v="Detractor"/>
    <m/>
  </r>
  <r>
    <x v="319"/>
    <x v="1"/>
    <x v="0"/>
    <x v="22"/>
    <x v="23"/>
    <x v="15"/>
    <x v="17"/>
    <x v="1"/>
    <x v="3"/>
    <x v="2"/>
    <n v="4"/>
    <n v="1"/>
    <n v="2"/>
    <x v="2"/>
    <n v="7"/>
    <x v="0"/>
    <s v="Detractor"/>
    <m/>
  </r>
  <r>
    <x v="320"/>
    <x v="1"/>
    <x v="0"/>
    <x v="27"/>
    <x v="25"/>
    <x v="15"/>
    <x v="17"/>
    <x v="0"/>
    <x v="0"/>
    <x v="21"/>
    <n v="4"/>
    <n v="4"/>
    <n v="2"/>
    <x v="8"/>
    <n v="10"/>
    <x v="0"/>
    <s v="Detractor"/>
    <m/>
  </r>
  <r>
    <x v="321"/>
    <x v="2"/>
    <x v="1"/>
    <x v="5"/>
    <x v="2"/>
    <x v="2"/>
    <x v="2"/>
    <x v="1"/>
    <x v="2"/>
    <x v="2"/>
    <s v=""/>
    <s v=""/>
    <s v=""/>
    <x v="2"/>
    <m/>
    <x v="0"/>
    <s v="Detractor"/>
    <m/>
  </r>
  <r>
    <x v="322"/>
    <x v="3"/>
    <x v="0"/>
    <x v="17"/>
    <x v="1"/>
    <x v="20"/>
    <x v="15"/>
    <x v="1"/>
    <x v="4"/>
    <x v="2"/>
    <n v="5"/>
    <n v="2"/>
    <n v="7"/>
    <x v="2"/>
    <n v="14"/>
    <x v="0"/>
    <s v="Detractor"/>
    <m/>
  </r>
  <r>
    <x v="323"/>
    <x v="3"/>
    <x v="2"/>
    <x v="23"/>
    <x v="9"/>
    <x v="0"/>
    <x v="0"/>
    <x v="0"/>
    <x v="0"/>
    <x v="21"/>
    <n v="5"/>
    <n v="5"/>
    <n v="5"/>
    <x v="0"/>
    <n v="15"/>
    <x v="0"/>
    <s v="Detractor"/>
    <m/>
  </r>
  <r>
    <x v="324"/>
    <x v="1"/>
    <x v="2"/>
    <x v="31"/>
    <x v="15"/>
    <x v="30"/>
    <x v="38"/>
    <x v="1"/>
    <x v="1"/>
    <x v="2"/>
    <n v="5"/>
    <n v="4"/>
    <n v="2"/>
    <x v="2"/>
    <n v="11"/>
    <x v="0"/>
    <s v="Detractor"/>
    <m/>
  </r>
  <r>
    <x v="325"/>
    <x v="2"/>
    <x v="2"/>
    <x v="22"/>
    <x v="12"/>
    <x v="31"/>
    <x v="26"/>
    <x v="0"/>
    <x v="0"/>
    <x v="6"/>
    <n v="2"/>
    <n v="4"/>
    <n v="2"/>
    <x v="4"/>
    <n v="8"/>
    <x v="0"/>
    <s v="Promoter"/>
    <m/>
  </r>
  <r>
    <x v="326"/>
    <x v="1"/>
    <x v="0"/>
    <x v="22"/>
    <x v="28"/>
    <x v="10"/>
    <x v="18"/>
    <x v="0"/>
    <x v="0"/>
    <x v="13"/>
    <n v="3"/>
    <n v="5"/>
    <n v="3"/>
    <x v="5"/>
    <n v="11"/>
    <x v="0"/>
    <s v="Detractor"/>
    <m/>
  </r>
  <r>
    <x v="327"/>
    <x v="1"/>
    <x v="0"/>
    <x v="14"/>
    <x v="27"/>
    <x v="13"/>
    <x v="6"/>
    <x v="0"/>
    <x v="0"/>
    <x v="29"/>
    <n v="3"/>
    <n v="1"/>
    <n v="5"/>
    <x v="11"/>
    <n v="9"/>
    <x v="0"/>
    <s v="Passive"/>
    <m/>
  </r>
  <r>
    <x v="328"/>
    <x v="1"/>
    <x v="0"/>
    <x v="6"/>
    <x v="22"/>
    <x v="28"/>
    <x v="21"/>
    <x v="0"/>
    <x v="0"/>
    <x v="11"/>
    <n v="3"/>
    <n v="5"/>
    <n v="5"/>
    <x v="9"/>
    <n v="13"/>
    <x v="0"/>
    <s v="Detractor"/>
    <m/>
  </r>
  <r>
    <x v="329"/>
    <x v="2"/>
    <x v="0"/>
    <x v="16"/>
    <x v="16"/>
    <x v="27"/>
    <x v="32"/>
    <x v="0"/>
    <x v="0"/>
    <x v="24"/>
    <n v="4"/>
    <n v="4"/>
    <n v="2"/>
    <x v="0"/>
    <n v="10"/>
    <x v="0"/>
    <s v="Detractor"/>
    <m/>
  </r>
  <r>
    <x v="330"/>
    <x v="3"/>
    <x v="2"/>
    <x v="0"/>
    <x v="0"/>
    <x v="8"/>
    <x v="26"/>
    <x v="0"/>
    <x v="0"/>
    <x v="14"/>
    <n v="4"/>
    <n v="3"/>
    <n v="5"/>
    <x v="10"/>
    <n v="12"/>
    <x v="0"/>
    <s v="Detractor"/>
    <m/>
  </r>
  <r>
    <x v="331"/>
    <x v="2"/>
    <x v="0"/>
    <x v="11"/>
    <x v="3"/>
    <x v="1"/>
    <x v="31"/>
    <x v="0"/>
    <x v="0"/>
    <x v="18"/>
    <n v="3"/>
    <n v="1"/>
    <n v="3"/>
    <x v="6"/>
    <n v="7"/>
    <x v="0"/>
    <s v="Detractor"/>
    <m/>
  </r>
  <r>
    <x v="332"/>
    <x v="0"/>
    <x v="2"/>
    <x v="20"/>
    <x v="8"/>
    <x v="33"/>
    <x v="20"/>
    <x v="0"/>
    <x v="0"/>
    <x v="27"/>
    <n v="5"/>
    <n v="4"/>
    <n v="7"/>
    <x v="0"/>
    <n v="16"/>
    <x v="0"/>
    <s v="Detractor"/>
    <m/>
  </r>
  <r>
    <x v="333"/>
    <x v="2"/>
    <x v="0"/>
    <x v="17"/>
    <x v="21"/>
    <x v="21"/>
    <x v="14"/>
    <x v="0"/>
    <x v="0"/>
    <x v="33"/>
    <n v="1"/>
    <n v="3"/>
    <n v="3"/>
    <x v="0"/>
    <n v="7"/>
    <x v="0"/>
    <s v="Detractor"/>
    <m/>
  </r>
  <r>
    <x v="334"/>
    <x v="2"/>
    <x v="2"/>
    <x v="14"/>
    <x v="27"/>
    <x v="13"/>
    <x v="16"/>
    <x v="0"/>
    <x v="0"/>
    <x v="38"/>
    <n v="3"/>
    <n v="1"/>
    <n v="7"/>
    <x v="10"/>
    <n v="11"/>
    <x v="0"/>
    <s v="Detractor"/>
    <m/>
  </r>
  <r>
    <x v="335"/>
    <x v="2"/>
    <x v="1"/>
    <x v="23"/>
    <x v="2"/>
    <x v="2"/>
    <x v="2"/>
    <x v="1"/>
    <x v="5"/>
    <x v="2"/>
    <s v=""/>
    <s v=""/>
    <s v=""/>
    <x v="2"/>
    <m/>
    <x v="0"/>
    <s v="Detractor"/>
    <m/>
  </r>
  <r>
    <x v="336"/>
    <x v="2"/>
    <x v="2"/>
    <x v="4"/>
    <x v="14"/>
    <x v="25"/>
    <x v="12"/>
    <x v="0"/>
    <x v="0"/>
    <x v="33"/>
    <n v="1"/>
    <n v="2"/>
    <n v="4"/>
    <x v="11"/>
    <n v="7"/>
    <x v="0"/>
    <s v="Passive"/>
    <m/>
  </r>
  <r>
    <x v="337"/>
    <x v="3"/>
    <x v="1"/>
    <x v="0"/>
    <x v="2"/>
    <x v="2"/>
    <x v="2"/>
    <x v="1"/>
    <x v="4"/>
    <x v="2"/>
    <s v=""/>
    <s v=""/>
    <s v=""/>
    <x v="2"/>
    <m/>
    <x v="0"/>
    <s v="Detractor"/>
    <m/>
  </r>
  <r>
    <x v="338"/>
    <x v="0"/>
    <x v="0"/>
    <x v="5"/>
    <x v="11"/>
    <x v="4"/>
    <x v="4"/>
    <x v="0"/>
    <x v="0"/>
    <x v="6"/>
    <n v="3"/>
    <n v="5"/>
    <n v="3"/>
    <x v="9"/>
    <n v="11"/>
    <x v="0"/>
    <s v="Detractor"/>
    <m/>
  </r>
  <r>
    <x v="339"/>
    <x v="3"/>
    <x v="1"/>
    <x v="6"/>
    <x v="2"/>
    <x v="2"/>
    <x v="2"/>
    <x v="1"/>
    <x v="4"/>
    <x v="2"/>
    <s v=""/>
    <s v=""/>
    <s v=""/>
    <x v="2"/>
    <m/>
    <x v="0"/>
    <s v="Detractor"/>
    <m/>
  </r>
  <r>
    <x v="340"/>
    <x v="3"/>
    <x v="0"/>
    <x v="25"/>
    <x v="26"/>
    <x v="32"/>
    <x v="35"/>
    <x v="0"/>
    <x v="0"/>
    <x v="35"/>
    <n v="1"/>
    <n v="1"/>
    <n v="4"/>
    <x v="4"/>
    <n v="6"/>
    <x v="0"/>
    <s v="Promoter"/>
    <m/>
  </r>
  <r>
    <x v="341"/>
    <x v="2"/>
    <x v="0"/>
    <x v="6"/>
    <x v="16"/>
    <x v="24"/>
    <x v="3"/>
    <x v="0"/>
    <x v="0"/>
    <x v="42"/>
    <n v="5"/>
    <n v="1"/>
    <n v="2"/>
    <x v="10"/>
    <n v="8"/>
    <x v="0"/>
    <s v="Detractor"/>
    <m/>
  </r>
  <r>
    <x v="342"/>
    <x v="1"/>
    <x v="0"/>
    <x v="9"/>
    <x v="24"/>
    <x v="6"/>
    <x v="32"/>
    <x v="0"/>
    <x v="0"/>
    <x v="3"/>
    <n v="4"/>
    <n v="4"/>
    <n v="7"/>
    <x v="8"/>
    <n v="15"/>
    <x v="0"/>
    <s v="Detractor"/>
    <m/>
  </r>
  <r>
    <x v="343"/>
    <x v="1"/>
    <x v="0"/>
    <x v="4"/>
    <x v="7"/>
    <x v="6"/>
    <x v="3"/>
    <x v="0"/>
    <x v="0"/>
    <x v="8"/>
    <n v="3"/>
    <n v="3"/>
    <n v="4"/>
    <x v="1"/>
    <n v="10"/>
    <x v="0"/>
    <s v="Passive"/>
    <m/>
  </r>
  <r>
    <x v="344"/>
    <x v="3"/>
    <x v="0"/>
    <x v="1"/>
    <x v="1"/>
    <x v="17"/>
    <x v="19"/>
    <x v="0"/>
    <x v="0"/>
    <x v="15"/>
    <n v="3"/>
    <n v="1"/>
    <n v="4"/>
    <x v="9"/>
    <n v="8"/>
    <x v="0"/>
    <s v="Detractor"/>
    <m/>
  </r>
  <r>
    <x v="345"/>
    <x v="3"/>
    <x v="0"/>
    <x v="1"/>
    <x v="24"/>
    <x v="3"/>
    <x v="15"/>
    <x v="0"/>
    <x v="0"/>
    <x v="31"/>
    <n v="5"/>
    <n v="5"/>
    <n v="2"/>
    <x v="5"/>
    <n v="12"/>
    <x v="0"/>
    <s v="Detractor"/>
    <m/>
  </r>
  <r>
    <x v="346"/>
    <x v="2"/>
    <x v="0"/>
    <x v="27"/>
    <x v="9"/>
    <x v="27"/>
    <x v="21"/>
    <x v="0"/>
    <x v="0"/>
    <x v="42"/>
    <n v="2"/>
    <n v="1"/>
    <n v="4"/>
    <x v="8"/>
    <n v="7"/>
    <x v="0"/>
    <s v="Detractor"/>
    <m/>
  </r>
  <r>
    <x v="347"/>
    <x v="3"/>
    <x v="2"/>
    <x v="7"/>
    <x v="15"/>
    <x v="5"/>
    <x v="6"/>
    <x v="0"/>
    <x v="0"/>
    <x v="22"/>
    <n v="3"/>
    <n v="1"/>
    <n v="7"/>
    <x v="1"/>
    <n v="11"/>
    <x v="0"/>
    <s v="Passive"/>
    <m/>
  </r>
  <r>
    <x v="348"/>
    <x v="2"/>
    <x v="0"/>
    <x v="3"/>
    <x v="23"/>
    <x v="10"/>
    <x v="23"/>
    <x v="0"/>
    <x v="0"/>
    <x v="31"/>
    <n v="1"/>
    <n v="4"/>
    <n v="7"/>
    <x v="8"/>
    <n v="12"/>
    <x v="0"/>
    <s v="Detractor"/>
    <m/>
  </r>
  <r>
    <x v="349"/>
    <x v="1"/>
    <x v="0"/>
    <x v="14"/>
    <x v="17"/>
    <x v="14"/>
    <x v="6"/>
    <x v="0"/>
    <x v="0"/>
    <x v="37"/>
    <n v="5"/>
    <n v="1"/>
    <n v="3"/>
    <x v="5"/>
    <n v="9"/>
    <x v="0"/>
    <s v="Detractor"/>
    <m/>
  </r>
  <r>
    <x v="350"/>
    <x v="1"/>
    <x v="0"/>
    <x v="1"/>
    <x v="19"/>
    <x v="20"/>
    <x v="27"/>
    <x v="1"/>
    <x v="1"/>
    <x v="2"/>
    <n v="2"/>
    <n v="3"/>
    <n v="2"/>
    <x v="2"/>
    <n v="7"/>
    <x v="0"/>
    <s v="Detractor"/>
    <m/>
  </r>
  <r>
    <x v="351"/>
    <x v="0"/>
    <x v="0"/>
    <x v="4"/>
    <x v="7"/>
    <x v="3"/>
    <x v="1"/>
    <x v="1"/>
    <x v="3"/>
    <x v="2"/>
    <n v="3"/>
    <n v="4"/>
    <n v="5"/>
    <x v="2"/>
    <n v="12"/>
    <x v="0"/>
    <s v="Detractor"/>
    <m/>
  </r>
  <r>
    <x v="352"/>
    <x v="1"/>
    <x v="0"/>
    <x v="12"/>
    <x v="25"/>
    <x v="8"/>
    <x v="34"/>
    <x v="0"/>
    <x v="0"/>
    <x v="23"/>
    <n v="3"/>
    <n v="2"/>
    <n v="7"/>
    <x v="7"/>
    <n v="12"/>
    <x v="0"/>
    <s v="Detractor"/>
    <m/>
  </r>
  <r>
    <x v="353"/>
    <x v="3"/>
    <x v="1"/>
    <x v="6"/>
    <x v="2"/>
    <x v="2"/>
    <x v="2"/>
    <x v="1"/>
    <x v="2"/>
    <x v="2"/>
    <s v=""/>
    <s v=""/>
    <s v=""/>
    <x v="2"/>
    <m/>
    <x v="0"/>
    <s v="Detractor"/>
    <m/>
  </r>
  <r>
    <x v="354"/>
    <x v="1"/>
    <x v="2"/>
    <x v="30"/>
    <x v="1"/>
    <x v="20"/>
    <x v="22"/>
    <x v="0"/>
    <x v="0"/>
    <x v="42"/>
    <n v="4"/>
    <n v="2"/>
    <n v="4"/>
    <x v="0"/>
    <n v="10"/>
    <x v="0"/>
    <s v="Detractor"/>
    <m/>
  </r>
  <r>
    <x v="355"/>
    <x v="2"/>
    <x v="0"/>
    <x v="27"/>
    <x v="9"/>
    <x v="8"/>
    <x v="34"/>
    <x v="0"/>
    <x v="0"/>
    <x v="23"/>
    <n v="2"/>
    <n v="4"/>
    <n v="7"/>
    <x v="9"/>
    <n v="13"/>
    <x v="0"/>
    <s v="Detractor"/>
    <m/>
  </r>
  <r>
    <x v="356"/>
    <x v="1"/>
    <x v="0"/>
    <x v="8"/>
    <x v="32"/>
    <x v="33"/>
    <x v="20"/>
    <x v="0"/>
    <x v="0"/>
    <x v="48"/>
    <n v="5"/>
    <n v="3"/>
    <n v="7"/>
    <x v="4"/>
    <n v="15"/>
    <x v="0"/>
    <s v="Promoter"/>
    <m/>
  </r>
  <r>
    <x v="357"/>
    <x v="0"/>
    <x v="0"/>
    <x v="28"/>
    <x v="1"/>
    <x v="11"/>
    <x v="12"/>
    <x v="0"/>
    <x v="0"/>
    <x v="5"/>
    <n v="1"/>
    <n v="4"/>
    <n v="3"/>
    <x v="9"/>
    <n v="8"/>
    <x v="0"/>
    <s v="Detractor"/>
    <m/>
  </r>
  <r>
    <x v="358"/>
    <x v="1"/>
    <x v="1"/>
    <x v="5"/>
    <x v="2"/>
    <x v="2"/>
    <x v="2"/>
    <x v="1"/>
    <x v="1"/>
    <x v="2"/>
    <s v=""/>
    <s v=""/>
    <s v=""/>
    <x v="2"/>
    <m/>
    <x v="0"/>
    <s v="Detractor"/>
    <m/>
  </r>
  <r>
    <x v="359"/>
    <x v="2"/>
    <x v="2"/>
    <x v="22"/>
    <x v="28"/>
    <x v="12"/>
    <x v="13"/>
    <x v="0"/>
    <x v="0"/>
    <x v="30"/>
    <n v="3"/>
    <n v="4"/>
    <n v="5"/>
    <x v="7"/>
    <n v="12"/>
    <x v="0"/>
    <s v="Detractor"/>
    <m/>
  </r>
  <r>
    <x v="360"/>
    <x v="2"/>
    <x v="0"/>
    <x v="21"/>
    <x v="18"/>
    <x v="18"/>
    <x v="0"/>
    <x v="0"/>
    <x v="0"/>
    <x v="21"/>
    <n v="5"/>
    <n v="4"/>
    <n v="7"/>
    <x v="1"/>
    <n v="16"/>
    <x v="0"/>
    <s v="Passive"/>
    <m/>
  </r>
  <r>
    <x v="361"/>
    <x v="3"/>
    <x v="0"/>
    <x v="31"/>
    <x v="13"/>
    <x v="13"/>
    <x v="28"/>
    <x v="0"/>
    <x v="0"/>
    <x v="4"/>
    <n v="4"/>
    <n v="4"/>
    <n v="2"/>
    <x v="6"/>
    <n v="10"/>
    <x v="0"/>
    <s v="Detractor"/>
    <m/>
  </r>
  <r>
    <x v="362"/>
    <x v="1"/>
    <x v="0"/>
    <x v="11"/>
    <x v="3"/>
    <x v="1"/>
    <x v="1"/>
    <x v="0"/>
    <x v="0"/>
    <x v="4"/>
    <n v="3"/>
    <n v="1"/>
    <n v="7"/>
    <x v="10"/>
    <n v="11"/>
    <x v="0"/>
    <s v="Detractor"/>
    <m/>
  </r>
  <r>
    <x v="363"/>
    <x v="2"/>
    <x v="0"/>
    <x v="25"/>
    <x v="6"/>
    <x v="13"/>
    <x v="28"/>
    <x v="0"/>
    <x v="0"/>
    <x v="5"/>
    <n v="2"/>
    <n v="5"/>
    <n v="2"/>
    <x v="8"/>
    <n v="9"/>
    <x v="0"/>
    <s v="Detractor"/>
    <m/>
  </r>
  <r>
    <x v="364"/>
    <x v="0"/>
    <x v="0"/>
    <x v="1"/>
    <x v="24"/>
    <x v="11"/>
    <x v="22"/>
    <x v="0"/>
    <x v="0"/>
    <x v="14"/>
    <n v="5"/>
    <n v="2"/>
    <n v="2"/>
    <x v="7"/>
    <n v="9"/>
    <x v="0"/>
    <s v="Detractor"/>
    <m/>
  </r>
  <r>
    <x v="365"/>
    <x v="3"/>
    <x v="0"/>
    <x v="17"/>
    <x v="21"/>
    <x v="21"/>
    <x v="14"/>
    <x v="0"/>
    <x v="0"/>
    <x v="11"/>
    <n v="1"/>
    <n v="3"/>
    <n v="3"/>
    <x v="4"/>
    <n v="7"/>
    <x v="0"/>
    <s v="Promoter"/>
    <m/>
  </r>
  <r>
    <x v="366"/>
    <x v="0"/>
    <x v="0"/>
    <x v="1"/>
    <x v="14"/>
    <x v="20"/>
    <x v="12"/>
    <x v="0"/>
    <x v="0"/>
    <x v="19"/>
    <n v="4"/>
    <n v="1"/>
    <n v="5"/>
    <x v="9"/>
    <n v="10"/>
    <x v="0"/>
    <s v="Detractor"/>
    <m/>
  </r>
  <r>
    <x v="367"/>
    <x v="1"/>
    <x v="2"/>
    <x v="7"/>
    <x v="27"/>
    <x v="30"/>
    <x v="38"/>
    <x v="1"/>
    <x v="2"/>
    <x v="2"/>
    <n v="5"/>
    <n v="2"/>
    <n v="2"/>
    <x v="2"/>
    <n v="9"/>
    <x v="0"/>
    <s v="Detractor"/>
    <m/>
  </r>
  <r>
    <x v="368"/>
    <x v="1"/>
    <x v="0"/>
    <x v="22"/>
    <x v="28"/>
    <x v="10"/>
    <x v="18"/>
    <x v="0"/>
    <x v="0"/>
    <x v="10"/>
    <n v="3"/>
    <n v="5"/>
    <n v="3"/>
    <x v="4"/>
    <n v="11"/>
    <x v="0"/>
    <s v="Promoter"/>
    <m/>
  </r>
  <r>
    <x v="369"/>
    <x v="1"/>
    <x v="2"/>
    <x v="28"/>
    <x v="1"/>
    <x v="11"/>
    <x v="3"/>
    <x v="0"/>
    <x v="0"/>
    <x v="42"/>
    <n v="1"/>
    <n v="4"/>
    <n v="6"/>
    <x v="8"/>
    <n v="11"/>
    <x v="0"/>
    <s v="Detractor"/>
    <m/>
  </r>
  <r>
    <x v="370"/>
    <x v="3"/>
    <x v="0"/>
    <x v="3"/>
    <x v="4"/>
    <x v="7"/>
    <x v="11"/>
    <x v="0"/>
    <x v="0"/>
    <x v="1"/>
    <n v="3"/>
    <n v="5"/>
    <n v="3"/>
    <x v="11"/>
    <n v="11"/>
    <x v="0"/>
    <s v="Passive"/>
    <m/>
  </r>
  <r>
    <x v="371"/>
    <x v="2"/>
    <x v="0"/>
    <x v="16"/>
    <x v="5"/>
    <x v="24"/>
    <x v="5"/>
    <x v="0"/>
    <x v="0"/>
    <x v="11"/>
    <n v="3"/>
    <n v="2"/>
    <n v="6"/>
    <x v="10"/>
    <n v="11"/>
    <x v="0"/>
    <s v="Detractor"/>
    <m/>
  </r>
  <r>
    <x v="372"/>
    <x v="3"/>
    <x v="0"/>
    <x v="5"/>
    <x v="23"/>
    <x v="31"/>
    <x v="4"/>
    <x v="0"/>
    <x v="0"/>
    <x v="16"/>
    <n v="2"/>
    <n v="2"/>
    <n v="7"/>
    <x v="7"/>
    <n v="11"/>
    <x v="0"/>
    <s v="Detractor"/>
    <m/>
  </r>
  <r>
    <x v="373"/>
    <x v="0"/>
    <x v="0"/>
    <x v="2"/>
    <x v="33"/>
    <x v="34"/>
    <x v="35"/>
    <x v="0"/>
    <x v="0"/>
    <x v="18"/>
    <n v="2"/>
    <n v="1"/>
    <n v="5"/>
    <x v="0"/>
    <n v="8"/>
    <x v="0"/>
    <s v="Detractor"/>
    <m/>
  </r>
  <r>
    <x v="374"/>
    <x v="3"/>
    <x v="2"/>
    <x v="27"/>
    <x v="0"/>
    <x v="26"/>
    <x v="5"/>
    <x v="0"/>
    <x v="0"/>
    <x v="49"/>
    <n v="3"/>
    <n v="1"/>
    <n v="2"/>
    <x v="3"/>
    <n v="6"/>
    <x v="1"/>
    <s v="Promoter"/>
    <m/>
  </r>
  <r>
    <x v="375"/>
    <x v="0"/>
    <x v="0"/>
    <x v="3"/>
    <x v="10"/>
    <x v="4"/>
    <x v="13"/>
    <x v="1"/>
    <x v="3"/>
    <x v="2"/>
    <n v="4"/>
    <n v="3"/>
    <n v="2"/>
    <x v="2"/>
    <n v="9"/>
    <x v="0"/>
    <s v="Detractor"/>
    <m/>
  </r>
  <r>
    <x v="376"/>
    <x v="3"/>
    <x v="0"/>
    <x v="21"/>
    <x v="5"/>
    <x v="28"/>
    <x v="24"/>
    <x v="0"/>
    <x v="0"/>
    <x v="19"/>
    <n v="2"/>
    <n v="4"/>
    <n v="7"/>
    <x v="9"/>
    <n v="13"/>
    <x v="0"/>
    <s v="Detractor"/>
    <m/>
  </r>
  <r>
    <x v="377"/>
    <x v="2"/>
    <x v="0"/>
    <x v="11"/>
    <x v="7"/>
    <x v="24"/>
    <x v="1"/>
    <x v="0"/>
    <x v="0"/>
    <x v="32"/>
    <n v="2"/>
    <n v="5"/>
    <n v="4"/>
    <x v="3"/>
    <n v="11"/>
    <x v="0"/>
    <s v="Promoter"/>
    <m/>
  </r>
  <r>
    <x v="378"/>
    <x v="0"/>
    <x v="1"/>
    <x v="4"/>
    <x v="2"/>
    <x v="2"/>
    <x v="2"/>
    <x v="1"/>
    <x v="4"/>
    <x v="2"/>
    <s v=""/>
    <s v=""/>
    <s v=""/>
    <x v="2"/>
    <m/>
    <x v="0"/>
    <s v="Detractor"/>
    <m/>
  </r>
  <r>
    <x v="379"/>
    <x v="1"/>
    <x v="2"/>
    <x v="31"/>
    <x v="26"/>
    <x v="5"/>
    <x v="30"/>
    <x v="0"/>
    <x v="0"/>
    <x v="26"/>
    <n v="2"/>
    <n v="4"/>
    <n v="2"/>
    <x v="4"/>
    <n v="8"/>
    <x v="0"/>
    <s v="Promoter"/>
    <m/>
  </r>
  <r>
    <x v="380"/>
    <x v="1"/>
    <x v="0"/>
    <x v="29"/>
    <x v="27"/>
    <x v="23"/>
    <x v="19"/>
    <x v="0"/>
    <x v="0"/>
    <x v="33"/>
    <n v="2"/>
    <n v="5"/>
    <n v="5"/>
    <x v="10"/>
    <n v="12"/>
    <x v="0"/>
    <s v="Detractor"/>
    <m/>
  </r>
  <r>
    <x v="381"/>
    <x v="3"/>
    <x v="0"/>
    <x v="16"/>
    <x v="3"/>
    <x v="24"/>
    <x v="21"/>
    <x v="0"/>
    <x v="0"/>
    <x v="14"/>
    <n v="1"/>
    <n v="4"/>
    <n v="7"/>
    <x v="1"/>
    <n v="12"/>
    <x v="0"/>
    <s v="Passive"/>
    <m/>
  </r>
  <r>
    <x v="382"/>
    <x v="1"/>
    <x v="0"/>
    <x v="9"/>
    <x v="14"/>
    <x v="25"/>
    <x v="22"/>
    <x v="0"/>
    <x v="0"/>
    <x v="42"/>
    <n v="3"/>
    <n v="2"/>
    <n v="3"/>
    <x v="8"/>
    <n v="8"/>
    <x v="0"/>
    <s v="Detractor"/>
    <m/>
  </r>
  <r>
    <x v="383"/>
    <x v="0"/>
    <x v="2"/>
    <x v="18"/>
    <x v="16"/>
    <x v="16"/>
    <x v="5"/>
    <x v="0"/>
    <x v="0"/>
    <x v="10"/>
    <n v="1"/>
    <n v="2"/>
    <n v="5"/>
    <x v="3"/>
    <n v="8"/>
    <x v="0"/>
    <s v="Promoter"/>
    <m/>
  </r>
  <r>
    <x v="384"/>
    <x v="1"/>
    <x v="2"/>
    <x v="22"/>
    <x v="11"/>
    <x v="22"/>
    <x v="18"/>
    <x v="1"/>
    <x v="2"/>
    <x v="2"/>
    <n v="5"/>
    <n v="4"/>
    <n v="2"/>
    <x v="2"/>
    <n v="11"/>
    <x v="0"/>
    <s v="Detractor"/>
    <m/>
  </r>
  <r>
    <x v="385"/>
    <x v="2"/>
    <x v="1"/>
    <x v="6"/>
    <x v="2"/>
    <x v="2"/>
    <x v="2"/>
    <x v="1"/>
    <x v="5"/>
    <x v="2"/>
    <s v=""/>
    <s v=""/>
    <s v=""/>
    <x v="2"/>
    <m/>
    <x v="0"/>
    <s v="Detractor"/>
    <m/>
  </r>
  <r>
    <x v="386"/>
    <x v="2"/>
    <x v="0"/>
    <x v="0"/>
    <x v="25"/>
    <x v="0"/>
    <x v="17"/>
    <x v="0"/>
    <x v="0"/>
    <x v="30"/>
    <n v="5"/>
    <n v="3"/>
    <n v="3"/>
    <x v="7"/>
    <n v="11"/>
    <x v="0"/>
    <s v="Detractor"/>
    <m/>
  </r>
  <r>
    <x v="387"/>
    <x v="3"/>
    <x v="0"/>
    <x v="11"/>
    <x v="5"/>
    <x v="24"/>
    <x v="32"/>
    <x v="1"/>
    <x v="5"/>
    <x v="2"/>
    <n v="5"/>
    <n v="2"/>
    <n v="5"/>
    <x v="2"/>
    <n v="12"/>
    <x v="0"/>
    <s v="Detractor"/>
    <m/>
  </r>
  <r>
    <x v="388"/>
    <x v="0"/>
    <x v="0"/>
    <x v="22"/>
    <x v="25"/>
    <x v="0"/>
    <x v="24"/>
    <x v="0"/>
    <x v="0"/>
    <x v="10"/>
    <n v="1"/>
    <n v="3"/>
    <n v="2"/>
    <x v="9"/>
    <n v="6"/>
    <x v="0"/>
    <s v="Detractor"/>
    <m/>
  </r>
  <r>
    <x v="389"/>
    <x v="2"/>
    <x v="0"/>
    <x v="31"/>
    <x v="6"/>
    <x v="36"/>
    <x v="25"/>
    <x v="0"/>
    <x v="0"/>
    <x v="4"/>
    <n v="3"/>
    <n v="2"/>
    <n v="7"/>
    <x v="5"/>
    <n v="12"/>
    <x v="0"/>
    <s v="Detractor"/>
    <m/>
  </r>
  <r>
    <x v="390"/>
    <x v="2"/>
    <x v="2"/>
    <x v="29"/>
    <x v="20"/>
    <x v="21"/>
    <x v="6"/>
    <x v="0"/>
    <x v="0"/>
    <x v="25"/>
    <n v="5"/>
    <n v="1"/>
    <n v="2"/>
    <x v="10"/>
    <n v="8"/>
    <x v="0"/>
    <s v="Detractor"/>
    <m/>
  </r>
  <r>
    <x v="391"/>
    <x v="0"/>
    <x v="0"/>
    <x v="17"/>
    <x v="17"/>
    <x v="14"/>
    <x v="25"/>
    <x v="0"/>
    <x v="0"/>
    <x v="32"/>
    <n v="2"/>
    <n v="1"/>
    <n v="2"/>
    <x v="8"/>
    <n v="5"/>
    <x v="0"/>
    <s v="Detractor"/>
    <m/>
  </r>
  <r>
    <x v="392"/>
    <x v="1"/>
    <x v="0"/>
    <x v="21"/>
    <x v="18"/>
    <x v="18"/>
    <x v="24"/>
    <x v="0"/>
    <x v="0"/>
    <x v="0"/>
    <n v="5"/>
    <n v="4"/>
    <n v="4"/>
    <x v="5"/>
    <n v="13"/>
    <x v="0"/>
    <s v="Detractor"/>
    <m/>
  </r>
  <r>
    <x v="393"/>
    <x v="1"/>
    <x v="1"/>
    <x v="13"/>
    <x v="2"/>
    <x v="2"/>
    <x v="2"/>
    <x v="1"/>
    <x v="1"/>
    <x v="2"/>
    <s v=""/>
    <s v=""/>
    <s v=""/>
    <x v="2"/>
    <m/>
    <x v="0"/>
    <s v="Detractor"/>
    <m/>
  </r>
  <r>
    <x v="394"/>
    <x v="3"/>
    <x v="2"/>
    <x v="20"/>
    <x v="35"/>
    <x v="33"/>
    <x v="39"/>
    <x v="0"/>
    <x v="0"/>
    <x v="50"/>
    <n v="4"/>
    <n v="5"/>
    <n v="4"/>
    <x v="0"/>
    <n v="13"/>
    <x v="0"/>
    <s v="Detractor"/>
    <m/>
  </r>
  <r>
    <x v="395"/>
    <x v="1"/>
    <x v="0"/>
    <x v="30"/>
    <x v="20"/>
    <x v="21"/>
    <x v="16"/>
    <x v="0"/>
    <x v="0"/>
    <x v="11"/>
    <n v="2"/>
    <n v="1"/>
    <n v="4"/>
    <x v="1"/>
    <n v="7"/>
    <x v="0"/>
    <s v="Passive"/>
    <m/>
  </r>
  <r>
    <x v="396"/>
    <x v="0"/>
    <x v="0"/>
    <x v="11"/>
    <x v="7"/>
    <x v="1"/>
    <x v="31"/>
    <x v="0"/>
    <x v="0"/>
    <x v="15"/>
    <n v="2"/>
    <n v="2"/>
    <n v="3"/>
    <x v="5"/>
    <n v="7"/>
    <x v="0"/>
    <s v="Detractor"/>
    <m/>
  </r>
  <r>
    <x v="397"/>
    <x v="2"/>
    <x v="0"/>
    <x v="26"/>
    <x v="4"/>
    <x v="10"/>
    <x v="4"/>
    <x v="0"/>
    <x v="0"/>
    <x v="1"/>
    <n v="2"/>
    <n v="2"/>
    <n v="5"/>
    <x v="0"/>
    <n v="9"/>
    <x v="0"/>
    <s v="Detractor"/>
    <m/>
  </r>
  <r>
    <x v="398"/>
    <x v="1"/>
    <x v="0"/>
    <x v="12"/>
    <x v="28"/>
    <x v="0"/>
    <x v="17"/>
    <x v="0"/>
    <x v="0"/>
    <x v="12"/>
    <n v="5"/>
    <n v="1"/>
    <n v="3"/>
    <x v="5"/>
    <n v="9"/>
    <x v="0"/>
    <s v="Detractor"/>
    <m/>
  </r>
  <r>
    <x v="399"/>
    <x v="3"/>
    <x v="0"/>
    <x v="6"/>
    <x v="3"/>
    <x v="1"/>
    <x v="1"/>
    <x v="0"/>
    <x v="0"/>
    <x v="14"/>
    <n v="2"/>
    <n v="1"/>
    <n v="7"/>
    <x v="11"/>
    <n v="10"/>
    <x v="0"/>
    <s v="Passive"/>
    <m/>
  </r>
  <r>
    <x v="400"/>
    <x v="1"/>
    <x v="0"/>
    <x v="7"/>
    <x v="30"/>
    <x v="21"/>
    <x v="22"/>
    <x v="0"/>
    <x v="0"/>
    <x v="39"/>
    <n v="4"/>
    <n v="5"/>
    <n v="7"/>
    <x v="10"/>
    <n v="16"/>
    <x v="0"/>
    <s v="Detractor"/>
    <m/>
  </r>
  <r>
    <x v="401"/>
    <x v="0"/>
    <x v="0"/>
    <x v="2"/>
    <x v="29"/>
    <x v="35"/>
    <x v="41"/>
    <x v="0"/>
    <x v="0"/>
    <x v="22"/>
    <n v="1"/>
    <n v="1"/>
    <n v="3"/>
    <x v="1"/>
    <n v="5"/>
    <x v="0"/>
    <s v="Passive"/>
    <m/>
  </r>
  <r>
    <x v="402"/>
    <x v="3"/>
    <x v="0"/>
    <x v="0"/>
    <x v="0"/>
    <x v="0"/>
    <x v="24"/>
    <x v="0"/>
    <x v="0"/>
    <x v="21"/>
    <n v="4"/>
    <n v="4"/>
    <n v="2"/>
    <x v="11"/>
    <n v="10"/>
    <x v="0"/>
    <s v="Passive"/>
    <m/>
  </r>
  <r>
    <x v="403"/>
    <x v="1"/>
    <x v="1"/>
    <x v="18"/>
    <x v="2"/>
    <x v="2"/>
    <x v="2"/>
    <x v="1"/>
    <x v="3"/>
    <x v="2"/>
    <s v=""/>
    <s v=""/>
    <s v=""/>
    <x v="2"/>
    <m/>
    <x v="0"/>
    <s v="Detractor"/>
    <m/>
  </r>
  <r>
    <x v="404"/>
    <x v="3"/>
    <x v="0"/>
    <x v="19"/>
    <x v="23"/>
    <x v="22"/>
    <x v="23"/>
    <x v="1"/>
    <x v="1"/>
    <x v="2"/>
    <n v="3"/>
    <n v="5"/>
    <n v="6"/>
    <x v="2"/>
    <n v="14"/>
    <x v="0"/>
    <s v="Detractor"/>
    <m/>
  </r>
  <r>
    <x v="405"/>
    <x v="0"/>
    <x v="0"/>
    <x v="24"/>
    <x v="21"/>
    <x v="30"/>
    <x v="16"/>
    <x v="0"/>
    <x v="0"/>
    <x v="32"/>
    <n v="2"/>
    <n v="1"/>
    <n v="6"/>
    <x v="11"/>
    <n v="9"/>
    <x v="0"/>
    <s v="Passive"/>
    <m/>
  </r>
  <r>
    <x v="406"/>
    <x v="2"/>
    <x v="2"/>
    <x v="12"/>
    <x v="12"/>
    <x v="0"/>
    <x v="24"/>
    <x v="0"/>
    <x v="0"/>
    <x v="11"/>
    <n v="4"/>
    <n v="2"/>
    <n v="2"/>
    <x v="11"/>
    <n v="8"/>
    <x v="0"/>
    <s v="Passive"/>
    <m/>
  </r>
  <r>
    <x v="407"/>
    <x v="0"/>
    <x v="1"/>
    <x v="14"/>
    <x v="2"/>
    <x v="2"/>
    <x v="2"/>
    <x v="1"/>
    <x v="1"/>
    <x v="2"/>
    <s v=""/>
    <s v=""/>
    <s v=""/>
    <x v="2"/>
    <m/>
    <x v="0"/>
    <s v="Detractor"/>
    <m/>
  </r>
  <r>
    <x v="408"/>
    <x v="0"/>
    <x v="2"/>
    <x v="30"/>
    <x v="14"/>
    <x v="20"/>
    <x v="31"/>
    <x v="1"/>
    <x v="1"/>
    <x v="2"/>
    <n v="5"/>
    <n v="1"/>
    <n v="6"/>
    <x v="2"/>
    <n v="12"/>
    <x v="0"/>
    <s v="Detractor"/>
    <m/>
  </r>
  <r>
    <x v="409"/>
    <x v="0"/>
    <x v="2"/>
    <x v="21"/>
    <x v="16"/>
    <x v="27"/>
    <x v="17"/>
    <x v="0"/>
    <x v="0"/>
    <x v="8"/>
    <n v="3"/>
    <n v="4"/>
    <n v="7"/>
    <x v="10"/>
    <n v="14"/>
    <x v="0"/>
    <s v="Detractor"/>
    <m/>
  </r>
  <r>
    <x v="410"/>
    <x v="0"/>
    <x v="2"/>
    <x v="2"/>
    <x v="6"/>
    <x v="37"/>
    <x v="28"/>
    <x v="0"/>
    <x v="0"/>
    <x v="33"/>
    <n v="4"/>
    <n v="4"/>
    <n v="3"/>
    <x v="10"/>
    <n v="11"/>
    <x v="0"/>
    <s v="Detractor"/>
    <m/>
  </r>
  <r>
    <x v="411"/>
    <x v="2"/>
    <x v="0"/>
    <x v="21"/>
    <x v="5"/>
    <x v="24"/>
    <x v="32"/>
    <x v="0"/>
    <x v="0"/>
    <x v="19"/>
    <n v="2"/>
    <n v="2"/>
    <n v="5"/>
    <x v="4"/>
    <n v="9"/>
    <x v="0"/>
    <s v="Promoter"/>
    <m/>
  </r>
  <r>
    <x v="412"/>
    <x v="2"/>
    <x v="2"/>
    <x v="4"/>
    <x v="22"/>
    <x v="28"/>
    <x v="5"/>
    <x v="0"/>
    <x v="0"/>
    <x v="32"/>
    <n v="5"/>
    <n v="5"/>
    <n v="4"/>
    <x v="11"/>
    <n v="14"/>
    <x v="0"/>
    <s v="Passive"/>
    <m/>
  </r>
  <r>
    <x v="413"/>
    <x v="3"/>
    <x v="2"/>
    <x v="25"/>
    <x v="6"/>
    <x v="36"/>
    <x v="25"/>
    <x v="0"/>
    <x v="0"/>
    <x v="32"/>
    <n v="2"/>
    <n v="2"/>
    <n v="7"/>
    <x v="9"/>
    <n v="11"/>
    <x v="0"/>
    <s v="Detractor"/>
    <m/>
  </r>
  <r>
    <x v="414"/>
    <x v="1"/>
    <x v="2"/>
    <x v="24"/>
    <x v="17"/>
    <x v="14"/>
    <x v="6"/>
    <x v="1"/>
    <x v="5"/>
    <x v="2"/>
    <n v="3"/>
    <n v="1"/>
    <n v="3"/>
    <x v="2"/>
    <n v="7"/>
    <x v="0"/>
    <s v="Detractor"/>
    <m/>
  </r>
  <r>
    <x v="415"/>
    <x v="2"/>
    <x v="2"/>
    <x v="5"/>
    <x v="4"/>
    <x v="10"/>
    <x v="23"/>
    <x v="0"/>
    <x v="0"/>
    <x v="43"/>
    <n v="4"/>
    <n v="2"/>
    <n v="7"/>
    <x v="6"/>
    <n v="13"/>
    <x v="0"/>
    <s v="Detractor"/>
    <m/>
  </r>
  <r>
    <x v="416"/>
    <x v="2"/>
    <x v="0"/>
    <x v="20"/>
    <x v="10"/>
    <x v="9"/>
    <x v="10"/>
    <x v="0"/>
    <x v="0"/>
    <x v="13"/>
    <n v="2"/>
    <n v="5"/>
    <n v="7"/>
    <x v="8"/>
    <n v="14"/>
    <x v="0"/>
    <s v="Detractor"/>
    <m/>
  </r>
  <r>
    <x v="417"/>
    <x v="1"/>
    <x v="0"/>
    <x v="7"/>
    <x v="15"/>
    <x v="13"/>
    <x v="38"/>
    <x v="0"/>
    <x v="0"/>
    <x v="28"/>
    <n v="3"/>
    <n v="3"/>
    <n v="3"/>
    <x v="4"/>
    <n v="9"/>
    <x v="0"/>
    <s v="Promoter"/>
    <m/>
  </r>
  <r>
    <x v="418"/>
    <x v="2"/>
    <x v="0"/>
    <x v="11"/>
    <x v="5"/>
    <x v="24"/>
    <x v="32"/>
    <x v="0"/>
    <x v="0"/>
    <x v="42"/>
    <n v="5"/>
    <n v="2"/>
    <n v="5"/>
    <x v="3"/>
    <n v="12"/>
    <x v="0"/>
    <s v="Promoter"/>
    <m/>
  </r>
  <r>
    <x v="419"/>
    <x v="0"/>
    <x v="0"/>
    <x v="8"/>
    <x v="8"/>
    <x v="19"/>
    <x v="20"/>
    <x v="0"/>
    <x v="0"/>
    <x v="13"/>
    <n v="4"/>
    <n v="5"/>
    <n v="6"/>
    <x v="7"/>
    <n v="15"/>
    <x v="0"/>
    <s v="Detractor"/>
    <m/>
  </r>
  <r>
    <x v="420"/>
    <x v="0"/>
    <x v="0"/>
    <x v="7"/>
    <x v="30"/>
    <x v="30"/>
    <x v="27"/>
    <x v="0"/>
    <x v="0"/>
    <x v="18"/>
    <n v="4"/>
    <n v="3"/>
    <n v="7"/>
    <x v="10"/>
    <n v="14"/>
    <x v="0"/>
    <s v="Detractor"/>
    <m/>
  </r>
  <r>
    <x v="421"/>
    <x v="1"/>
    <x v="2"/>
    <x v="0"/>
    <x v="9"/>
    <x v="0"/>
    <x v="0"/>
    <x v="0"/>
    <x v="0"/>
    <x v="31"/>
    <n v="3"/>
    <n v="5"/>
    <n v="5"/>
    <x v="11"/>
    <n v="13"/>
    <x v="0"/>
    <s v="Passive"/>
    <m/>
  </r>
  <r>
    <x v="422"/>
    <x v="3"/>
    <x v="0"/>
    <x v="5"/>
    <x v="4"/>
    <x v="7"/>
    <x v="11"/>
    <x v="0"/>
    <x v="0"/>
    <x v="51"/>
    <n v="4"/>
    <n v="5"/>
    <n v="3"/>
    <x v="0"/>
    <n v="12"/>
    <x v="0"/>
    <s v="Detractor"/>
    <m/>
  </r>
  <r>
    <x v="423"/>
    <x v="3"/>
    <x v="1"/>
    <x v="13"/>
    <x v="2"/>
    <x v="2"/>
    <x v="2"/>
    <x v="1"/>
    <x v="5"/>
    <x v="2"/>
    <s v=""/>
    <s v=""/>
    <s v=""/>
    <x v="2"/>
    <m/>
    <x v="0"/>
    <s v="Detractor"/>
    <m/>
  </r>
  <r>
    <x v="424"/>
    <x v="1"/>
    <x v="0"/>
    <x v="6"/>
    <x v="16"/>
    <x v="28"/>
    <x v="1"/>
    <x v="0"/>
    <x v="0"/>
    <x v="32"/>
    <n v="5"/>
    <n v="3"/>
    <n v="2"/>
    <x v="9"/>
    <n v="10"/>
    <x v="0"/>
    <s v="Detractor"/>
    <m/>
  </r>
  <r>
    <x v="425"/>
    <x v="1"/>
    <x v="2"/>
    <x v="20"/>
    <x v="8"/>
    <x v="9"/>
    <x v="11"/>
    <x v="0"/>
    <x v="0"/>
    <x v="49"/>
    <n v="5"/>
    <n v="2"/>
    <n v="2"/>
    <x v="9"/>
    <n v="9"/>
    <x v="0"/>
    <s v="Detractor"/>
    <m/>
  </r>
  <r>
    <x v="426"/>
    <x v="0"/>
    <x v="0"/>
    <x v="12"/>
    <x v="12"/>
    <x v="15"/>
    <x v="26"/>
    <x v="0"/>
    <x v="0"/>
    <x v="42"/>
    <n v="4"/>
    <n v="3"/>
    <n v="3"/>
    <x v="5"/>
    <n v="10"/>
    <x v="0"/>
    <s v="Detractor"/>
    <m/>
  </r>
  <r>
    <x v="427"/>
    <x v="3"/>
    <x v="0"/>
    <x v="30"/>
    <x v="20"/>
    <x v="23"/>
    <x v="14"/>
    <x v="0"/>
    <x v="0"/>
    <x v="22"/>
    <n v="2"/>
    <n v="2"/>
    <n v="2"/>
    <x v="11"/>
    <n v="6"/>
    <x v="0"/>
    <s v="Passive"/>
    <m/>
  </r>
  <r>
    <x v="428"/>
    <x v="2"/>
    <x v="0"/>
    <x v="16"/>
    <x v="22"/>
    <x v="28"/>
    <x v="9"/>
    <x v="0"/>
    <x v="0"/>
    <x v="8"/>
    <n v="2"/>
    <n v="5"/>
    <n v="6"/>
    <x v="1"/>
    <n v="13"/>
    <x v="0"/>
    <s v="Passive"/>
    <m/>
  </r>
  <r>
    <x v="429"/>
    <x v="0"/>
    <x v="2"/>
    <x v="12"/>
    <x v="28"/>
    <x v="15"/>
    <x v="13"/>
    <x v="0"/>
    <x v="0"/>
    <x v="23"/>
    <n v="5"/>
    <n v="2"/>
    <n v="7"/>
    <x v="5"/>
    <n v="14"/>
    <x v="0"/>
    <s v="Detractor"/>
    <m/>
  </r>
  <r>
    <x v="430"/>
    <x v="1"/>
    <x v="2"/>
    <x v="17"/>
    <x v="17"/>
    <x v="17"/>
    <x v="22"/>
    <x v="0"/>
    <x v="0"/>
    <x v="26"/>
    <n v="2"/>
    <n v="4"/>
    <n v="5"/>
    <x v="4"/>
    <n v="11"/>
    <x v="0"/>
    <s v="Promoter"/>
    <m/>
  </r>
  <r>
    <x v="431"/>
    <x v="3"/>
    <x v="2"/>
    <x v="4"/>
    <x v="7"/>
    <x v="6"/>
    <x v="3"/>
    <x v="0"/>
    <x v="0"/>
    <x v="42"/>
    <n v="3"/>
    <n v="3"/>
    <n v="4"/>
    <x v="8"/>
    <n v="10"/>
    <x v="0"/>
    <s v="Detractor"/>
    <m/>
  </r>
  <r>
    <x v="432"/>
    <x v="2"/>
    <x v="1"/>
    <x v="5"/>
    <x v="2"/>
    <x v="2"/>
    <x v="2"/>
    <x v="1"/>
    <x v="1"/>
    <x v="2"/>
    <s v=""/>
    <s v=""/>
    <s v=""/>
    <x v="2"/>
    <m/>
    <x v="0"/>
    <s v="Detractor"/>
    <m/>
  </r>
  <r>
    <x v="433"/>
    <x v="2"/>
    <x v="0"/>
    <x v="6"/>
    <x v="7"/>
    <x v="6"/>
    <x v="7"/>
    <x v="0"/>
    <x v="0"/>
    <x v="8"/>
    <n v="1"/>
    <n v="3"/>
    <n v="5"/>
    <x v="10"/>
    <n v="9"/>
    <x v="0"/>
    <s v="Detractor"/>
    <m/>
  </r>
  <r>
    <x v="434"/>
    <x v="0"/>
    <x v="2"/>
    <x v="6"/>
    <x v="5"/>
    <x v="3"/>
    <x v="7"/>
    <x v="0"/>
    <x v="0"/>
    <x v="30"/>
    <n v="4"/>
    <n v="1"/>
    <n v="4"/>
    <x v="9"/>
    <n v="9"/>
    <x v="0"/>
    <s v="Detractor"/>
    <m/>
  </r>
  <r>
    <x v="435"/>
    <x v="3"/>
    <x v="2"/>
    <x v="24"/>
    <x v="17"/>
    <x v="20"/>
    <x v="19"/>
    <x v="0"/>
    <x v="0"/>
    <x v="38"/>
    <n v="3"/>
    <n v="5"/>
    <n v="3"/>
    <x v="11"/>
    <n v="11"/>
    <x v="0"/>
    <s v="Passive"/>
    <m/>
  </r>
  <r>
    <x v="436"/>
    <x v="3"/>
    <x v="0"/>
    <x v="11"/>
    <x v="5"/>
    <x v="27"/>
    <x v="5"/>
    <x v="0"/>
    <x v="0"/>
    <x v="19"/>
    <n v="5"/>
    <n v="5"/>
    <n v="3"/>
    <x v="9"/>
    <n v="13"/>
    <x v="0"/>
    <s v="Detractor"/>
    <m/>
  </r>
  <r>
    <x v="437"/>
    <x v="1"/>
    <x v="2"/>
    <x v="21"/>
    <x v="22"/>
    <x v="3"/>
    <x v="7"/>
    <x v="0"/>
    <x v="0"/>
    <x v="10"/>
    <n v="1"/>
    <n v="2"/>
    <n v="4"/>
    <x v="1"/>
    <n v="7"/>
    <x v="1"/>
    <s v="Passive"/>
    <m/>
  </r>
  <r>
    <x v="438"/>
    <x v="3"/>
    <x v="2"/>
    <x v="13"/>
    <x v="21"/>
    <x v="23"/>
    <x v="12"/>
    <x v="0"/>
    <x v="0"/>
    <x v="18"/>
    <n v="5"/>
    <n v="4"/>
    <n v="7"/>
    <x v="11"/>
    <n v="16"/>
    <x v="0"/>
    <s v="Passive"/>
    <m/>
  </r>
  <r>
    <x v="439"/>
    <x v="3"/>
    <x v="1"/>
    <x v="28"/>
    <x v="2"/>
    <x v="2"/>
    <x v="2"/>
    <x v="1"/>
    <x v="5"/>
    <x v="2"/>
    <s v=""/>
    <s v=""/>
    <s v=""/>
    <x v="2"/>
    <m/>
    <x v="0"/>
    <s v="Detractor"/>
    <m/>
  </r>
  <r>
    <x v="440"/>
    <x v="0"/>
    <x v="2"/>
    <x v="29"/>
    <x v="30"/>
    <x v="21"/>
    <x v="6"/>
    <x v="0"/>
    <x v="0"/>
    <x v="26"/>
    <n v="1"/>
    <n v="5"/>
    <n v="2"/>
    <x v="10"/>
    <n v="8"/>
    <x v="0"/>
    <s v="Detractor"/>
    <m/>
  </r>
  <r>
    <x v="441"/>
    <x v="3"/>
    <x v="0"/>
    <x v="20"/>
    <x v="34"/>
    <x v="9"/>
    <x v="23"/>
    <x v="0"/>
    <x v="0"/>
    <x v="13"/>
    <n v="3"/>
    <n v="4"/>
    <n v="3"/>
    <x v="1"/>
    <n v="10"/>
    <x v="0"/>
    <s v="Passive"/>
    <m/>
  </r>
  <r>
    <x v="442"/>
    <x v="2"/>
    <x v="1"/>
    <x v="18"/>
    <x v="2"/>
    <x v="2"/>
    <x v="2"/>
    <x v="1"/>
    <x v="3"/>
    <x v="2"/>
    <s v=""/>
    <s v=""/>
    <s v=""/>
    <x v="2"/>
    <m/>
    <x v="0"/>
    <s v="Detractor"/>
    <m/>
  </r>
  <r>
    <x v="443"/>
    <x v="0"/>
    <x v="0"/>
    <x v="16"/>
    <x v="3"/>
    <x v="1"/>
    <x v="7"/>
    <x v="0"/>
    <x v="0"/>
    <x v="24"/>
    <n v="1"/>
    <n v="1"/>
    <n v="6"/>
    <x v="5"/>
    <n v="8"/>
    <x v="0"/>
    <s v="Detractor"/>
    <m/>
  </r>
  <r>
    <x v="444"/>
    <x v="0"/>
    <x v="2"/>
    <x v="15"/>
    <x v="25"/>
    <x v="0"/>
    <x v="34"/>
    <x v="1"/>
    <x v="1"/>
    <x v="2"/>
    <n v="2"/>
    <n v="3"/>
    <n v="6"/>
    <x v="2"/>
    <n v="11"/>
    <x v="0"/>
    <s v="Detractor"/>
    <m/>
  </r>
  <r>
    <x v="445"/>
    <x v="1"/>
    <x v="2"/>
    <x v="26"/>
    <x v="10"/>
    <x v="7"/>
    <x v="36"/>
    <x v="0"/>
    <x v="0"/>
    <x v="44"/>
    <n v="3"/>
    <n v="4"/>
    <n v="6"/>
    <x v="9"/>
    <n v="13"/>
    <x v="0"/>
    <s v="Detractor"/>
    <m/>
  </r>
  <r>
    <x v="446"/>
    <x v="3"/>
    <x v="1"/>
    <x v="13"/>
    <x v="2"/>
    <x v="2"/>
    <x v="2"/>
    <x v="1"/>
    <x v="5"/>
    <x v="2"/>
    <s v=""/>
    <s v=""/>
    <s v=""/>
    <x v="2"/>
    <m/>
    <x v="0"/>
    <s v="Detractor"/>
    <m/>
  </r>
  <r>
    <x v="447"/>
    <x v="1"/>
    <x v="1"/>
    <x v="3"/>
    <x v="2"/>
    <x v="2"/>
    <x v="2"/>
    <x v="1"/>
    <x v="2"/>
    <x v="2"/>
    <s v=""/>
    <s v=""/>
    <s v=""/>
    <x v="2"/>
    <m/>
    <x v="0"/>
    <s v="Detractor"/>
    <m/>
  </r>
  <r>
    <x v="448"/>
    <x v="2"/>
    <x v="0"/>
    <x v="25"/>
    <x v="15"/>
    <x v="14"/>
    <x v="19"/>
    <x v="0"/>
    <x v="0"/>
    <x v="34"/>
    <n v="4"/>
    <n v="5"/>
    <n v="7"/>
    <x v="9"/>
    <n v="16"/>
    <x v="0"/>
    <s v="Detractor"/>
    <m/>
  </r>
  <r>
    <x v="449"/>
    <x v="0"/>
    <x v="2"/>
    <x v="17"/>
    <x v="1"/>
    <x v="25"/>
    <x v="15"/>
    <x v="0"/>
    <x v="0"/>
    <x v="10"/>
    <n v="5"/>
    <n v="3"/>
    <n v="6"/>
    <x v="9"/>
    <n v="14"/>
    <x v="0"/>
    <s v="Detractor"/>
    <m/>
  </r>
  <r>
    <x v="450"/>
    <x v="0"/>
    <x v="0"/>
    <x v="22"/>
    <x v="12"/>
    <x v="31"/>
    <x v="34"/>
    <x v="0"/>
    <x v="0"/>
    <x v="12"/>
    <n v="2"/>
    <n v="4"/>
    <n v="4"/>
    <x v="6"/>
    <n v="10"/>
    <x v="0"/>
    <s v="Detractor"/>
    <m/>
  </r>
  <r>
    <x v="451"/>
    <x v="0"/>
    <x v="1"/>
    <x v="19"/>
    <x v="2"/>
    <x v="2"/>
    <x v="2"/>
    <x v="1"/>
    <x v="1"/>
    <x v="2"/>
    <s v=""/>
    <s v=""/>
    <s v=""/>
    <x v="2"/>
    <m/>
    <x v="0"/>
    <s v="Detractor"/>
    <m/>
  </r>
  <r>
    <x v="452"/>
    <x v="2"/>
    <x v="0"/>
    <x v="3"/>
    <x v="10"/>
    <x v="7"/>
    <x v="39"/>
    <x v="0"/>
    <x v="0"/>
    <x v="30"/>
    <n v="4"/>
    <n v="4"/>
    <n v="7"/>
    <x v="8"/>
    <n v="15"/>
    <x v="0"/>
    <s v="Detractor"/>
    <m/>
  </r>
  <r>
    <x v="453"/>
    <x v="2"/>
    <x v="1"/>
    <x v="4"/>
    <x v="2"/>
    <x v="2"/>
    <x v="2"/>
    <x v="1"/>
    <x v="1"/>
    <x v="2"/>
    <s v=""/>
    <s v=""/>
    <s v=""/>
    <x v="2"/>
    <m/>
    <x v="0"/>
    <s v="Detractor"/>
    <m/>
  </r>
  <r>
    <x v="454"/>
    <x v="1"/>
    <x v="1"/>
    <x v="1"/>
    <x v="2"/>
    <x v="2"/>
    <x v="2"/>
    <x v="1"/>
    <x v="3"/>
    <x v="2"/>
    <s v=""/>
    <s v=""/>
    <s v=""/>
    <x v="2"/>
    <m/>
    <x v="0"/>
    <s v="Detractor"/>
    <m/>
  </r>
  <r>
    <x v="455"/>
    <x v="1"/>
    <x v="0"/>
    <x v="20"/>
    <x v="4"/>
    <x v="10"/>
    <x v="34"/>
    <x v="0"/>
    <x v="0"/>
    <x v="8"/>
    <n v="1"/>
    <n v="2"/>
    <n v="2"/>
    <x v="3"/>
    <n v="5"/>
    <x v="0"/>
    <s v="Promoter"/>
    <m/>
  </r>
  <r>
    <x v="456"/>
    <x v="1"/>
    <x v="0"/>
    <x v="19"/>
    <x v="28"/>
    <x v="31"/>
    <x v="4"/>
    <x v="1"/>
    <x v="4"/>
    <x v="2"/>
    <n v="2"/>
    <n v="3"/>
    <n v="7"/>
    <x v="2"/>
    <n v="12"/>
    <x v="0"/>
    <s v="Detractor"/>
    <m/>
  </r>
  <r>
    <x v="457"/>
    <x v="3"/>
    <x v="0"/>
    <x v="16"/>
    <x v="16"/>
    <x v="27"/>
    <x v="21"/>
    <x v="0"/>
    <x v="0"/>
    <x v="30"/>
    <n v="4"/>
    <n v="4"/>
    <n v="4"/>
    <x v="7"/>
    <n v="12"/>
    <x v="0"/>
    <s v="Detractor"/>
    <m/>
  </r>
  <r>
    <x v="458"/>
    <x v="0"/>
    <x v="2"/>
    <x v="17"/>
    <x v="20"/>
    <x v="23"/>
    <x v="16"/>
    <x v="0"/>
    <x v="0"/>
    <x v="32"/>
    <n v="3"/>
    <n v="2"/>
    <n v="3"/>
    <x v="7"/>
    <n v="8"/>
    <x v="0"/>
    <s v="Detractor"/>
    <m/>
  </r>
  <r>
    <x v="459"/>
    <x v="0"/>
    <x v="0"/>
    <x v="5"/>
    <x v="28"/>
    <x v="10"/>
    <x v="11"/>
    <x v="0"/>
    <x v="0"/>
    <x v="1"/>
    <n v="1"/>
    <n v="5"/>
    <n v="6"/>
    <x v="10"/>
    <n v="12"/>
    <x v="0"/>
    <s v="Detractor"/>
    <m/>
  </r>
  <r>
    <x v="460"/>
    <x v="1"/>
    <x v="0"/>
    <x v="2"/>
    <x v="6"/>
    <x v="37"/>
    <x v="6"/>
    <x v="1"/>
    <x v="4"/>
    <x v="2"/>
    <n v="4"/>
    <n v="4"/>
    <n v="6"/>
    <x v="2"/>
    <n v="14"/>
    <x v="0"/>
    <s v="Detractor"/>
    <m/>
  </r>
  <r>
    <x v="461"/>
    <x v="0"/>
    <x v="1"/>
    <x v="30"/>
    <x v="2"/>
    <x v="2"/>
    <x v="2"/>
    <x v="1"/>
    <x v="3"/>
    <x v="2"/>
    <s v=""/>
    <s v=""/>
    <s v=""/>
    <x v="2"/>
    <m/>
    <x v="0"/>
    <s v="Detractor"/>
    <m/>
  </r>
  <r>
    <x v="462"/>
    <x v="1"/>
    <x v="1"/>
    <x v="15"/>
    <x v="2"/>
    <x v="2"/>
    <x v="2"/>
    <x v="1"/>
    <x v="3"/>
    <x v="2"/>
    <s v=""/>
    <s v=""/>
    <s v=""/>
    <x v="2"/>
    <m/>
    <x v="0"/>
    <s v="Detractor"/>
    <m/>
  </r>
  <r>
    <x v="463"/>
    <x v="3"/>
    <x v="0"/>
    <x v="30"/>
    <x v="17"/>
    <x v="21"/>
    <x v="19"/>
    <x v="0"/>
    <x v="0"/>
    <x v="25"/>
    <n v="1"/>
    <n v="2"/>
    <n v="6"/>
    <x v="10"/>
    <n v="9"/>
    <x v="0"/>
    <s v="Detractor"/>
    <m/>
  </r>
  <r>
    <x v="464"/>
    <x v="3"/>
    <x v="2"/>
    <x v="5"/>
    <x v="4"/>
    <x v="10"/>
    <x v="18"/>
    <x v="0"/>
    <x v="0"/>
    <x v="51"/>
    <n v="4"/>
    <n v="2"/>
    <n v="3"/>
    <x v="8"/>
    <n v="9"/>
    <x v="0"/>
    <s v="Detractor"/>
    <m/>
  </r>
  <r>
    <x v="465"/>
    <x v="2"/>
    <x v="2"/>
    <x v="23"/>
    <x v="9"/>
    <x v="18"/>
    <x v="0"/>
    <x v="0"/>
    <x v="0"/>
    <x v="19"/>
    <n v="5"/>
    <n v="3"/>
    <n v="7"/>
    <x v="8"/>
    <n v="15"/>
    <x v="0"/>
    <s v="Detractor"/>
    <m/>
  </r>
  <r>
    <x v="466"/>
    <x v="3"/>
    <x v="2"/>
    <x v="23"/>
    <x v="31"/>
    <x v="28"/>
    <x v="21"/>
    <x v="0"/>
    <x v="0"/>
    <x v="19"/>
    <n v="3"/>
    <n v="2"/>
    <n v="5"/>
    <x v="10"/>
    <n v="10"/>
    <x v="0"/>
    <s v="Detractor"/>
    <m/>
  </r>
  <r>
    <x v="467"/>
    <x v="1"/>
    <x v="0"/>
    <x v="27"/>
    <x v="9"/>
    <x v="8"/>
    <x v="17"/>
    <x v="0"/>
    <x v="0"/>
    <x v="14"/>
    <n v="2"/>
    <n v="4"/>
    <n v="4"/>
    <x v="10"/>
    <n v="10"/>
    <x v="0"/>
    <s v="Detractor"/>
    <m/>
  </r>
  <r>
    <x v="468"/>
    <x v="3"/>
    <x v="0"/>
    <x v="6"/>
    <x v="5"/>
    <x v="3"/>
    <x v="5"/>
    <x v="0"/>
    <x v="0"/>
    <x v="19"/>
    <n v="4"/>
    <n v="1"/>
    <n v="7"/>
    <x v="6"/>
    <n v="12"/>
    <x v="0"/>
    <s v="Detractor"/>
    <m/>
  </r>
  <r>
    <x v="469"/>
    <x v="2"/>
    <x v="1"/>
    <x v="3"/>
    <x v="2"/>
    <x v="2"/>
    <x v="2"/>
    <x v="1"/>
    <x v="3"/>
    <x v="2"/>
    <s v=""/>
    <s v=""/>
    <s v=""/>
    <x v="2"/>
    <m/>
    <x v="0"/>
    <s v="Detractor"/>
    <m/>
  </r>
  <r>
    <x v="470"/>
    <x v="0"/>
    <x v="0"/>
    <x v="13"/>
    <x v="13"/>
    <x v="30"/>
    <x v="38"/>
    <x v="0"/>
    <x v="0"/>
    <x v="41"/>
    <n v="1"/>
    <n v="5"/>
    <n v="2"/>
    <x v="11"/>
    <n v="8"/>
    <x v="0"/>
    <s v="Passive"/>
    <m/>
  </r>
  <r>
    <x v="471"/>
    <x v="1"/>
    <x v="1"/>
    <x v="11"/>
    <x v="2"/>
    <x v="2"/>
    <x v="2"/>
    <x v="1"/>
    <x v="4"/>
    <x v="2"/>
    <s v=""/>
    <s v=""/>
    <s v=""/>
    <x v="2"/>
    <m/>
    <x v="0"/>
    <s v="Detractor"/>
    <m/>
  </r>
  <r>
    <x v="472"/>
    <x v="0"/>
    <x v="1"/>
    <x v="21"/>
    <x v="2"/>
    <x v="2"/>
    <x v="2"/>
    <x v="1"/>
    <x v="3"/>
    <x v="2"/>
    <s v=""/>
    <s v=""/>
    <s v=""/>
    <x v="2"/>
    <m/>
    <x v="0"/>
    <s v="Detractor"/>
    <m/>
  </r>
  <r>
    <x v="473"/>
    <x v="2"/>
    <x v="0"/>
    <x v="6"/>
    <x v="22"/>
    <x v="16"/>
    <x v="1"/>
    <x v="0"/>
    <x v="0"/>
    <x v="3"/>
    <n v="3"/>
    <n v="4"/>
    <n v="3"/>
    <x v="1"/>
    <n v="10"/>
    <x v="0"/>
    <s v="Passive"/>
    <m/>
  </r>
  <r>
    <x v="474"/>
    <x v="2"/>
    <x v="1"/>
    <x v="9"/>
    <x v="2"/>
    <x v="2"/>
    <x v="2"/>
    <x v="1"/>
    <x v="5"/>
    <x v="2"/>
    <s v=""/>
    <s v=""/>
    <s v=""/>
    <x v="2"/>
    <m/>
    <x v="0"/>
    <s v="Detractor"/>
    <m/>
  </r>
  <r>
    <x v="475"/>
    <x v="2"/>
    <x v="0"/>
    <x v="1"/>
    <x v="19"/>
    <x v="25"/>
    <x v="31"/>
    <x v="1"/>
    <x v="1"/>
    <x v="2"/>
    <n v="2"/>
    <n v="4"/>
    <n v="5"/>
    <x v="2"/>
    <n v="11"/>
    <x v="0"/>
    <s v="Detractor"/>
    <m/>
  </r>
  <r>
    <x v="476"/>
    <x v="0"/>
    <x v="2"/>
    <x v="21"/>
    <x v="22"/>
    <x v="28"/>
    <x v="21"/>
    <x v="0"/>
    <x v="0"/>
    <x v="17"/>
    <n v="1"/>
    <n v="5"/>
    <n v="5"/>
    <x v="0"/>
    <n v="11"/>
    <x v="0"/>
    <s v="Detractor"/>
    <m/>
  </r>
  <r>
    <x v="477"/>
    <x v="0"/>
    <x v="0"/>
    <x v="22"/>
    <x v="28"/>
    <x v="10"/>
    <x v="34"/>
    <x v="1"/>
    <x v="1"/>
    <x v="2"/>
    <n v="3"/>
    <n v="5"/>
    <n v="2"/>
    <x v="2"/>
    <n v="10"/>
    <x v="0"/>
    <s v="Detractor"/>
    <m/>
  </r>
  <r>
    <x v="478"/>
    <x v="0"/>
    <x v="0"/>
    <x v="21"/>
    <x v="22"/>
    <x v="3"/>
    <x v="3"/>
    <x v="0"/>
    <x v="0"/>
    <x v="14"/>
    <n v="1"/>
    <n v="2"/>
    <n v="3"/>
    <x v="11"/>
    <n v="6"/>
    <x v="0"/>
    <s v="Passive"/>
    <m/>
  </r>
  <r>
    <x v="479"/>
    <x v="0"/>
    <x v="0"/>
    <x v="28"/>
    <x v="24"/>
    <x v="6"/>
    <x v="7"/>
    <x v="1"/>
    <x v="2"/>
    <x v="2"/>
    <n v="3"/>
    <n v="4"/>
    <n v="5"/>
    <x v="2"/>
    <n v="12"/>
    <x v="0"/>
    <s v="Detractor"/>
    <m/>
  </r>
  <r>
    <x v="480"/>
    <x v="2"/>
    <x v="0"/>
    <x v="11"/>
    <x v="7"/>
    <x v="1"/>
    <x v="1"/>
    <x v="0"/>
    <x v="0"/>
    <x v="18"/>
    <n v="2"/>
    <n v="2"/>
    <n v="7"/>
    <x v="0"/>
    <n v="11"/>
    <x v="0"/>
    <s v="Detractor"/>
    <m/>
  </r>
  <r>
    <x v="481"/>
    <x v="2"/>
    <x v="0"/>
    <x v="20"/>
    <x v="10"/>
    <x v="4"/>
    <x v="8"/>
    <x v="0"/>
    <x v="0"/>
    <x v="27"/>
    <n v="2"/>
    <n v="3"/>
    <n v="6"/>
    <x v="1"/>
    <n v="11"/>
    <x v="0"/>
    <s v="Passive"/>
    <m/>
  </r>
  <r>
    <x v="482"/>
    <x v="1"/>
    <x v="0"/>
    <x v="1"/>
    <x v="20"/>
    <x v="23"/>
    <x v="14"/>
    <x v="0"/>
    <x v="0"/>
    <x v="33"/>
    <n v="1"/>
    <n v="2"/>
    <n v="2"/>
    <x v="7"/>
    <n v="5"/>
    <x v="0"/>
    <s v="Detractor"/>
    <m/>
  </r>
  <r>
    <x v="483"/>
    <x v="1"/>
    <x v="0"/>
    <x v="3"/>
    <x v="4"/>
    <x v="22"/>
    <x v="23"/>
    <x v="0"/>
    <x v="0"/>
    <x v="43"/>
    <n v="3"/>
    <n v="3"/>
    <n v="6"/>
    <x v="7"/>
    <n v="12"/>
    <x v="0"/>
    <s v="Detractor"/>
    <m/>
  </r>
  <r>
    <x v="484"/>
    <x v="0"/>
    <x v="0"/>
    <x v="29"/>
    <x v="17"/>
    <x v="14"/>
    <x v="25"/>
    <x v="0"/>
    <x v="0"/>
    <x v="22"/>
    <n v="4"/>
    <n v="1"/>
    <n v="2"/>
    <x v="5"/>
    <n v="7"/>
    <x v="0"/>
    <s v="Detractor"/>
    <m/>
  </r>
  <r>
    <x v="485"/>
    <x v="3"/>
    <x v="0"/>
    <x v="12"/>
    <x v="0"/>
    <x v="0"/>
    <x v="26"/>
    <x v="1"/>
    <x v="2"/>
    <x v="2"/>
    <n v="2"/>
    <n v="4"/>
    <n v="4"/>
    <x v="2"/>
    <n v="10"/>
    <x v="0"/>
    <s v="Detractor"/>
    <m/>
  </r>
  <r>
    <x v="486"/>
    <x v="3"/>
    <x v="0"/>
    <x v="24"/>
    <x v="20"/>
    <x v="17"/>
    <x v="19"/>
    <x v="0"/>
    <x v="0"/>
    <x v="3"/>
    <n v="4"/>
    <n v="3"/>
    <n v="4"/>
    <x v="3"/>
    <n v="11"/>
    <x v="0"/>
    <s v="Promoter"/>
    <m/>
  </r>
  <r>
    <x v="487"/>
    <x v="2"/>
    <x v="2"/>
    <x v="23"/>
    <x v="18"/>
    <x v="28"/>
    <x v="32"/>
    <x v="0"/>
    <x v="0"/>
    <x v="1"/>
    <n v="4"/>
    <n v="1"/>
    <n v="3"/>
    <x v="8"/>
    <n v="8"/>
    <x v="0"/>
    <s v="Detractor"/>
    <m/>
  </r>
  <r>
    <x v="488"/>
    <x v="2"/>
    <x v="0"/>
    <x v="28"/>
    <x v="3"/>
    <x v="16"/>
    <x v="5"/>
    <x v="0"/>
    <x v="0"/>
    <x v="12"/>
    <n v="5"/>
    <n v="5"/>
    <n v="5"/>
    <x v="7"/>
    <n v="15"/>
    <x v="0"/>
    <s v="Detractor"/>
    <m/>
  </r>
  <r>
    <x v="489"/>
    <x v="2"/>
    <x v="2"/>
    <x v="24"/>
    <x v="27"/>
    <x v="30"/>
    <x v="16"/>
    <x v="0"/>
    <x v="0"/>
    <x v="42"/>
    <n v="1"/>
    <n v="2"/>
    <n v="6"/>
    <x v="0"/>
    <n v="9"/>
    <x v="0"/>
    <s v="Detractor"/>
    <m/>
  </r>
  <r>
    <x v="490"/>
    <x v="1"/>
    <x v="0"/>
    <x v="3"/>
    <x v="23"/>
    <x v="15"/>
    <x v="34"/>
    <x v="0"/>
    <x v="0"/>
    <x v="14"/>
    <n v="1"/>
    <n v="1"/>
    <n v="5"/>
    <x v="3"/>
    <n v="7"/>
    <x v="0"/>
    <s v="Promoter"/>
    <m/>
  </r>
  <r>
    <x v="491"/>
    <x v="1"/>
    <x v="0"/>
    <x v="22"/>
    <x v="25"/>
    <x v="0"/>
    <x v="26"/>
    <x v="1"/>
    <x v="1"/>
    <x v="2"/>
    <n v="1"/>
    <n v="3"/>
    <n v="4"/>
    <x v="2"/>
    <n v="8"/>
    <x v="0"/>
    <s v="Detractor"/>
    <m/>
  </r>
  <r>
    <x v="492"/>
    <x v="2"/>
    <x v="0"/>
    <x v="4"/>
    <x v="7"/>
    <x v="3"/>
    <x v="32"/>
    <x v="0"/>
    <x v="0"/>
    <x v="18"/>
    <n v="3"/>
    <n v="4"/>
    <n v="6"/>
    <x v="9"/>
    <n v="13"/>
    <x v="0"/>
    <s v="Detractor"/>
    <m/>
  </r>
  <r>
    <x v="493"/>
    <x v="2"/>
    <x v="0"/>
    <x v="31"/>
    <x v="26"/>
    <x v="37"/>
    <x v="14"/>
    <x v="0"/>
    <x v="0"/>
    <x v="15"/>
    <n v="2"/>
    <n v="5"/>
    <n v="7"/>
    <x v="10"/>
    <n v="14"/>
    <x v="0"/>
    <s v="Detractor"/>
    <m/>
  </r>
  <r>
    <x v="494"/>
    <x v="2"/>
    <x v="1"/>
    <x v="1"/>
    <x v="2"/>
    <x v="2"/>
    <x v="2"/>
    <x v="1"/>
    <x v="5"/>
    <x v="2"/>
    <s v=""/>
    <s v=""/>
    <s v=""/>
    <x v="2"/>
    <m/>
    <x v="0"/>
    <s v="Detractor"/>
    <m/>
  </r>
  <r>
    <x v="495"/>
    <x v="3"/>
    <x v="1"/>
    <x v="15"/>
    <x v="2"/>
    <x v="2"/>
    <x v="2"/>
    <x v="1"/>
    <x v="4"/>
    <x v="2"/>
    <s v=""/>
    <s v=""/>
    <s v=""/>
    <x v="2"/>
    <m/>
    <x v="0"/>
    <s v="Detractor"/>
    <m/>
  </r>
  <r>
    <x v="496"/>
    <x v="1"/>
    <x v="1"/>
    <x v="6"/>
    <x v="2"/>
    <x v="2"/>
    <x v="2"/>
    <x v="1"/>
    <x v="4"/>
    <x v="2"/>
    <s v=""/>
    <s v=""/>
    <s v=""/>
    <x v="2"/>
    <m/>
    <x v="0"/>
    <s v="Detractor"/>
    <m/>
  </r>
  <r>
    <x v="497"/>
    <x v="3"/>
    <x v="1"/>
    <x v="12"/>
    <x v="2"/>
    <x v="2"/>
    <x v="2"/>
    <x v="1"/>
    <x v="5"/>
    <x v="2"/>
    <s v=""/>
    <s v=""/>
    <s v=""/>
    <x v="2"/>
    <m/>
    <x v="0"/>
    <s v="Detractor"/>
    <m/>
  </r>
  <r>
    <x v="498"/>
    <x v="3"/>
    <x v="2"/>
    <x v="20"/>
    <x v="10"/>
    <x v="9"/>
    <x v="23"/>
    <x v="0"/>
    <x v="0"/>
    <x v="6"/>
    <n v="2"/>
    <n v="5"/>
    <n v="3"/>
    <x v="1"/>
    <n v="10"/>
    <x v="0"/>
    <s v="Passive"/>
    <m/>
  </r>
  <r>
    <x v="499"/>
    <x v="2"/>
    <x v="2"/>
    <x v="19"/>
    <x v="4"/>
    <x v="12"/>
    <x v="13"/>
    <x v="0"/>
    <x v="0"/>
    <x v="27"/>
    <n v="5"/>
    <n v="1"/>
    <n v="5"/>
    <x v="11"/>
    <n v="11"/>
    <x v="0"/>
    <s v="Passive"/>
    <m/>
  </r>
  <r>
    <x v="500"/>
    <x v="2"/>
    <x v="0"/>
    <x v="28"/>
    <x v="3"/>
    <x v="1"/>
    <x v="12"/>
    <x v="0"/>
    <x v="0"/>
    <x v="12"/>
    <n v="5"/>
    <n v="1"/>
    <n v="2"/>
    <x v="3"/>
    <n v="8"/>
    <x v="0"/>
    <s v="Promoter"/>
    <m/>
  </r>
  <r>
    <x v="501"/>
    <x v="0"/>
    <x v="2"/>
    <x v="28"/>
    <x v="3"/>
    <x v="6"/>
    <x v="31"/>
    <x v="0"/>
    <x v="0"/>
    <x v="20"/>
    <n v="5"/>
    <n v="2"/>
    <n v="2"/>
    <x v="8"/>
    <n v="9"/>
    <x v="0"/>
    <s v="Detractor"/>
    <m/>
  </r>
  <r>
    <x v="502"/>
    <x v="0"/>
    <x v="0"/>
    <x v="27"/>
    <x v="25"/>
    <x v="31"/>
    <x v="13"/>
    <x v="0"/>
    <x v="0"/>
    <x v="31"/>
    <n v="4"/>
    <n v="5"/>
    <n v="6"/>
    <x v="7"/>
    <n v="15"/>
    <x v="0"/>
    <s v="Detractor"/>
    <m/>
  </r>
  <r>
    <x v="503"/>
    <x v="3"/>
    <x v="0"/>
    <x v="19"/>
    <x v="12"/>
    <x v="12"/>
    <x v="0"/>
    <x v="0"/>
    <x v="0"/>
    <x v="0"/>
    <n v="1"/>
    <n v="5"/>
    <n v="2"/>
    <x v="4"/>
    <n v="8"/>
    <x v="0"/>
    <s v="Promoter"/>
    <m/>
  </r>
  <r>
    <x v="504"/>
    <x v="1"/>
    <x v="0"/>
    <x v="5"/>
    <x v="11"/>
    <x v="12"/>
    <x v="0"/>
    <x v="0"/>
    <x v="0"/>
    <x v="27"/>
    <n v="3"/>
    <n v="2"/>
    <n v="2"/>
    <x v="10"/>
    <n v="7"/>
    <x v="0"/>
    <s v="Detractor"/>
    <m/>
  </r>
  <r>
    <x v="505"/>
    <x v="2"/>
    <x v="0"/>
    <x v="0"/>
    <x v="18"/>
    <x v="18"/>
    <x v="24"/>
    <x v="0"/>
    <x v="0"/>
    <x v="43"/>
    <n v="2"/>
    <n v="4"/>
    <n v="4"/>
    <x v="4"/>
    <n v="10"/>
    <x v="0"/>
    <s v="Promoter"/>
    <m/>
  </r>
  <r>
    <x v="506"/>
    <x v="2"/>
    <x v="0"/>
    <x v="13"/>
    <x v="30"/>
    <x v="13"/>
    <x v="38"/>
    <x v="0"/>
    <x v="0"/>
    <x v="39"/>
    <n v="3"/>
    <n v="2"/>
    <n v="3"/>
    <x v="7"/>
    <n v="8"/>
    <x v="0"/>
    <s v="Detractor"/>
    <m/>
  </r>
  <r>
    <x v="507"/>
    <x v="3"/>
    <x v="0"/>
    <x v="6"/>
    <x v="7"/>
    <x v="6"/>
    <x v="31"/>
    <x v="0"/>
    <x v="0"/>
    <x v="3"/>
    <n v="1"/>
    <n v="3"/>
    <n v="2"/>
    <x v="7"/>
    <n v="6"/>
    <x v="0"/>
    <s v="Detractor"/>
    <m/>
  </r>
  <r>
    <x v="508"/>
    <x v="0"/>
    <x v="1"/>
    <x v="8"/>
    <x v="2"/>
    <x v="2"/>
    <x v="2"/>
    <x v="1"/>
    <x v="4"/>
    <x v="2"/>
    <s v=""/>
    <s v=""/>
    <s v=""/>
    <x v="2"/>
    <m/>
    <x v="0"/>
    <s v="Detractor"/>
    <m/>
  </r>
  <r>
    <x v="509"/>
    <x v="1"/>
    <x v="0"/>
    <x v="31"/>
    <x v="33"/>
    <x v="29"/>
    <x v="29"/>
    <x v="0"/>
    <x v="0"/>
    <x v="28"/>
    <n v="1"/>
    <n v="3"/>
    <n v="2"/>
    <x v="11"/>
    <n v="6"/>
    <x v="0"/>
    <s v="Passive"/>
    <m/>
  </r>
  <r>
    <x v="510"/>
    <x v="0"/>
    <x v="1"/>
    <x v="13"/>
    <x v="2"/>
    <x v="2"/>
    <x v="2"/>
    <x v="1"/>
    <x v="3"/>
    <x v="2"/>
    <s v=""/>
    <s v=""/>
    <s v=""/>
    <x v="2"/>
    <m/>
    <x v="0"/>
    <s v="Detractor"/>
    <m/>
  </r>
  <r>
    <x v="511"/>
    <x v="0"/>
    <x v="2"/>
    <x v="16"/>
    <x v="22"/>
    <x v="6"/>
    <x v="7"/>
    <x v="0"/>
    <x v="0"/>
    <x v="3"/>
    <n v="2"/>
    <n v="1"/>
    <n v="5"/>
    <x v="11"/>
    <n v="8"/>
    <x v="0"/>
    <s v="Passive"/>
    <m/>
  </r>
  <r>
    <x v="512"/>
    <x v="0"/>
    <x v="1"/>
    <x v="8"/>
    <x v="2"/>
    <x v="2"/>
    <x v="2"/>
    <x v="1"/>
    <x v="1"/>
    <x v="2"/>
    <s v=""/>
    <s v=""/>
    <s v=""/>
    <x v="2"/>
    <m/>
    <x v="0"/>
    <s v="Detractor"/>
    <m/>
  </r>
  <r>
    <x v="513"/>
    <x v="0"/>
    <x v="0"/>
    <x v="23"/>
    <x v="18"/>
    <x v="27"/>
    <x v="24"/>
    <x v="0"/>
    <x v="0"/>
    <x v="3"/>
    <n v="4"/>
    <n v="2"/>
    <n v="6"/>
    <x v="9"/>
    <n v="12"/>
    <x v="0"/>
    <s v="Detractor"/>
    <m/>
  </r>
  <r>
    <x v="514"/>
    <x v="2"/>
    <x v="0"/>
    <x v="1"/>
    <x v="24"/>
    <x v="11"/>
    <x v="31"/>
    <x v="0"/>
    <x v="0"/>
    <x v="5"/>
    <n v="5"/>
    <n v="2"/>
    <n v="4"/>
    <x v="7"/>
    <n v="11"/>
    <x v="0"/>
    <s v="Detractor"/>
    <m/>
  </r>
  <r>
    <x v="515"/>
    <x v="2"/>
    <x v="2"/>
    <x v="3"/>
    <x v="10"/>
    <x v="10"/>
    <x v="23"/>
    <x v="1"/>
    <x v="1"/>
    <x v="2"/>
    <n v="4"/>
    <n v="1"/>
    <n v="7"/>
    <x v="2"/>
    <n v="12"/>
    <x v="0"/>
    <s v="Detractor"/>
    <m/>
  </r>
  <r>
    <x v="516"/>
    <x v="0"/>
    <x v="0"/>
    <x v="7"/>
    <x v="6"/>
    <x v="37"/>
    <x v="14"/>
    <x v="0"/>
    <x v="0"/>
    <x v="9"/>
    <n v="1"/>
    <n v="4"/>
    <n v="7"/>
    <x v="0"/>
    <n v="12"/>
    <x v="0"/>
    <s v="Detractor"/>
    <m/>
  </r>
  <r>
    <x v="517"/>
    <x v="1"/>
    <x v="2"/>
    <x v="3"/>
    <x v="23"/>
    <x v="31"/>
    <x v="13"/>
    <x v="0"/>
    <x v="0"/>
    <x v="0"/>
    <n v="1"/>
    <n v="2"/>
    <n v="6"/>
    <x v="10"/>
    <n v="9"/>
    <x v="0"/>
    <s v="Detractor"/>
    <m/>
  </r>
  <r>
    <x v="518"/>
    <x v="3"/>
    <x v="2"/>
    <x v="3"/>
    <x v="10"/>
    <x v="9"/>
    <x v="36"/>
    <x v="0"/>
    <x v="0"/>
    <x v="1"/>
    <n v="4"/>
    <n v="5"/>
    <n v="5"/>
    <x v="4"/>
    <n v="14"/>
    <x v="0"/>
    <s v="Promoter"/>
    <m/>
  </r>
  <r>
    <x v="519"/>
    <x v="1"/>
    <x v="0"/>
    <x v="11"/>
    <x v="5"/>
    <x v="24"/>
    <x v="32"/>
    <x v="0"/>
    <x v="0"/>
    <x v="11"/>
    <n v="5"/>
    <n v="2"/>
    <n v="5"/>
    <x v="5"/>
    <n v="12"/>
    <x v="0"/>
    <s v="Detractor"/>
    <m/>
  </r>
  <r>
    <x v="520"/>
    <x v="1"/>
    <x v="0"/>
    <x v="7"/>
    <x v="27"/>
    <x v="21"/>
    <x v="22"/>
    <x v="0"/>
    <x v="0"/>
    <x v="14"/>
    <n v="5"/>
    <n v="4"/>
    <n v="7"/>
    <x v="11"/>
    <n v="16"/>
    <x v="0"/>
    <s v="Passive"/>
    <m/>
  </r>
  <r>
    <x v="521"/>
    <x v="1"/>
    <x v="0"/>
    <x v="16"/>
    <x v="3"/>
    <x v="6"/>
    <x v="7"/>
    <x v="0"/>
    <x v="0"/>
    <x v="5"/>
    <n v="1"/>
    <n v="2"/>
    <n v="5"/>
    <x v="8"/>
    <n v="8"/>
    <x v="0"/>
    <s v="Detractor"/>
    <m/>
  </r>
  <r>
    <x v="522"/>
    <x v="0"/>
    <x v="1"/>
    <x v="20"/>
    <x v="2"/>
    <x v="2"/>
    <x v="2"/>
    <x v="1"/>
    <x v="5"/>
    <x v="2"/>
    <s v=""/>
    <s v=""/>
    <s v=""/>
    <x v="2"/>
    <m/>
    <x v="0"/>
    <s v="Detractor"/>
    <m/>
  </r>
  <r>
    <x v="523"/>
    <x v="2"/>
    <x v="0"/>
    <x v="11"/>
    <x v="5"/>
    <x v="27"/>
    <x v="32"/>
    <x v="0"/>
    <x v="0"/>
    <x v="19"/>
    <n v="5"/>
    <n v="5"/>
    <n v="2"/>
    <x v="8"/>
    <n v="12"/>
    <x v="0"/>
    <s v="Detractor"/>
    <m/>
  </r>
  <r>
    <x v="524"/>
    <x v="1"/>
    <x v="0"/>
    <x v="2"/>
    <x v="13"/>
    <x v="37"/>
    <x v="14"/>
    <x v="0"/>
    <x v="0"/>
    <x v="20"/>
    <n v="5"/>
    <n v="3"/>
    <n v="7"/>
    <x v="1"/>
    <n v="15"/>
    <x v="0"/>
    <s v="Passive"/>
    <m/>
  </r>
  <r>
    <x v="525"/>
    <x v="0"/>
    <x v="2"/>
    <x v="15"/>
    <x v="25"/>
    <x v="0"/>
    <x v="34"/>
    <x v="0"/>
    <x v="0"/>
    <x v="31"/>
    <n v="2"/>
    <n v="3"/>
    <n v="6"/>
    <x v="1"/>
    <n v="11"/>
    <x v="0"/>
    <s v="Passive"/>
    <m/>
  </r>
  <r>
    <x v="526"/>
    <x v="1"/>
    <x v="0"/>
    <x v="13"/>
    <x v="15"/>
    <x v="30"/>
    <x v="16"/>
    <x v="0"/>
    <x v="0"/>
    <x v="15"/>
    <n v="2"/>
    <n v="4"/>
    <n v="6"/>
    <x v="5"/>
    <n v="12"/>
    <x v="0"/>
    <s v="Detractor"/>
    <m/>
  </r>
  <r>
    <x v="527"/>
    <x v="1"/>
    <x v="0"/>
    <x v="4"/>
    <x v="7"/>
    <x v="3"/>
    <x v="32"/>
    <x v="0"/>
    <x v="0"/>
    <x v="25"/>
    <n v="3"/>
    <n v="4"/>
    <n v="6"/>
    <x v="8"/>
    <n v="13"/>
    <x v="0"/>
    <s v="Detractor"/>
    <m/>
  </r>
  <r>
    <x v="528"/>
    <x v="0"/>
    <x v="1"/>
    <x v="3"/>
    <x v="2"/>
    <x v="2"/>
    <x v="2"/>
    <x v="1"/>
    <x v="4"/>
    <x v="2"/>
    <s v=""/>
    <s v=""/>
    <s v=""/>
    <x v="2"/>
    <m/>
    <x v="0"/>
    <s v="Detractor"/>
    <m/>
  </r>
  <r>
    <x v="529"/>
    <x v="2"/>
    <x v="1"/>
    <x v="0"/>
    <x v="2"/>
    <x v="2"/>
    <x v="2"/>
    <x v="1"/>
    <x v="2"/>
    <x v="2"/>
    <s v=""/>
    <s v=""/>
    <s v=""/>
    <x v="2"/>
    <m/>
    <x v="0"/>
    <s v="Detractor"/>
    <m/>
  </r>
  <r>
    <x v="530"/>
    <x v="2"/>
    <x v="0"/>
    <x v="13"/>
    <x v="27"/>
    <x v="23"/>
    <x v="16"/>
    <x v="0"/>
    <x v="0"/>
    <x v="42"/>
    <n v="4"/>
    <n v="5"/>
    <n v="3"/>
    <x v="0"/>
    <n v="12"/>
    <x v="0"/>
    <s v="Detractor"/>
    <m/>
  </r>
  <r>
    <x v="531"/>
    <x v="3"/>
    <x v="2"/>
    <x v="25"/>
    <x v="26"/>
    <x v="36"/>
    <x v="42"/>
    <x v="0"/>
    <x v="0"/>
    <x v="39"/>
    <n v="1"/>
    <n v="3"/>
    <n v="4"/>
    <x v="0"/>
    <n v="8"/>
    <x v="0"/>
    <s v="Detractor"/>
    <m/>
  </r>
  <r>
    <x v="532"/>
    <x v="0"/>
    <x v="1"/>
    <x v="6"/>
    <x v="2"/>
    <x v="2"/>
    <x v="2"/>
    <x v="1"/>
    <x v="2"/>
    <x v="2"/>
    <s v=""/>
    <s v=""/>
    <s v=""/>
    <x v="2"/>
    <m/>
    <x v="0"/>
    <s v="Detractor"/>
    <m/>
  </r>
  <r>
    <x v="533"/>
    <x v="3"/>
    <x v="0"/>
    <x v="19"/>
    <x v="4"/>
    <x v="22"/>
    <x v="18"/>
    <x v="0"/>
    <x v="0"/>
    <x v="27"/>
    <n v="5"/>
    <n v="3"/>
    <n v="2"/>
    <x v="10"/>
    <n v="10"/>
    <x v="0"/>
    <s v="Detractor"/>
    <m/>
  </r>
  <r>
    <x v="534"/>
    <x v="3"/>
    <x v="2"/>
    <x v="17"/>
    <x v="20"/>
    <x v="17"/>
    <x v="19"/>
    <x v="0"/>
    <x v="0"/>
    <x v="29"/>
    <n v="3"/>
    <n v="3"/>
    <n v="4"/>
    <x v="6"/>
    <n v="10"/>
    <x v="0"/>
    <s v="Detractor"/>
    <m/>
  </r>
  <r>
    <x v="535"/>
    <x v="3"/>
    <x v="2"/>
    <x v="1"/>
    <x v="19"/>
    <x v="20"/>
    <x v="27"/>
    <x v="1"/>
    <x v="4"/>
    <x v="2"/>
    <n v="2"/>
    <n v="3"/>
    <n v="2"/>
    <x v="2"/>
    <n v="7"/>
    <x v="0"/>
    <s v="Detractor"/>
    <m/>
  </r>
  <r>
    <x v="536"/>
    <x v="2"/>
    <x v="0"/>
    <x v="18"/>
    <x v="0"/>
    <x v="15"/>
    <x v="18"/>
    <x v="0"/>
    <x v="0"/>
    <x v="20"/>
    <n v="5"/>
    <n v="5"/>
    <n v="6"/>
    <x v="6"/>
    <n v="16"/>
    <x v="0"/>
    <s v="Detractor"/>
    <m/>
  </r>
  <r>
    <x v="537"/>
    <x v="0"/>
    <x v="2"/>
    <x v="12"/>
    <x v="12"/>
    <x v="31"/>
    <x v="0"/>
    <x v="0"/>
    <x v="0"/>
    <x v="0"/>
    <n v="4"/>
    <n v="4"/>
    <n v="3"/>
    <x v="9"/>
    <n v="11"/>
    <x v="0"/>
    <s v="Detractor"/>
    <m/>
  </r>
  <r>
    <x v="538"/>
    <x v="3"/>
    <x v="1"/>
    <x v="28"/>
    <x v="2"/>
    <x v="2"/>
    <x v="2"/>
    <x v="1"/>
    <x v="2"/>
    <x v="2"/>
    <s v=""/>
    <s v=""/>
    <s v=""/>
    <x v="2"/>
    <m/>
    <x v="0"/>
    <s v="Detractor"/>
    <m/>
  </r>
  <r>
    <x v="539"/>
    <x v="0"/>
    <x v="0"/>
    <x v="0"/>
    <x v="18"/>
    <x v="18"/>
    <x v="9"/>
    <x v="1"/>
    <x v="5"/>
    <x v="2"/>
    <n v="2"/>
    <n v="4"/>
    <n v="3"/>
    <x v="2"/>
    <n v="9"/>
    <x v="0"/>
    <s v="Detractor"/>
    <m/>
  </r>
  <r>
    <x v="540"/>
    <x v="0"/>
    <x v="2"/>
    <x v="25"/>
    <x v="26"/>
    <x v="32"/>
    <x v="42"/>
    <x v="0"/>
    <x v="0"/>
    <x v="36"/>
    <n v="1"/>
    <n v="1"/>
    <n v="6"/>
    <x v="3"/>
    <n v="8"/>
    <x v="0"/>
    <s v="Promoter"/>
    <m/>
  </r>
  <r>
    <x v="541"/>
    <x v="2"/>
    <x v="1"/>
    <x v="3"/>
    <x v="2"/>
    <x v="2"/>
    <x v="2"/>
    <x v="1"/>
    <x v="5"/>
    <x v="2"/>
    <s v=""/>
    <s v=""/>
    <s v=""/>
    <x v="2"/>
    <m/>
    <x v="0"/>
    <s v="Detractor"/>
    <m/>
  </r>
  <r>
    <x v="542"/>
    <x v="3"/>
    <x v="0"/>
    <x v="1"/>
    <x v="24"/>
    <x v="6"/>
    <x v="3"/>
    <x v="0"/>
    <x v="0"/>
    <x v="8"/>
    <n v="5"/>
    <n v="4"/>
    <n v="4"/>
    <x v="3"/>
    <n v="13"/>
    <x v="0"/>
    <s v="Promoter"/>
    <m/>
  </r>
  <r>
    <x v="543"/>
    <x v="3"/>
    <x v="0"/>
    <x v="3"/>
    <x v="4"/>
    <x v="22"/>
    <x v="11"/>
    <x v="0"/>
    <x v="0"/>
    <x v="8"/>
    <n v="3"/>
    <n v="3"/>
    <n v="5"/>
    <x v="8"/>
    <n v="11"/>
    <x v="0"/>
    <s v="Detractor"/>
    <m/>
  </r>
  <r>
    <x v="544"/>
    <x v="0"/>
    <x v="2"/>
    <x v="27"/>
    <x v="18"/>
    <x v="27"/>
    <x v="24"/>
    <x v="0"/>
    <x v="0"/>
    <x v="21"/>
    <n v="1"/>
    <n v="2"/>
    <n v="6"/>
    <x v="10"/>
    <n v="9"/>
    <x v="0"/>
    <s v="Detractor"/>
    <m/>
  </r>
  <r>
    <x v="545"/>
    <x v="1"/>
    <x v="2"/>
    <x v="3"/>
    <x v="34"/>
    <x v="7"/>
    <x v="39"/>
    <x v="0"/>
    <x v="0"/>
    <x v="1"/>
    <n v="5"/>
    <n v="3"/>
    <n v="7"/>
    <x v="5"/>
    <n v="15"/>
    <x v="0"/>
    <s v="Detractor"/>
    <m/>
  </r>
  <r>
    <x v="546"/>
    <x v="2"/>
    <x v="0"/>
    <x v="21"/>
    <x v="18"/>
    <x v="26"/>
    <x v="26"/>
    <x v="0"/>
    <x v="0"/>
    <x v="12"/>
    <n v="5"/>
    <n v="3"/>
    <n v="7"/>
    <x v="9"/>
    <n v="15"/>
    <x v="0"/>
    <s v="Detractor"/>
    <m/>
  </r>
  <r>
    <x v="547"/>
    <x v="2"/>
    <x v="0"/>
    <x v="28"/>
    <x v="3"/>
    <x v="24"/>
    <x v="21"/>
    <x v="0"/>
    <x v="0"/>
    <x v="42"/>
    <n v="5"/>
    <n v="4"/>
    <n v="7"/>
    <x v="8"/>
    <n v="16"/>
    <x v="0"/>
    <s v="Detractor"/>
    <m/>
  </r>
  <r>
    <x v="548"/>
    <x v="2"/>
    <x v="0"/>
    <x v="8"/>
    <x v="32"/>
    <x v="9"/>
    <x v="10"/>
    <x v="0"/>
    <x v="0"/>
    <x v="48"/>
    <n v="5"/>
    <n v="1"/>
    <n v="7"/>
    <x v="5"/>
    <n v="13"/>
    <x v="0"/>
    <s v="Detractor"/>
    <m/>
  </r>
  <r>
    <x v="549"/>
    <x v="2"/>
    <x v="0"/>
    <x v="1"/>
    <x v="24"/>
    <x v="3"/>
    <x v="15"/>
    <x v="0"/>
    <x v="0"/>
    <x v="11"/>
    <n v="5"/>
    <n v="5"/>
    <n v="2"/>
    <x v="7"/>
    <n v="12"/>
    <x v="0"/>
    <s v="Detractor"/>
    <m/>
  </r>
  <r>
    <x v="550"/>
    <x v="3"/>
    <x v="0"/>
    <x v="0"/>
    <x v="31"/>
    <x v="28"/>
    <x v="5"/>
    <x v="0"/>
    <x v="0"/>
    <x v="43"/>
    <n v="1"/>
    <n v="2"/>
    <n v="4"/>
    <x v="9"/>
    <n v="7"/>
    <x v="0"/>
    <s v="Detractor"/>
    <m/>
  </r>
  <r>
    <x v="551"/>
    <x v="3"/>
    <x v="2"/>
    <x v="12"/>
    <x v="12"/>
    <x v="0"/>
    <x v="18"/>
    <x v="0"/>
    <x v="0"/>
    <x v="8"/>
    <n v="4"/>
    <n v="2"/>
    <n v="7"/>
    <x v="9"/>
    <n v="13"/>
    <x v="0"/>
    <s v="Detractor"/>
    <m/>
  </r>
  <r>
    <x v="552"/>
    <x v="1"/>
    <x v="0"/>
    <x v="26"/>
    <x v="34"/>
    <x v="22"/>
    <x v="11"/>
    <x v="0"/>
    <x v="0"/>
    <x v="27"/>
    <n v="4"/>
    <n v="1"/>
    <n v="5"/>
    <x v="3"/>
    <n v="10"/>
    <x v="0"/>
    <s v="Promoter"/>
    <m/>
  </r>
  <r>
    <x v="553"/>
    <x v="2"/>
    <x v="1"/>
    <x v="22"/>
    <x v="2"/>
    <x v="2"/>
    <x v="2"/>
    <x v="1"/>
    <x v="4"/>
    <x v="2"/>
    <s v=""/>
    <s v=""/>
    <s v=""/>
    <x v="2"/>
    <m/>
    <x v="0"/>
    <s v="Detractor"/>
    <m/>
  </r>
  <r>
    <x v="554"/>
    <x v="2"/>
    <x v="0"/>
    <x v="6"/>
    <x v="7"/>
    <x v="6"/>
    <x v="32"/>
    <x v="0"/>
    <x v="0"/>
    <x v="10"/>
    <n v="1"/>
    <n v="3"/>
    <n v="7"/>
    <x v="0"/>
    <n v="11"/>
    <x v="0"/>
    <s v="Detractor"/>
    <m/>
  </r>
  <r>
    <x v="555"/>
    <x v="0"/>
    <x v="0"/>
    <x v="3"/>
    <x v="10"/>
    <x v="9"/>
    <x v="23"/>
    <x v="0"/>
    <x v="0"/>
    <x v="6"/>
    <n v="4"/>
    <n v="5"/>
    <n v="3"/>
    <x v="1"/>
    <n v="12"/>
    <x v="0"/>
    <s v="Passive"/>
    <m/>
  </r>
  <r>
    <x v="556"/>
    <x v="3"/>
    <x v="2"/>
    <x v="21"/>
    <x v="16"/>
    <x v="26"/>
    <x v="5"/>
    <x v="0"/>
    <x v="0"/>
    <x v="31"/>
    <n v="3"/>
    <n v="5"/>
    <n v="2"/>
    <x v="10"/>
    <n v="10"/>
    <x v="0"/>
    <s v="Detractor"/>
    <m/>
  </r>
  <r>
    <x v="557"/>
    <x v="2"/>
    <x v="0"/>
    <x v="31"/>
    <x v="6"/>
    <x v="13"/>
    <x v="38"/>
    <x v="0"/>
    <x v="0"/>
    <x v="38"/>
    <n v="3"/>
    <n v="5"/>
    <n v="3"/>
    <x v="0"/>
    <n v="11"/>
    <x v="0"/>
    <s v="Detractor"/>
    <m/>
  </r>
  <r>
    <x v="558"/>
    <x v="1"/>
    <x v="0"/>
    <x v="18"/>
    <x v="16"/>
    <x v="27"/>
    <x v="32"/>
    <x v="0"/>
    <x v="0"/>
    <x v="3"/>
    <n v="1"/>
    <n v="4"/>
    <n v="2"/>
    <x v="5"/>
    <n v="7"/>
    <x v="0"/>
    <s v="Detractor"/>
    <m/>
  </r>
  <r>
    <x v="559"/>
    <x v="1"/>
    <x v="1"/>
    <x v="25"/>
    <x v="2"/>
    <x v="2"/>
    <x v="2"/>
    <x v="1"/>
    <x v="2"/>
    <x v="2"/>
    <s v=""/>
    <s v=""/>
    <s v=""/>
    <x v="2"/>
    <m/>
    <x v="0"/>
    <s v="Detractor"/>
    <m/>
  </r>
  <r>
    <x v="560"/>
    <x v="3"/>
    <x v="0"/>
    <x v="24"/>
    <x v="17"/>
    <x v="23"/>
    <x v="19"/>
    <x v="0"/>
    <x v="0"/>
    <x v="3"/>
    <n v="3"/>
    <n v="3"/>
    <n v="5"/>
    <x v="5"/>
    <n v="11"/>
    <x v="0"/>
    <s v="Detractor"/>
    <m/>
  </r>
  <r>
    <x v="561"/>
    <x v="1"/>
    <x v="1"/>
    <x v="0"/>
    <x v="2"/>
    <x v="2"/>
    <x v="2"/>
    <x v="1"/>
    <x v="5"/>
    <x v="2"/>
    <s v=""/>
    <s v=""/>
    <s v=""/>
    <x v="2"/>
    <m/>
    <x v="0"/>
    <s v="Detractor"/>
    <m/>
  </r>
  <r>
    <x v="562"/>
    <x v="1"/>
    <x v="0"/>
    <x v="27"/>
    <x v="18"/>
    <x v="27"/>
    <x v="32"/>
    <x v="0"/>
    <x v="0"/>
    <x v="20"/>
    <n v="1"/>
    <n v="2"/>
    <n v="2"/>
    <x v="10"/>
    <n v="5"/>
    <x v="0"/>
    <s v="Detractor"/>
    <m/>
  </r>
  <r>
    <x v="563"/>
    <x v="3"/>
    <x v="2"/>
    <x v="20"/>
    <x v="34"/>
    <x v="4"/>
    <x v="23"/>
    <x v="0"/>
    <x v="0"/>
    <x v="16"/>
    <n v="3"/>
    <n v="2"/>
    <n v="5"/>
    <x v="9"/>
    <n v="10"/>
    <x v="0"/>
    <s v="Detractor"/>
    <m/>
  </r>
  <r>
    <x v="564"/>
    <x v="2"/>
    <x v="0"/>
    <x v="30"/>
    <x v="20"/>
    <x v="17"/>
    <x v="12"/>
    <x v="0"/>
    <x v="0"/>
    <x v="12"/>
    <n v="2"/>
    <n v="3"/>
    <n v="6"/>
    <x v="8"/>
    <n v="11"/>
    <x v="0"/>
    <s v="Detractor"/>
    <m/>
  </r>
  <r>
    <x v="565"/>
    <x v="2"/>
    <x v="2"/>
    <x v="24"/>
    <x v="27"/>
    <x v="30"/>
    <x v="16"/>
    <x v="0"/>
    <x v="0"/>
    <x v="32"/>
    <n v="1"/>
    <n v="2"/>
    <n v="6"/>
    <x v="7"/>
    <n v="9"/>
    <x v="0"/>
    <s v="Detractor"/>
    <m/>
  </r>
  <r>
    <x v="566"/>
    <x v="1"/>
    <x v="2"/>
    <x v="15"/>
    <x v="23"/>
    <x v="10"/>
    <x v="34"/>
    <x v="0"/>
    <x v="0"/>
    <x v="44"/>
    <n v="5"/>
    <n v="4"/>
    <n v="2"/>
    <x v="9"/>
    <n v="11"/>
    <x v="0"/>
    <s v="Detractor"/>
    <m/>
  </r>
  <r>
    <x v="567"/>
    <x v="1"/>
    <x v="1"/>
    <x v="25"/>
    <x v="2"/>
    <x v="2"/>
    <x v="2"/>
    <x v="1"/>
    <x v="5"/>
    <x v="2"/>
    <s v=""/>
    <s v=""/>
    <s v=""/>
    <x v="2"/>
    <m/>
    <x v="0"/>
    <s v="Detractor"/>
    <m/>
  </r>
  <r>
    <x v="568"/>
    <x v="2"/>
    <x v="0"/>
    <x v="4"/>
    <x v="7"/>
    <x v="24"/>
    <x v="1"/>
    <x v="0"/>
    <x v="0"/>
    <x v="32"/>
    <n v="3"/>
    <n v="5"/>
    <n v="4"/>
    <x v="3"/>
    <n v="12"/>
    <x v="0"/>
    <s v="Promoter"/>
    <m/>
  </r>
  <r>
    <x v="569"/>
    <x v="3"/>
    <x v="0"/>
    <x v="7"/>
    <x v="13"/>
    <x v="5"/>
    <x v="6"/>
    <x v="0"/>
    <x v="0"/>
    <x v="36"/>
    <n v="2"/>
    <n v="2"/>
    <n v="7"/>
    <x v="8"/>
    <n v="11"/>
    <x v="0"/>
    <s v="Detractor"/>
    <m/>
  </r>
  <r>
    <x v="570"/>
    <x v="1"/>
    <x v="2"/>
    <x v="22"/>
    <x v="25"/>
    <x v="15"/>
    <x v="13"/>
    <x v="0"/>
    <x v="0"/>
    <x v="44"/>
    <n v="1"/>
    <n v="4"/>
    <n v="7"/>
    <x v="3"/>
    <n v="12"/>
    <x v="0"/>
    <s v="Promoter"/>
    <m/>
  </r>
  <r>
    <x v="571"/>
    <x v="0"/>
    <x v="0"/>
    <x v="0"/>
    <x v="9"/>
    <x v="0"/>
    <x v="18"/>
    <x v="0"/>
    <x v="0"/>
    <x v="23"/>
    <n v="3"/>
    <n v="5"/>
    <n v="7"/>
    <x v="0"/>
    <n v="15"/>
    <x v="0"/>
    <s v="Detractor"/>
    <m/>
  </r>
  <r>
    <x v="572"/>
    <x v="3"/>
    <x v="2"/>
    <x v="12"/>
    <x v="28"/>
    <x v="31"/>
    <x v="4"/>
    <x v="0"/>
    <x v="0"/>
    <x v="13"/>
    <n v="5"/>
    <n v="3"/>
    <n v="7"/>
    <x v="10"/>
    <n v="15"/>
    <x v="0"/>
    <s v="Detractor"/>
    <m/>
  </r>
  <r>
    <x v="573"/>
    <x v="1"/>
    <x v="2"/>
    <x v="3"/>
    <x v="4"/>
    <x v="22"/>
    <x v="13"/>
    <x v="0"/>
    <x v="0"/>
    <x v="52"/>
    <n v="3"/>
    <n v="3"/>
    <n v="3"/>
    <x v="11"/>
    <n v="9"/>
    <x v="0"/>
    <s v="Passive"/>
    <m/>
  </r>
  <r>
    <x v="574"/>
    <x v="1"/>
    <x v="0"/>
    <x v="7"/>
    <x v="13"/>
    <x v="13"/>
    <x v="28"/>
    <x v="0"/>
    <x v="0"/>
    <x v="5"/>
    <n v="2"/>
    <n v="4"/>
    <n v="2"/>
    <x v="6"/>
    <n v="8"/>
    <x v="0"/>
    <s v="Detractor"/>
    <m/>
  </r>
  <r>
    <x v="575"/>
    <x v="0"/>
    <x v="2"/>
    <x v="11"/>
    <x v="22"/>
    <x v="16"/>
    <x v="7"/>
    <x v="0"/>
    <x v="0"/>
    <x v="8"/>
    <n v="4"/>
    <n v="4"/>
    <n v="2"/>
    <x v="4"/>
    <n v="10"/>
    <x v="0"/>
    <s v="Promoter"/>
    <m/>
  </r>
  <r>
    <x v="576"/>
    <x v="0"/>
    <x v="0"/>
    <x v="14"/>
    <x v="21"/>
    <x v="23"/>
    <x v="12"/>
    <x v="0"/>
    <x v="0"/>
    <x v="17"/>
    <n v="4"/>
    <n v="4"/>
    <n v="7"/>
    <x v="11"/>
    <n v="15"/>
    <x v="0"/>
    <s v="Passive"/>
    <m/>
  </r>
  <r>
    <x v="577"/>
    <x v="2"/>
    <x v="2"/>
    <x v="12"/>
    <x v="0"/>
    <x v="18"/>
    <x v="9"/>
    <x v="0"/>
    <x v="0"/>
    <x v="10"/>
    <n v="2"/>
    <n v="2"/>
    <n v="3"/>
    <x v="9"/>
    <n v="7"/>
    <x v="0"/>
    <s v="Detractor"/>
    <m/>
  </r>
  <r>
    <x v="578"/>
    <x v="3"/>
    <x v="2"/>
    <x v="30"/>
    <x v="20"/>
    <x v="17"/>
    <x v="31"/>
    <x v="0"/>
    <x v="0"/>
    <x v="22"/>
    <n v="2"/>
    <n v="3"/>
    <n v="7"/>
    <x v="5"/>
    <n v="12"/>
    <x v="0"/>
    <s v="Detractor"/>
    <m/>
  </r>
  <r>
    <x v="579"/>
    <x v="3"/>
    <x v="2"/>
    <x v="26"/>
    <x v="11"/>
    <x v="12"/>
    <x v="0"/>
    <x v="0"/>
    <x v="0"/>
    <x v="0"/>
    <n v="1"/>
    <n v="2"/>
    <n v="2"/>
    <x v="3"/>
    <n v="5"/>
    <x v="1"/>
    <s v="Promoter"/>
    <m/>
  </r>
  <r>
    <x v="580"/>
    <x v="2"/>
    <x v="0"/>
    <x v="2"/>
    <x v="6"/>
    <x v="36"/>
    <x v="30"/>
    <x v="0"/>
    <x v="0"/>
    <x v="45"/>
    <n v="4"/>
    <n v="2"/>
    <n v="3"/>
    <x v="5"/>
    <n v="9"/>
    <x v="0"/>
    <s v="Detractor"/>
    <m/>
  </r>
  <r>
    <x v="581"/>
    <x v="3"/>
    <x v="0"/>
    <x v="31"/>
    <x v="33"/>
    <x v="5"/>
    <x v="38"/>
    <x v="0"/>
    <x v="0"/>
    <x v="15"/>
    <n v="1"/>
    <n v="5"/>
    <n v="5"/>
    <x v="9"/>
    <n v="11"/>
    <x v="0"/>
    <s v="Detractor"/>
    <m/>
  </r>
  <r>
    <x v="582"/>
    <x v="3"/>
    <x v="0"/>
    <x v="1"/>
    <x v="1"/>
    <x v="11"/>
    <x v="31"/>
    <x v="0"/>
    <x v="0"/>
    <x v="17"/>
    <n v="3"/>
    <n v="4"/>
    <n v="4"/>
    <x v="10"/>
    <n v="11"/>
    <x v="0"/>
    <s v="Detractor"/>
    <m/>
  </r>
  <r>
    <x v="583"/>
    <x v="3"/>
    <x v="0"/>
    <x v="19"/>
    <x v="28"/>
    <x v="15"/>
    <x v="18"/>
    <x v="0"/>
    <x v="0"/>
    <x v="16"/>
    <n v="2"/>
    <n v="2"/>
    <n v="6"/>
    <x v="7"/>
    <n v="10"/>
    <x v="0"/>
    <s v="Detractor"/>
    <m/>
  </r>
  <r>
    <x v="584"/>
    <x v="3"/>
    <x v="0"/>
    <x v="31"/>
    <x v="33"/>
    <x v="5"/>
    <x v="25"/>
    <x v="1"/>
    <x v="3"/>
    <x v="2"/>
    <n v="1"/>
    <n v="5"/>
    <n v="6"/>
    <x v="2"/>
    <n v="12"/>
    <x v="0"/>
    <s v="Detractor"/>
    <m/>
  </r>
  <r>
    <x v="585"/>
    <x v="3"/>
    <x v="2"/>
    <x v="30"/>
    <x v="20"/>
    <x v="21"/>
    <x v="22"/>
    <x v="0"/>
    <x v="0"/>
    <x v="17"/>
    <n v="2"/>
    <n v="1"/>
    <n v="7"/>
    <x v="7"/>
    <n v="10"/>
    <x v="0"/>
    <s v="Detractor"/>
    <m/>
  </r>
  <r>
    <x v="586"/>
    <x v="0"/>
    <x v="0"/>
    <x v="9"/>
    <x v="19"/>
    <x v="11"/>
    <x v="31"/>
    <x v="0"/>
    <x v="0"/>
    <x v="17"/>
    <n v="1"/>
    <n v="5"/>
    <n v="4"/>
    <x v="1"/>
    <n v="10"/>
    <x v="0"/>
    <s v="Passive"/>
    <m/>
  </r>
  <r>
    <x v="587"/>
    <x v="3"/>
    <x v="1"/>
    <x v="9"/>
    <x v="2"/>
    <x v="2"/>
    <x v="2"/>
    <x v="1"/>
    <x v="3"/>
    <x v="2"/>
    <s v=""/>
    <s v=""/>
    <s v=""/>
    <x v="2"/>
    <m/>
    <x v="0"/>
    <s v="Detractor"/>
    <m/>
  </r>
  <r>
    <x v="588"/>
    <x v="0"/>
    <x v="0"/>
    <x v="4"/>
    <x v="7"/>
    <x v="11"/>
    <x v="12"/>
    <x v="1"/>
    <x v="5"/>
    <x v="2"/>
    <n v="3"/>
    <n v="1"/>
    <n v="3"/>
    <x v="2"/>
    <n v="7"/>
    <x v="0"/>
    <s v="Detractor"/>
    <m/>
  </r>
  <r>
    <x v="589"/>
    <x v="3"/>
    <x v="0"/>
    <x v="13"/>
    <x v="30"/>
    <x v="37"/>
    <x v="38"/>
    <x v="0"/>
    <x v="0"/>
    <x v="38"/>
    <n v="3"/>
    <n v="1"/>
    <n v="4"/>
    <x v="3"/>
    <n v="8"/>
    <x v="0"/>
    <s v="Promoter"/>
    <m/>
  </r>
  <r>
    <x v="590"/>
    <x v="2"/>
    <x v="1"/>
    <x v="24"/>
    <x v="2"/>
    <x v="2"/>
    <x v="2"/>
    <x v="1"/>
    <x v="4"/>
    <x v="2"/>
    <s v=""/>
    <s v=""/>
    <s v=""/>
    <x v="2"/>
    <m/>
    <x v="0"/>
    <s v="Detractor"/>
    <m/>
  </r>
  <r>
    <x v="591"/>
    <x v="1"/>
    <x v="0"/>
    <x v="16"/>
    <x v="31"/>
    <x v="16"/>
    <x v="1"/>
    <x v="0"/>
    <x v="0"/>
    <x v="49"/>
    <n v="5"/>
    <n v="1"/>
    <n v="3"/>
    <x v="6"/>
    <n v="9"/>
    <x v="0"/>
    <s v="Detractor"/>
    <m/>
  </r>
  <r>
    <x v="592"/>
    <x v="0"/>
    <x v="2"/>
    <x v="4"/>
    <x v="3"/>
    <x v="1"/>
    <x v="1"/>
    <x v="1"/>
    <x v="1"/>
    <x v="2"/>
    <n v="4"/>
    <n v="1"/>
    <n v="7"/>
    <x v="2"/>
    <n v="12"/>
    <x v="0"/>
    <s v="Detractor"/>
    <m/>
  </r>
  <r>
    <x v="593"/>
    <x v="3"/>
    <x v="0"/>
    <x v="23"/>
    <x v="9"/>
    <x v="8"/>
    <x v="17"/>
    <x v="0"/>
    <x v="0"/>
    <x v="27"/>
    <n v="5"/>
    <n v="4"/>
    <n v="4"/>
    <x v="11"/>
    <n v="13"/>
    <x v="0"/>
    <s v="Passive"/>
    <m/>
  </r>
  <r>
    <x v="594"/>
    <x v="2"/>
    <x v="0"/>
    <x v="27"/>
    <x v="25"/>
    <x v="8"/>
    <x v="34"/>
    <x v="0"/>
    <x v="0"/>
    <x v="8"/>
    <n v="4"/>
    <n v="2"/>
    <n v="7"/>
    <x v="0"/>
    <n v="13"/>
    <x v="0"/>
    <s v="Detractor"/>
    <m/>
  </r>
  <r>
    <x v="595"/>
    <x v="1"/>
    <x v="0"/>
    <x v="19"/>
    <x v="23"/>
    <x v="31"/>
    <x v="26"/>
    <x v="0"/>
    <x v="0"/>
    <x v="10"/>
    <n v="3"/>
    <n v="2"/>
    <n v="2"/>
    <x v="1"/>
    <n v="7"/>
    <x v="0"/>
    <s v="Passive"/>
    <m/>
  </r>
  <r>
    <x v="596"/>
    <x v="0"/>
    <x v="0"/>
    <x v="14"/>
    <x v="15"/>
    <x v="5"/>
    <x v="30"/>
    <x v="1"/>
    <x v="1"/>
    <x v="2"/>
    <n v="1"/>
    <n v="1"/>
    <n v="2"/>
    <x v="2"/>
    <n v="4"/>
    <x v="0"/>
    <s v="Detractor"/>
    <m/>
  </r>
  <r>
    <x v="597"/>
    <x v="1"/>
    <x v="0"/>
    <x v="14"/>
    <x v="30"/>
    <x v="13"/>
    <x v="25"/>
    <x v="0"/>
    <x v="0"/>
    <x v="46"/>
    <n v="2"/>
    <n v="2"/>
    <n v="4"/>
    <x v="9"/>
    <n v="8"/>
    <x v="0"/>
    <s v="Detractor"/>
    <m/>
  </r>
  <r>
    <x v="598"/>
    <x v="2"/>
    <x v="0"/>
    <x v="14"/>
    <x v="27"/>
    <x v="13"/>
    <x v="6"/>
    <x v="0"/>
    <x v="0"/>
    <x v="5"/>
    <n v="3"/>
    <n v="1"/>
    <n v="5"/>
    <x v="10"/>
    <n v="9"/>
    <x v="0"/>
    <s v="Detractor"/>
    <m/>
  </r>
  <r>
    <x v="599"/>
    <x v="0"/>
    <x v="0"/>
    <x v="25"/>
    <x v="13"/>
    <x v="5"/>
    <x v="28"/>
    <x v="0"/>
    <x v="0"/>
    <x v="29"/>
    <n v="3"/>
    <n v="2"/>
    <n v="4"/>
    <x v="8"/>
    <n v="9"/>
    <x v="0"/>
    <s v="Detractor"/>
    <m/>
  </r>
  <r>
    <x v="600"/>
    <x v="1"/>
    <x v="1"/>
    <x v="18"/>
    <x v="2"/>
    <x v="2"/>
    <x v="2"/>
    <x v="1"/>
    <x v="5"/>
    <x v="2"/>
    <s v=""/>
    <s v=""/>
    <s v=""/>
    <x v="2"/>
    <m/>
    <x v="0"/>
    <s v="Detractor"/>
    <m/>
  </r>
  <r>
    <x v="601"/>
    <x v="3"/>
    <x v="0"/>
    <x v="3"/>
    <x v="23"/>
    <x v="22"/>
    <x v="23"/>
    <x v="0"/>
    <x v="0"/>
    <x v="24"/>
    <n v="1"/>
    <n v="5"/>
    <n v="6"/>
    <x v="9"/>
    <n v="12"/>
    <x v="0"/>
    <s v="Detractor"/>
    <m/>
  </r>
  <r>
    <x v="602"/>
    <x v="0"/>
    <x v="2"/>
    <x v="28"/>
    <x v="24"/>
    <x v="6"/>
    <x v="31"/>
    <x v="0"/>
    <x v="0"/>
    <x v="24"/>
    <n v="3"/>
    <n v="4"/>
    <n v="2"/>
    <x v="1"/>
    <n v="9"/>
    <x v="0"/>
    <s v="Passive"/>
    <m/>
  </r>
  <r>
    <x v="603"/>
    <x v="1"/>
    <x v="0"/>
    <x v="18"/>
    <x v="18"/>
    <x v="26"/>
    <x v="9"/>
    <x v="0"/>
    <x v="0"/>
    <x v="31"/>
    <n v="3"/>
    <n v="3"/>
    <n v="4"/>
    <x v="5"/>
    <n v="10"/>
    <x v="0"/>
    <s v="Detractor"/>
    <m/>
  </r>
  <r>
    <x v="604"/>
    <x v="2"/>
    <x v="2"/>
    <x v="27"/>
    <x v="18"/>
    <x v="28"/>
    <x v="24"/>
    <x v="0"/>
    <x v="0"/>
    <x v="24"/>
    <n v="1"/>
    <n v="1"/>
    <n v="7"/>
    <x v="3"/>
    <n v="9"/>
    <x v="0"/>
    <s v="Promoter"/>
    <m/>
  </r>
  <r>
    <x v="605"/>
    <x v="2"/>
    <x v="0"/>
    <x v="24"/>
    <x v="17"/>
    <x v="20"/>
    <x v="31"/>
    <x v="0"/>
    <x v="0"/>
    <x v="4"/>
    <n v="3"/>
    <n v="5"/>
    <n v="6"/>
    <x v="9"/>
    <n v="14"/>
    <x v="0"/>
    <s v="Detractor"/>
    <m/>
  </r>
  <r>
    <x v="606"/>
    <x v="0"/>
    <x v="0"/>
    <x v="6"/>
    <x v="5"/>
    <x v="27"/>
    <x v="17"/>
    <x v="0"/>
    <x v="0"/>
    <x v="11"/>
    <n v="4"/>
    <n v="5"/>
    <n v="7"/>
    <x v="0"/>
    <n v="16"/>
    <x v="0"/>
    <s v="Detractor"/>
    <m/>
  </r>
  <r>
    <x v="607"/>
    <x v="1"/>
    <x v="2"/>
    <x v="20"/>
    <x v="35"/>
    <x v="38"/>
    <x v="23"/>
    <x v="0"/>
    <x v="0"/>
    <x v="47"/>
    <n v="4"/>
    <n v="4"/>
    <n v="2"/>
    <x v="8"/>
    <n v="10"/>
    <x v="0"/>
    <s v="Detractor"/>
    <m/>
  </r>
  <r>
    <x v="608"/>
    <x v="0"/>
    <x v="0"/>
    <x v="23"/>
    <x v="18"/>
    <x v="18"/>
    <x v="17"/>
    <x v="0"/>
    <x v="0"/>
    <x v="23"/>
    <n v="4"/>
    <n v="4"/>
    <n v="5"/>
    <x v="6"/>
    <n v="13"/>
    <x v="0"/>
    <s v="Detractor"/>
    <m/>
  </r>
  <r>
    <x v="609"/>
    <x v="0"/>
    <x v="2"/>
    <x v="13"/>
    <x v="27"/>
    <x v="13"/>
    <x v="6"/>
    <x v="0"/>
    <x v="0"/>
    <x v="39"/>
    <n v="4"/>
    <n v="1"/>
    <n v="5"/>
    <x v="10"/>
    <n v="10"/>
    <x v="0"/>
    <s v="Detractor"/>
    <m/>
  </r>
  <r>
    <x v="610"/>
    <x v="1"/>
    <x v="2"/>
    <x v="24"/>
    <x v="17"/>
    <x v="14"/>
    <x v="27"/>
    <x v="0"/>
    <x v="0"/>
    <x v="4"/>
    <n v="3"/>
    <n v="1"/>
    <n v="6"/>
    <x v="10"/>
    <n v="10"/>
    <x v="0"/>
    <s v="Detractor"/>
    <m/>
  </r>
  <r>
    <x v="611"/>
    <x v="1"/>
    <x v="0"/>
    <x v="11"/>
    <x v="7"/>
    <x v="24"/>
    <x v="1"/>
    <x v="0"/>
    <x v="0"/>
    <x v="10"/>
    <n v="2"/>
    <n v="5"/>
    <n v="4"/>
    <x v="0"/>
    <n v="11"/>
    <x v="0"/>
    <s v="Detractor"/>
    <m/>
  </r>
  <r>
    <x v="612"/>
    <x v="3"/>
    <x v="0"/>
    <x v="0"/>
    <x v="0"/>
    <x v="15"/>
    <x v="17"/>
    <x v="0"/>
    <x v="0"/>
    <x v="8"/>
    <n v="4"/>
    <n v="5"/>
    <n v="2"/>
    <x v="1"/>
    <n v="11"/>
    <x v="0"/>
    <s v="Passive"/>
    <m/>
  </r>
  <r>
    <x v="613"/>
    <x v="1"/>
    <x v="1"/>
    <x v="17"/>
    <x v="2"/>
    <x v="2"/>
    <x v="2"/>
    <x v="1"/>
    <x v="5"/>
    <x v="2"/>
    <s v=""/>
    <s v=""/>
    <s v=""/>
    <x v="2"/>
    <m/>
    <x v="0"/>
    <s v="Detractor"/>
    <m/>
  </r>
  <r>
    <x v="614"/>
    <x v="2"/>
    <x v="0"/>
    <x v="11"/>
    <x v="22"/>
    <x v="16"/>
    <x v="5"/>
    <x v="0"/>
    <x v="0"/>
    <x v="12"/>
    <n v="4"/>
    <n v="4"/>
    <n v="5"/>
    <x v="5"/>
    <n v="13"/>
    <x v="0"/>
    <s v="Detractor"/>
    <m/>
  </r>
  <r>
    <x v="615"/>
    <x v="0"/>
    <x v="0"/>
    <x v="17"/>
    <x v="20"/>
    <x v="21"/>
    <x v="19"/>
    <x v="0"/>
    <x v="0"/>
    <x v="34"/>
    <n v="3"/>
    <n v="1"/>
    <n v="6"/>
    <x v="5"/>
    <n v="10"/>
    <x v="0"/>
    <s v="Detractor"/>
    <m/>
  </r>
  <r>
    <x v="616"/>
    <x v="0"/>
    <x v="0"/>
    <x v="27"/>
    <x v="12"/>
    <x v="8"/>
    <x v="24"/>
    <x v="0"/>
    <x v="0"/>
    <x v="0"/>
    <n v="5"/>
    <n v="1"/>
    <n v="3"/>
    <x v="9"/>
    <n v="9"/>
    <x v="0"/>
    <s v="Detractor"/>
    <m/>
  </r>
  <r>
    <x v="617"/>
    <x v="2"/>
    <x v="2"/>
    <x v="2"/>
    <x v="26"/>
    <x v="37"/>
    <x v="38"/>
    <x v="0"/>
    <x v="0"/>
    <x v="5"/>
    <n v="3"/>
    <n v="5"/>
    <n v="4"/>
    <x v="8"/>
    <n v="12"/>
    <x v="0"/>
    <s v="Detractor"/>
    <m/>
  </r>
  <r>
    <x v="618"/>
    <x v="1"/>
    <x v="1"/>
    <x v="26"/>
    <x v="2"/>
    <x v="2"/>
    <x v="2"/>
    <x v="1"/>
    <x v="5"/>
    <x v="2"/>
    <s v=""/>
    <s v=""/>
    <s v=""/>
    <x v="2"/>
    <m/>
    <x v="0"/>
    <s v="Detractor"/>
    <m/>
  </r>
  <r>
    <x v="619"/>
    <x v="2"/>
    <x v="0"/>
    <x v="19"/>
    <x v="12"/>
    <x v="15"/>
    <x v="26"/>
    <x v="1"/>
    <x v="4"/>
    <x v="2"/>
    <n v="1"/>
    <n v="3"/>
    <n v="3"/>
    <x v="2"/>
    <n v="7"/>
    <x v="0"/>
    <s v="Detractor"/>
    <m/>
  </r>
  <r>
    <x v="620"/>
    <x v="2"/>
    <x v="0"/>
    <x v="11"/>
    <x v="22"/>
    <x v="28"/>
    <x v="5"/>
    <x v="1"/>
    <x v="3"/>
    <x v="2"/>
    <n v="4"/>
    <n v="5"/>
    <n v="4"/>
    <x v="2"/>
    <n v="13"/>
    <x v="0"/>
    <s v="Detractor"/>
    <m/>
  </r>
  <r>
    <x v="621"/>
    <x v="3"/>
    <x v="2"/>
    <x v="26"/>
    <x v="11"/>
    <x v="10"/>
    <x v="34"/>
    <x v="0"/>
    <x v="0"/>
    <x v="24"/>
    <n v="1"/>
    <n v="3"/>
    <n v="2"/>
    <x v="5"/>
    <n v="6"/>
    <x v="0"/>
    <s v="Detractor"/>
    <m/>
  </r>
  <r>
    <x v="622"/>
    <x v="2"/>
    <x v="0"/>
    <x v="30"/>
    <x v="1"/>
    <x v="17"/>
    <x v="12"/>
    <x v="0"/>
    <x v="0"/>
    <x v="5"/>
    <n v="4"/>
    <n v="1"/>
    <n v="6"/>
    <x v="3"/>
    <n v="11"/>
    <x v="0"/>
    <s v="Promoter"/>
    <m/>
  </r>
  <r>
    <x v="623"/>
    <x v="0"/>
    <x v="0"/>
    <x v="27"/>
    <x v="12"/>
    <x v="12"/>
    <x v="11"/>
    <x v="0"/>
    <x v="0"/>
    <x v="49"/>
    <n v="5"/>
    <n v="5"/>
    <n v="7"/>
    <x v="1"/>
    <n v="17"/>
    <x v="0"/>
    <s v="Passive"/>
    <m/>
  </r>
  <r>
    <x v="624"/>
    <x v="2"/>
    <x v="1"/>
    <x v="21"/>
    <x v="2"/>
    <x v="2"/>
    <x v="2"/>
    <x v="1"/>
    <x v="5"/>
    <x v="2"/>
    <s v=""/>
    <s v=""/>
    <s v=""/>
    <x v="2"/>
    <m/>
    <x v="0"/>
    <s v="Detractor"/>
    <m/>
  </r>
  <r>
    <x v="625"/>
    <x v="0"/>
    <x v="2"/>
    <x v="14"/>
    <x v="30"/>
    <x v="14"/>
    <x v="19"/>
    <x v="0"/>
    <x v="0"/>
    <x v="20"/>
    <n v="2"/>
    <n v="4"/>
    <n v="7"/>
    <x v="6"/>
    <n v="13"/>
    <x v="0"/>
    <s v="Detractor"/>
    <m/>
  </r>
  <r>
    <x v="626"/>
    <x v="0"/>
    <x v="0"/>
    <x v="25"/>
    <x v="30"/>
    <x v="13"/>
    <x v="28"/>
    <x v="0"/>
    <x v="0"/>
    <x v="11"/>
    <n v="5"/>
    <n v="2"/>
    <n v="2"/>
    <x v="10"/>
    <n v="9"/>
    <x v="0"/>
    <s v="Detractor"/>
    <m/>
  </r>
  <r>
    <x v="627"/>
    <x v="0"/>
    <x v="1"/>
    <x v="11"/>
    <x v="2"/>
    <x v="2"/>
    <x v="2"/>
    <x v="1"/>
    <x v="5"/>
    <x v="2"/>
    <s v=""/>
    <s v=""/>
    <s v=""/>
    <x v="2"/>
    <m/>
    <x v="0"/>
    <s v="Detractor"/>
    <m/>
  </r>
  <r>
    <x v="628"/>
    <x v="1"/>
    <x v="0"/>
    <x v="8"/>
    <x v="35"/>
    <x v="4"/>
    <x v="4"/>
    <x v="1"/>
    <x v="2"/>
    <x v="2"/>
    <n v="3"/>
    <n v="1"/>
    <n v="3"/>
    <x v="2"/>
    <n v="7"/>
    <x v="0"/>
    <s v="Detractor"/>
    <m/>
  </r>
  <r>
    <x v="629"/>
    <x v="3"/>
    <x v="0"/>
    <x v="9"/>
    <x v="14"/>
    <x v="20"/>
    <x v="15"/>
    <x v="0"/>
    <x v="0"/>
    <x v="14"/>
    <n v="3"/>
    <n v="1"/>
    <n v="7"/>
    <x v="9"/>
    <n v="11"/>
    <x v="0"/>
    <s v="Detractor"/>
    <m/>
  </r>
  <r>
    <x v="630"/>
    <x v="0"/>
    <x v="2"/>
    <x v="23"/>
    <x v="5"/>
    <x v="27"/>
    <x v="24"/>
    <x v="0"/>
    <x v="0"/>
    <x v="31"/>
    <n v="1"/>
    <n v="5"/>
    <n v="6"/>
    <x v="10"/>
    <n v="12"/>
    <x v="0"/>
    <s v="Detractor"/>
    <m/>
  </r>
  <r>
    <x v="631"/>
    <x v="0"/>
    <x v="1"/>
    <x v="30"/>
    <x v="2"/>
    <x v="2"/>
    <x v="2"/>
    <x v="1"/>
    <x v="4"/>
    <x v="2"/>
    <s v=""/>
    <s v=""/>
    <s v=""/>
    <x v="2"/>
    <m/>
    <x v="0"/>
    <s v="Detractor"/>
    <m/>
  </r>
  <r>
    <x v="632"/>
    <x v="1"/>
    <x v="2"/>
    <x v="0"/>
    <x v="31"/>
    <x v="28"/>
    <x v="1"/>
    <x v="0"/>
    <x v="0"/>
    <x v="31"/>
    <n v="1"/>
    <n v="2"/>
    <n v="2"/>
    <x v="3"/>
    <n v="5"/>
    <x v="1"/>
    <s v="Promoter"/>
    <m/>
  </r>
  <r>
    <x v="633"/>
    <x v="0"/>
    <x v="0"/>
    <x v="8"/>
    <x v="35"/>
    <x v="7"/>
    <x v="4"/>
    <x v="0"/>
    <x v="0"/>
    <x v="23"/>
    <n v="3"/>
    <n v="2"/>
    <n v="2"/>
    <x v="9"/>
    <n v="7"/>
    <x v="0"/>
    <s v="Detractor"/>
    <m/>
  </r>
  <r>
    <x v="634"/>
    <x v="2"/>
    <x v="0"/>
    <x v="4"/>
    <x v="7"/>
    <x v="1"/>
    <x v="12"/>
    <x v="0"/>
    <x v="0"/>
    <x v="4"/>
    <n v="3"/>
    <n v="2"/>
    <n v="2"/>
    <x v="7"/>
    <n v="7"/>
    <x v="0"/>
    <s v="Detractor"/>
    <m/>
  </r>
  <r>
    <x v="635"/>
    <x v="2"/>
    <x v="2"/>
    <x v="12"/>
    <x v="25"/>
    <x v="31"/>
    <x v="0"/>
    <x v="1"/>
    <x v="5"/>
    <x v="2"/>
    <n v="3"/>
    <n v="5"/>
    <n v="3"/>
    <x v="2"/>
    <n v="11"/>
    <x v="0"/>
    <s v="Detractor"/>
    <m/>
  </r>
  <r>
    <x v="636"/>
    <x v="3"/>
    <x v="0"/>
    <x v="17"/>
    <x v="19"/>
    <x v="11"/>
    <x v="22"/>
    <x v="0"/>
    <x v="0"/>
    <x v="42"/>
    <n v="4"/>
    <n v="5"/>
    <n v="2"/>
    <x v="9"/>
    <n v="11"/>
    <x v="0"/>
    <s v="Detractor"/>
    <m/>
  </r>
  <r>
    <x v="637"/>
    <x v="0"/>
    <x v="2"/>
    <x v="11"/>
    <x v="5"/>
    <x v="16"/>
    <x v="5"/>
    <x v="0"/>
    <x v="0"/>
    <x v="3"/>
    <n v="5"/>
    <n v="3"/>
    <n v="5"/>
    <x v="0"/>
    <n v="13"/>
    <x v="0"/>
    <s v="Detractor"/>
    <m/>
  </r>
  <r>
    <x v="638"/>
    <x v="1"/>
    <x v="2"/>
    <x v="3"/>
    <x v="10"/>
    <x v="4"/>
    <x v="11"/>
    <x v="0"/>
    <x v="0"/>
    <x v="43"/>
    <n v="4"/>
    <n v="3"/>
    <n v="4"/>
    <x v="10"/>
    <n v="11"/>
    <x v="0"/>
    <s v="Detractor"/>
    <m/>
  </r>
  <r>
    <x v="639"/>
    <x v="2"/>
    <x v="0"/>
    <x v="30"/>
    <x v="20"/>
    <x v="17"/>
    <x v="22"/>
    <x v="0"/>
    <x v="0"/>
    <x v="15"/>
    <n v="2"/>
    <n v="3"/>
    <n v="5"/>
    <x v="1"/>
    <n v="10"/>
    <x v="0"/>
    <s v="Passive"/>
    <m/>
  </r>
  <r>
    <x v="640"/>
    <x v="1"/>
    <x v="1"/>
    <x v="29"/>
    <x v="2"/>
    <x v="2"/>
    <x v="2"/>
    <x v="1"/>
    <x v="2"/>
    <x v="2"/>
    <s v=""/>
    <s v=""/>
    <s v=""/>
    <x v="2"/>
    <m/>
    <x v="0"/>
    <s v="Detractor"/>
    <m/>
  </r>
  <r>
    <x v="641"/>
    <x v="1"/>
    <x v="0"/>
    <x v="28"/>
    <x v="7"/>
    <x v="3"/>
    <x v="3"/>
    <x v="0"/>
    <x v="0"/>
    <x v="10"/>
    <n v="4"/>
    <n v="4"/>
    <n v="3"/>
    <x v="3"/>
    <n v="11"/>
    <x v="0"/>
    <s v="Promoter"/>
    <m/>
  </r>
  <r>
    <x v="642"/>
    <x v="2"/>
    <x v="0"/>
    <x v="3"/>
    <x v="4"/>
    <x v="12"/>
    <x v="34"/>
    <x v="0"/>
    <x v="0"/>
    <x v="10"/>
    <n v="3"/>
    <n v="1"/>
    <n v="3"/>
    <x v="8"/>
    <n v="7"/>
    <x v="0"/>
    <s v="Detractor"/>
    <m/>
  </r>
  <r>
    <x v="643"/>
    <x v="1"/>
    <x v="2"/>
    <x v="6"/>
    <x v="5"/>
    <x v="16"/>
    <x v="7"/>
    <x v="0"/>
    <x v="0"/>
    <x v="3"/>
    <n v="4"/>
    <n v="3"/>
    <n v="2"/>
    <x v="8"/>
    <n v="9"/>
    <x v="0"/>
    <s v="Detractor"/>
    <m/>
  </r>
  <r>
    <x v="644"/>
    <x v="2"/>
    <x v="2"/>
    <x v="7"/>
    <x v="6"/>
    <x v="37"/>
    <x v="6"/>
    <x v="0"/>
    <x v="0"/>
    <x v="11"/>
    <n v="1"/>
    <n v="4"/>
    <n v="6"/>
    <x v="10"/>
    <n v="11"/>
    <x v="0"/>
    <s v="Detractor"/>
    <m/>
  </r>
  <r>
    <x v="645"/>
    <x v="1"/>
    <x v="2"/>
    <x v="24"/>
    <x v="17"/>
    <x v="17"/>
    <x v="31"/>
    <x v="0"/>
    <x v="0"/>
    <x v="18"/>
    <n v="3"/>
    <n v="4"/>
    <n v="7"/>
    <x v="6"/>
    <n v="14"/>
    <x v="0"/>
    <s v="Detractor"/>
    <m/>
  </r>
  <r>
    <x v="646"/>
    <x v="2"/>
    <x v="2"/>
    <x v="28"/>
    <x v="3"/>
    <x v="16"/>
    <x v="9"/>
    <x v="0"/>
    <x v="0"/>
    <x v="12"/>
    <n v="5"/>
    <n v="5"/>
    <n v="7"/>
    <x v="5"/>
    <n v="17"/>
    <x v="0"/>
    <s v="Detractor"/>
    <m/>
  </r>
  <r>
    <x v="647"/>
    <x v="0"/>
    <x v="0"/>
    <x v="23"/>
    <x v="18"/>
    <x v="27"/>
    <x v="17"/>
    <x v="0"/>
    <x v="0"/>
    <x v="27"/>
    <n v="4"/>
    <n v="2"/>
    <n v="7"/>
    <x v="7"/>
    <n v="13"/>
    <x v="0"/>
    <s v="Detractor"/>
    <m/>
  </r>
  <r>
    <x v="648"/>
    <x v="3"/>
    <x v="0"/>
    <x v="9"/>
    <x v="14"/>
    <x v="25"/>
    <x v="31"/>
    <x v="0"/>
    <x v="0"/>
    <x v="39"/>
    <n v="3"/>
    <n v="2"/>
    <n v="5"/>
    <x v="6"/>
    <n v="10"/>
    <x v="0"/>
    <s v="Detractor"/>
    <m/>
  </r>
  <r>
    <x v="649"/>
    <x v="2"/>
    <x v="0"/>
    <x v="23"/>
    <x v="5"/>
    <x v="16"/>
    <x v="1"/>
    <x v="1"/>
    <x v="1"/>
    <x v="2"/>
    <n v="1"/>
    <n v="3"/>
    <n v="3"/>
    <x v="2"/>
    <n v="7"/>
    <x v="0"/>
    <s v="Detractor"/>
    <m/>
  </r>
  <r>
    <x v="650"/>
    <x v="2"/>
    <x v="2"/>
    <x v="30"/>
    <x v="17"/>
    <x v="14"/>
    <x v="14"/>
    <x v="1"/>
    <x v="5"/>
    <x v="2"/>
    <n v="1"/>
    <n v="1"/>
    <n v="4"/>
    <x v="2"/>
    <n v="6"/>
    <x v="0"/>
    <s v="Detractor"/>
    <m/>
  </r>
  <r>
    <x v="651"/>
    <x v="3"/>
    <x v="0"/>
    <x v="12"/>
    <x v="12"/>
    <x v="8"/>
    <x v="24"/>
    <x v="1"/>
    <x v="5"/>
    <x v="2"/>
    <n v="4"/>
    <n v="1"/>
    <n v="3"/>
    <x v="2"/>
    <n v="8"/>
    <x v="0"/>
    <s v="Detractor"/>
    <m/>
  </r>
  <r>
    <x v="652"/>
    <x v="2"/>
    <x v="1"/>
    <x v="30"/>
    <x v="2"/>
    <x v="2"/>
    <x v="2"/>
    <x v="1"/>
    <x v="2"/>
    <x v="2"/>
    <s v=""/>
    <s v=""/>
    <s v=""/>
    <x v="2"/>
    <m/>
    <x v="0"/>
    <s v="Detractor"/>
    <m/>
  </r>
  <r>
    <x v="653"/>
    <x v="2"/>
    <x v="2"/>
    <x v="2"/>
    <x v="26"/>
    <x v="32"/>
    <x v="30"/>
    <x v="0"/>
    <x v="0"/>
    <x v="37"/>
    <n v="3"/>
    <n v="1"/>
    <n v="5"/>
    <x v="9"/>
    <n v="9"/>
    <x v="0"/>
    <s v="Detractor"/>
    <m/>
  </r>
  <r>
    <x v="654"/>
    <x v="1"/>
    <x v="1"/>
    <x v="5"/>
    <x v="2"/>
    <x v="2"/>
    <x v="2"/>
    <x v="1"/>
    <x v="4"/>
    <x v="2"/>
    <s v=""/>
    <s v=""/>
    <s v=""/>
    <x v="2"/>
    <m/>
    <x v="0"/>
    <s v="Detractor"/>
    <m/>
  </r>
  <r>
    <x v="655"/>
    <x v="3"/>
    <x v="1"/>
    <x v="27"/>
    <x v="2"/>
    <x v="2"/>
    <x v="2"/>
    <x v="1"/>
    <x v="5"/>
    <x v="2"/>
    <s v=""/>
    <s v=""/>
    <s v=""/>
    <x v="2"/>
    <m/>
    <x v="0"/>
    <s v="Detractor"/>
    <m/>
  </r>
  <r>
    <x v="656"/>
    <x v="0"/>
    <x v="2"/>
    <x v="28"/>
    <x v="3"/>
    <x v="24"/>
    <x v="21"/>
    <x v="0"/>
    <x v="0"/>
    <x v="12"/>
    <n v="5"/>
    <n v="4"/>
    <n v="7"/>
    <x v="0"/>
    <n v="16"/>
    <x v="0"/>
    <s v="Detractor"/>
    <m/>
  </r>
  <r>
    <x v="657"/>
    <x v="2"/>
    <x v="0"/>
    <x v="17"/>
    <x v="17"/>
    <x v="17"/>
    <x v="19"/>
    <x v="1"/>
    <x v="1"/>
    <x v="2"/>
    <n v="2"/>
    <n v="4"/>
    <n v="4"/>
    <x v="2"/>
    <n v="10"/>
    <x v="0"/>
    <s v="Detractor"/>
    <m/>
  </r>
  <r>
    <x v="658"/>
    <x v="3"/>
    <x v="0"/>
    <x v="2"/>
    <x v="29"/>
    <x v="29"/>
    <x v="30"/>
    <x v="1"/>
    <x v="5"/>
    <x v="2"/>
    <n v="1"/>
    <n v="4"/>
    <n v="4"/>
    <x v="2"/>
    <n v="9"/>
    <x v="0"/>
    <s v="Detractor"/>
    <m/>
  </r>
  <r>
    <x v="659"/>
    <x v="1"/>
    <x v="0"/>
    <x v="23"/>
    <x v="16"/>
    <x v="26"/>
    <x v="5"/>
    <x v="0"/>
    <x v="0"/>
    <x v="25"/>
    <n v="2"/>
    <n v="5"/>
    <n v="2"/>
    <x v="0"/>
    <n v="9"/>
    <x v="0"/>
    <s v="Detractor"/>
    <m/>
  </r>
  <r>
    <x v="660"/>
    <x v="0"/>
    <x v="0"/>
    <x v="3"/>
    <x v="34"/>
    <x v="9"/>
    <x v="39"/>
    <x v="0"/>
    <x v="0"/>
    <x v="27"/>
    <n v="5"/>
    <n v="4"/>
    <n v="6"/>
    <x v="10"/>
    <n v="15"/>
    <x v="0"/>
    <s v="Detractor"/>
    <m/>
  </r>
  <r>
    <x v="661"/>
    <x v="3"/>
    <x v="0"/>
    <x v="27"/>
    <x v="25"/>
    <x v="18"/>
    <x v="24"/>
    <x v="0"/>
    <x v="0"/>
    <x v="8"/>
    <n v="4"/>
    <n v="1"/>
    <n v="4"/>
    <x v="3"/>
    <n v="9"/>
    <x v="0"/>
    <s v="Promoter"/>
    <m/>
  </r>
  <r>
    <x v="662"/>
    <x v="0"/>
    <x v="0"/>
    <x v="22"/>
    <x v="25"/>
    <x v="18"/>
    <x v="21"/>
    <x v="0"/>
    <x v="0"/>
    <x v="10"/>
    <n v="1"/>
    <n v="1"/>
    <n v="2"/>
    <x v="7"/>
    <n v="4"/>
    <x v="0"/>
    <s v="Detractor"/>
    <m/>
  </r>
  <r>
    <x v="663"/>
    <x v="0"/>
    <x v="0"/>
    <x v="15"/>
    <x v="25"/>
    <x v="8"/>
    <x v="0"/>
    <x v="0"/>
    <x v="0"/>
    <x v="30"/>
    <n v="2"/>
    <n v="2"/>
    <n v="6"/>
    <x v="8"/>
    <n v="10"/>
    <x v="0"/>
    <s v="Detractor"/>
    <m/>
  </r>
  <r>
    <x v="664"/>
    <x v="0"/>
    <x v="0"/>
    <x v="31"/>
    <x v="33"/>
    <x v="34"/>
    <x v="42"/>
    <x v="0"/>
    <x v="0"/>
    <x v="29"/>
    <n v="1"/>
    <n v="1"/>
    <n v="7"/>
    <x v="3"/>
    <n v="9"/>
    <x v="0"/>
    <s v="Promoter"/>
    <m/>
  </r>
  <r>
    <x v="665"/>
    <x v="2"/>
    <x v="0"/>
    <x v="20"/>
    <x v="10"/>
    <x v="7"/>
    <x v="4"/>
    <x v="0"/>
    <x v="0"/>
    <x v="16"/>
    <n v="2"/>
    <n v="4"/>
    <n v="2"/>
    <x v="0"/>
    <n v="8"/>
    <x v="0"/>
    <s v="Detractor"/>
    <m/>
  </r>
  <r>
    <x v="666"/>
    <x v="2"/>
    <x v="0"/>
    <x v="18"/>
    <x v="18"/>
    <x v="18"/>
    <x v="9"/>
    <x v="0"/>
    <x v="0"/>
    <x v="10"/>
    <n v="3"/>
    <n v="4"/>
    <n v="3"/>
    <x v="11"/>
    <n v="10"/>
    <x v="0"/>
    <s v="Passive"/>
    <m/>
  </r>
  <r>
    <x v="667"/>
    <x v="1"/>
    <x v="0"/>
    <x v="15"/>
    <x v="12"/>
    <x v="15"/>
    <x v="26"/>
    <x v="0"/>
    <x v="0"/>
    <x v="23"/>
    <n v="3"/>
    <n v="3"/>
    <n v="3"/>
    <x v="6"/>
    <n v="9"/>
    <x v="0"/>
    <s v="Detractor"/>
    <m/>
  </r>
  <r>
    <x v="668"/>
    <x v="1"/>
    <x v="2"/>
    <x v="6"/>
    <x v="5"/>
    <x v="27"/>
    <x v="24"/>
    <x v="0"/>
    <x v="0"/>
    <x v="19"/>
    <n v="4"/>
    <n v="5"/>
    <n v="6"/>
    <x v="0"/>
    <n v="15"/>
    <x v="0"/>
    <s v="Detractor"/>
    <m/>
  </r>
  <r>
    <x v="669"/>
    <x v="3"/>
    <x v="2"/>
    <x v="5"/>
    <x v="10"/>
    <x v="10"/>
    <x v="34"/>
    <x v="1"/>
    <x v="1"/>
    <x v="2"/>
    <n v="5"/>
    <n v="1"/>
    <n v="2"/>
    <x v="2"/>
    <n v="8"/>
    <x v="0"/>
    <s v="Detractor"/>
    <m/>
  </r>
  <r>
    <x v="670"/>
    <x v="1"/>
    <x v="1"/>
    <x v="26"/>
    <x v="2"/>
    <x v="2"/>
    <x v="2"/>
    <x v="1"/>
    <x v="3"/>
    <x v="2"/>
    <s v=""/>
    <s v=""/>
    <s v=""/>
    <x v="2"/>
    <m/>
    <x v="0"/>
    <s v="Detractor"/>
    <m/>
  </r>
  <r>
    <x v="671"/>
    <x v="0"/>
    <x v="0"/>
    <x v="26"/>
    <x v="11"/>
    <x v="4"/>
    <x v="23"/>
    <x v="0"/>
    <x v="0"/>
    <x v="13"/>
    <n v="1"/>
    <n v="5"/>
    <n v="5"/>
    <x v="6"/>
    <n v="11"/>
    <x v="0"/>
    <s v="Detractor"/>
    <m/>
  </r>
  <r>
    <x v="672"/>
    <x v="0"/>
    <x v="2"/>
    <x v="30"/>
    <x v="14"/>
    <x v="20"/>
    <x v="27"/>
    <x v="0"/>
    <x v="0"/>
    <x v="29"/>
    <n v="5"/>
    <n v="1"/>
    <n v="2"/>
    <x v="5"/>
    <n v="8"/>
    <x v="0"/>
    <s v="Detractor"/>
    <m/>
  </r>
  <r>
    <x v="673"/>
    <x v="2"/>
    <x v="2"/>
    <x v="22"/>
    <x v="12"/>
    <x v="0"/>
    <x v="0"/>
    <x v="0"/>
    <x v="0"/>
    <x v="51"/>
    <n v="2"/>
    <n v="2"/>
    <n v="5"/>
    <x v="4"/>
    <n v="9"/>
    <x v="0"/>
    <s v="Promoter"/>
    <m/>
  </r>
  <r>
    <x v="674"/>
    <x v="0"/>
    <x v="2"/>
    <x v="19"/>
    <x v="11"/>
    <x v="12"/>
    <x v="18"/>
    <x v="0"/>
    <x v="0"/>
    <x v="51"/>
    <n v="4"/>
    <n v="2"/>
    <n v="4"/>
    <x v="1"/>
    <n v="10"/>
    <x v="0"/>
    <s v="Passive"/>
    <m/>
  </r>
  <r>
    <x v="675"/>
    <x v="3"/>
    <x v="1"/>
    <x v="24"/>
    <x v="2"/>
    <x v="2"/>
    <x v="2"/>
    <x v="1"/>
    <x v="3"/>
    <x v="2"/>
    <s v=""/>
    <s v=""/>
    <s v=""/>
    <x v="2"/>
    <m/>
    <x v="0"/>
    <s v="Detractor"/>
    <m/>
  </r>
  <r>
    <x v="676"/>
    <x v="0"/>
    <x v="0"/>
    <x v="18"/>
    <x v="18"/>
    <x v="8"/>
    <x v="17"/>
    <x v="0"/>
    <x v="0"/>
    <x v="21"/>
    <n v="3"/>
    <n v="5"/>
    <n v="4"/>
    <x v="4"/>
    <n v="12"/>
    <x v="0"/>
    <s v="Promoter"/>
    <m/>
  </r>
  <r>
    <x v="677"/>
    <x v="0"/>
    <x v="1"/>
    <x v="19"/>
    <x v="2"/>
    <x v="2"/>
    <x v="2"/>
    <x v="1"/>
    <x v="1"/>
    <x v="2"/>
    <s v=""/>
    <s v=""/>
    <s v=""/>
    <x v="2"/>
    <m/>
    <x v="0"/>
    <s v="Detractor"/>
    <m/>
  </r>
  <r>
    <x v="678"/>
    <x v="3"/>
    <x v="0"/>
    <x v="9"/>
    <x v="14"/>
    <x v="1"/>
    <x v="15"/>
    <x v="1"/>
    <x v="4"/>
    <x v="2"/>
    <n v="3"/>
    <n v="4"/>
    <n v="4"/>
    <x v="2"/>
    <n v="11"/>
    <x v="0"/>
    <s v="Detractor"/>
    <m/>
  </r>
  <r>
    <x v="679"/>
    <x v="1"/>
    <x v="0"/>
    <x v="24"/>
    <x v="20"/>
    <x v="17"/>
    <x v="16"/>
    <x v="0"/>
    <x v="0"/>
    <x v="20"/>
    <n v="4"/>
    <n v="3"/>
    <n v="2"/>
    <x v="4"/>
    <n v="9"/>
    <x v="0"/>
    <s v="Promoter"/>
    <m/>
  </r>
  <r>
    <x v="680"/>
    <x v="1"/>
    <x v="0"/>
    <x v="0"/>
    <x v="31"/>
    <x v="16"/>
    <x v="21"/>
    <x v="0"/>
    <x v="0"/>
    <x v="5"/>
    <n v="1"/>
    <n v="1"/>
    <n v="6"/>
    <x v="0"/>
    <n v="8"/>
    <x v="0"/>
    <s v="Detractor"/>
    <m/>
  </r>
  <r>
    <x v="681"/>
    <x v="3"/>
    <x v="0"/>
    <x v="29"/>
    <x v="20"/>
    <x v="21"/>
    <x v="27"/>
    <x v="0"/>
    <x v="0"/>
    <x v="3"/>
    <n v="5"/>
    <n v="1"/>
    <n v="5"/>
    <x v="3"/>
    <n v="11"/>
    <x v="0"/>
    <s v="Promoter"/>
    <m/>
  </r>
  <r>
    <x v="682"/>
    <x v="2"/>
    <x v="2"/>
    <x v="18"/>
    <x v="31"/>
    <x v="27"/>
    <x v="32"/>
    <x v="0"/>
    <x v="0"/>
    <x v="3"/>
    <n v="2"/>
    <n v="3"/>
    <n v="2"/>
    <x v="1"/>
    <n v="7"/>
    <x v="1"/>
    <s v="Passive"/>
    <m/>
  </r>
  <r>
    <x v="683"/>
    <x v="0"/>
    <x v="1"/>
    <x v="17"/>
    <x v="2"/>
    <x v="2"/>
    <x v="2"/>
    <x v="1"/>
    <x v="5"/>
    <x v="2"/>
    <s v=""/>
    <s v=""/>
    <s v=""/>
    <x v="2"/>
    <m/>
    <x v="0"/>
    <s v="Detractor"/>
    <m/>
  </r>
  <r>
    <x v="684"/>
    <x v="3"/>
    <x v="1"/>
    <x v="27"/>
    <x v="2"/>
    <x v="2"/>
    <x v="2"/>
    <x v="1"/>
    <x v="5"/>
    <x v="2"/>
    <s v=""/>
    <s v=""/>
    <s v=""/>
    <x v="2"/>
    <m/>
    <x v="0"/>
    <s v="Detractor"/>
    <m/>
  </r>
  <r>
    <x v="685"/>
    <x v="0"/>
    <x v="0"/>
    <x v="22"/>
    <x v="11"/>
    <x v="4"/>
    <x v="11"/>
    <x v="0"/>
    <x v="0"/>
    <x v="13"/>
    <n v="5"/>
    <n v="5"/>
    <n v="4"/>
    <x v="7"/>
    <n v="14"/>
    <x v="0"/>
    <s v="Detractor"/>
    <m/>
  </r>
  <r>
    <x v="686"/>
    <x v="2"/>
    <x v="1"/>
    <x v="15"/>
    <x v="2"/>
    <x v="2"/>
    <x v="2"/>
    <x v="1"/>
    <x v="3"/>
    <x v="2"/>
    <s v=""/>
    <s v=""/>
    <s v=""/>
    <x v="2"/>
    <m/>
    <x v="0"/>
    <s v="Detractor"/>
    <m/>
  </r>
  <r>
    <x v="687"/>
    <x v="0"/>
    <x v="1"/>
    <x v="22"/>
    <x v="2"/>
    <x v="2"/>
    <x v="2"/>
    <x v="1"/>
    <x v="1"/>
    <x v="2"/>
    <s v=""/>
    <s v=""/>
    <s v=""/>
    <x v="2"/>
    <m/>
    <x v="0"/>
    <s v="Detractor"/>
    <m/>
  </r>
  <r>
    <x v="688"/>
    <x v="3"/>
    <x v="0"/>
    <x v="27"/>
    <x v="0"/>
    <x v="15"/>
    <x v="26"/>
    <x v="0"/>
    <x v="0"/>
    <x v="20"/>
    <n v="3"/>
    <n v="5"/>
    <n v="3"/>
    <x v="7"/>
    <n v="11"/>
    <x v="0"/>
    <s v="Detractor"/>
    <m/>
  </r>
  <r>
    <x v="689"/>
    <x v="0"/>
    <x v="2"/>
    <x v="27"/>
    <x v="25"/>
    <x v="18"/>
    <x v="24"/>
    <x v="0"/>
    <x v="0"/>
    <x v="1"/>
    <n v="4"/>
    <n v="1"/>
    <n v="4"/>
    <x v="0"/>
    <n v="9"/>
    <x v="0"/>
    <s v="Detractor"/>
    <m/>
  </r>
  <r>
    <x v="690"/>
    <x v="1"/>
    <x v="0"/>
    <x v="5"/>
    <x v="11"/>
    <x v="12"/>
    <x v="4"/>
    <x v="0"/>
    <x v="0"/>
    <x v="51"/>
    <n v="3"/>
    <n v="2"/>
    <n v="6"/>
    <x v="11"/>
    <n v="11"/>
    <x v="0"/>
    <s v="Passive"/>
    <m/>
  </r>
  <r>
    <x v="691"/>
    <x v="2"/>
    <x v="0"/>
    <x v="13"/>
    <x v="30"/>
    <x v="30"/>
    <x v="6"/>
    <x v="0"/>
    <x v="0"/>
    <x v="39"/>
    <n v="3"/>
    <n v="3"/>
    <n v="4"/>
    <x v="9"/>
    <n v="10"/>
    <x v="0"/>
    <s v="Detractor"/>
    <m/>
  </r>
  <r>
    <x v="692"/>
    <x v="2"/>
    <x v="2"/>
    <x v="0"/>
    <x v="18"/>
    <x v="28"/>
    <x v="24"/>
    <x v="0"/>
    <x v="0"/>
    <x v="8"/>
    <n v="2"/>
    <n v="1"/>
    <n v="7"/>
    <x v="1"/>
    <n v="10"/>
    <x v="0"/>
    <s v="Passive"/>
    <m/>
  </r>
  <r>
    <x v="693"/>
    <x v="2"/>
    <x v="2"/>
    <x v="7"/>
    <x v="6"/>
    <x v="36"/>
    <x v="38"/>
    <x v="0"/>
    <x v="0"/>
    <x v="41"/>
    <n v="1"/>
    <n v="2"/>
    <n v="6"/>
    <x v="11"/>
    <n v="9"/>
    <x v="0"/>
    <s v="Passive"/>
    <m/>
  </r>
  <r>
    <x v="694"/>
    <x v="3"/>
    <x v="0"/>
    <x v="26"/>
    <x v="11"/>
    <x v="4"/>
    <x v="4"/>
    <x v="0"/>
    <x v="0"/>
    <x v="31"/>
    <n v="1"/>
    <n v="5"/>
    <n v="3"/>
    <x v="0"/>
    <n v="9"/>
    <x v="0"/>
    <s v="Detractor"/>
    <m/>
  </r>
  <r>
    <x v="695"/>
    <x v="2"/>
    <x v="2"/>
    <x v="0"/>
    <x v="18"/>
    <x v="27"/>
    <x v="9"/>
    <x v="0"/>
    <x v="0"/>
    <x v="19"/>
    <n v="2"/>
    <n v="2"/>
    <n v="5"/>
    <x v="0"/>
    <n v="9"/>
    <x v="0"/>
    <s v="Detractor"/>
    <m/>
  </r>
  <r>
    <x v="696"/>
    <x v="1"/>
    <x v="0"/>
    <x v="0"/>
    <x v="0"/>
    <x v="0"/>
    <x v="26"/>
    <x v="0"/>
    <x v="0"/>
    <x v="10"/>
    <n v="4"/>
    <n v="4"/>
    <n v="4"/>
    <x v="3"/>
    <n v="12"/>
    <x v="0"/>
    <s v="Promoter"/>
    <m/>
  </r>
  <r>
    <x v="697"/>
    <x v="3"/>
    <x v="1"/>
    <x v="31"/>
    <x v="2"/>
    <x v="2"/>
    <x v="2"/>
    <x v="1"/>
    <x v="5"/>
    <x v="2"/>
    <s v=""/>
    <s v=""/>
    <s v=""/>
    <x v="2"/>
    <m/>
    <x v="0"/>
    <s v="Detractor"/>
    <m/>
  </r>
  <r>
    <x v="698"/>
    <x v="1"/>
    <x v="1"/>
    <x v="30"/>
    <x v="2"/>
    <x v="2"/>
    <x v="2"/>
    <x v="1"/>
    <x v="5"/>
    <x v="2"/>
    <s v=""/>
    <s v=""/>
    <s v=""/>
    <x v="2"/>
    <m/>
    <x v="0"/>
    <s v="Detractor"/>
    <m/>
  </r>
  <r>
    <x v="699"/>
    <x v="0"/>
    <x v="2"/>
    <x v="19"/>
    <x v="4"/>
    <x v="12"/>
    <x v="4"/>
    <x v="0"/>
    <x v="0"/>
    <x v="43"/>
    <n v="5"/>
    <n v="1"/>
    <n v="6"/>
    <x v="11"/>
    <n v="12"/>
    <x v="0"/>
    <s v="Passive"/>
    <m/>
  </r>
  <r>
    <x v="700"/>
    <x v="0"/>
    <x v="1"/>
    <x v="11"/>
    <x v="2"/>
    <x v="2"/>
    <x v="2"/>
    <x v="1"/>
    <x v="4"/>
    <x v="2"/>
    <s v=""/>
    <s v=""/>
    <s v=""/>
    <x v="2"/>
    <m/>
    <x v="0"/>
    <s v="Detractor"/>
    <m/>
  </r>
  <r>
    <x v="701"/>
    <x v="0"/>
    <x v="2"/>
    <x v="31"/>
    <x v="13"/>
    <x v="37"/>
    <x v="25"/>
    <x v="0"/>
    <x v="0"/>
    <x v="18"/>
    <n v="4"/>
    <n v="3"/>
    <n v="5"/>
    <x v="3"/>
    <n v="12"/>
    <x v="0"/>
    <s v="Promoter"/>
    <m/>
  </r>
  <r>
    <x v="702"/>
    <x v="0"/>
    <x v="2"/>
    <x v="23"/>
    <x v="9"/>
    <x v="26"/>
    <x v="21"/>
    <x v="1"/>
    <x v="2"/>
    <x v="2"/>
    <n v="5"/>
    <n v="2"/>
    <n v="3"/>
    <x v="2"/>
    <n v="10"/>
    <x v="0"/>
    <s v="Detractor"/>
    <m/>
  </r>
  <r>
    <x v="703"/>
    <x v="1"/>
    <x v="0"/>
    <x v="9"/>
    <x v="19"/>
    <x v="11"/>
    <x v="7"/>
    <x v="0"/>
    <x v="0"/>
    <x v="1"/>
    <n v="1"/>
    <n v="5"/>
    <n v="7"/>
    <x v="0"/>
    <n v="13"/>
    <x v="0"/>
    <s v="Detractor"/>
    <m/>
  </r>
  <r>
    <x v="704"/>
    <x v="3"/>
    <x v="0"/>
    <x v="15"/>
    <x v="12"/>
    <x v="0"/>
    <x v="34"/>
    <x v="0"/>
    <x v="0"/>
    <x v="0"/>
    <n v="3"/>
    <n v="2"/>
    <n v="6"/>
    <x v="3"/>
    <n v="11"/>
    <x v="0"/>
    <s v="Promoter"/>
    <m/>
  </r>
  <r>
    <x v="705"/>
    <x v="3"/>
    <x v="0"/>
    <x v="13"/>
    <x v="30"/>
    <x v="21"/>
    <x v="14"/>
    <x v="0"/>
    <x v="0"/>
    <x v="34"/>
    <n v="3"/>
    <n v="5"/>
    <n v="3"/>
    <x v="0"/>
    <n v="11"/>
    <x v="0"/>
    <s v="Detractor"/>
    <m/>
  </r>
  <r>
    <x v="706"/>
    <x v="2"/>
    <x v="0"/>
    <x v="25"/>
    <x v="15"/>
    <x v="30"/>
    <x v="25"/>
    <x v="0"/>
    <x v="0"/>
    <x v="39"/>
    <n v="4"/>
    <n v="4"/>
    <n v="3"/>
    <x v="5"/>
    <n v="11"/>
    <x v="0"/>
    <s v="Detractor"/>
    <m/>
  </r>
  <r>
    <x v="707"/>
    <x v="1"/>
    <x v="2"/>
    <x v="20"/>
    <x v="10"/>
    <x v="9"/>
    <x v="11"/>
    <x v="1"/>
    <x v="3"/>
    <x v="2"/>
    <n v="2"/>
    <n v="5"/>
    <n v="2"/>
    <x v="2"/>
    <n v="9"/>
    <x v="0"/>
    <s v="Detractor"/>
    <m/>
  </r>
  <r>
    <x v="708"/>
    <x v="0"/>
    <x v="2"/>
    <x v="30"/>
    <x v="14"/>
    <x v="11"/>
    <x v="15"/>
    <x v="0"/>
    <x v="0"/>
    <x v="26"/>
    <n v="5"/>
    <n v="3"/>
    <n v="5"/>
    <x v="0"/>
    <n v="13"/>
    <x v="0"/>
    <s v="Detractor"/>
    <m/>
  </r>
  <r>
    <x v="709"/>
    <x v="1"/>
    <x v="0"/>
    <x v="1"/>
    <x v="1"/>
    <x v="11"/>
    <x v="22"/>
    <x v="0"/>
    <x v="0"/>
    <x v="33"/>
    <n v="3"/>
    <n v="4"/>
    <n v="2"/>
    <x v="5"/>
    <n v="9"/>
    <x v="0"/>
    <s v="Detractor"/>
    <m/>
  </r>
  <r>
    <x v="710"/>
    <x v="2"/>
    <x v="0"/>
    <x v="15"/>
    <x v="28"/>
    <x v="15"/>
    <x v="26"/>
    <x v="0"/>
    <x v="0"/>
    <x v="43"/>
    <n v="4"/>
    <n v="2"/>
    <n v="3"/>
    <x v="1"/>
    <n v="9"/>
    <x v="0"/>
    <s v="Passive"/>
    <m/>
  </r>
  <r>
    <x v="711"/>
    <x v="2"/>
    <x v="0"/>
    <x v="4"/>
    <x v="24"/>
    <x v="25"/>
    <x v="15"/>
    <x v="0"/>
    <x v="0"/>
    <x v="3"/>
    <n v="2"/>
    <n v="1"/>
    <n v="6"/>
    <x v="0"/>
    <n v="9"/>
    <x v="0"/>
    <s v="Detractor"/>
    <m/>
  </r>
  <r>
    <x v="712"/>
    <x v="1"/>
    <x v="2"/>
    <x v="14"/>
    <x v="15"/>
    <x v="14"/>
    <x v="14"/>
    <x v="0"/>
    <x v="0"/>
    <x v="20"/>
    <n v="1"/>
    <n v="5"/>
    <n v="4"/>
    <x v="7"/>
    <n v="10"/>
    <x v="0"/>
    <s v="Detractor"/>
    <m/>
  </r>
  <r>
    <x v="713"/>
    <x v="1"/>
    <x v="0"/>
    <x v="29"/>
    <x v="27"/>
    <x v="14"/>
    <x v="19"/>
    <x v="0"/>
    <x v="0"/>
    <x v="39"/>
    <n v="2"/>
    <n v="3"/>
    <n v="7"/>
    <x v="1"/>
    <n v="12"/>
    <x v="0"/>
    <s v="Passive"/>
    <m/>
  </r>
  <r>
    <x v="714"/>
    <x v="1"/>
    <x v="2"/>
    <x v="13"/>
    <x v="13"/>
    <x v="36"/>
    <x v="25"/>
    <x v="0"/>
    <x v="0"/>
    <x v="39"/>
    <n v="1"/>
    <n v="1"/>
    <n v="7"/>
    <x v="11"/>
    <n v="9"/>
    <x v="0"/>
    <s v="Passive"/>
    <m/>
  </r>
  <r>
    <x v="715"/>
    <x v="3"/>
    <x v="2"/>
    <x v="19"/>
    <x v="11"/>
    <x v="31"/>
    <x v="26"/>
    <x v="0"/>
    <x v="0"/>
    <x v="44"/>
    <n v="4"/>
    <n v="1"/>
    <n v="2"/>
    <x v="11"/>
    <n v="7"/>
    <x v="0"/>
    <s v="Passive"/>
    <m/>
  </r>
  <r>
    <x v="716"/>
    <x v="0"/>
    <x v="0"/>
    <x v="21"/>
    <x v="5"/>
    <x v="28"/>
    <x v="5"/>
    <x v="0"/>
    <x v="0"/>
    <x v="32"/>
    <n v="2"/>
    <n v="4"/>
    <n v="4"/>
    <x v="3"/>
    <n v="10"/>
    <x v="0"/>
    <s v="Promoter"/>
    <m/>
  </r>
  <r>
    <x v="717"/>
    <x v="1"/>
    <x v="2"/>
    <x v="26"/>
    <x v="34"/>
    <x v="4"/>
    <x v="13"/>
    <x v="0"/>
    <x v="0"/>
    <x v="42"/>
    <n v="4"/>
    <n v="2"/>
    <n v="2"/>
    <x v="11"/>
    <n v="8"/>
    <x v="0"/>
    <s v="Passive"/>
    <m/>
  </r>
  <r>
    <x v="718"/>
    <x v="1"/>
    <x v="2"/>
    <x v="9"/>
    <x v="19"/>
    <x v="23"/>
    <x v="12"/>
    <x v="0"/>
    <x v="0"/>
    <x v="25"/>
    <n v="1"/>
    <n v="1"/>
    <n v="7"/>
    <x v="0"/>
    <n v="9"/>
    <x v="0"/>
    <s v="Detractor"/>
    <m/>
  </r>
  <r>
    <x v="719"/>
    <x v="1"/>
    <x v="0"/>
    <x v="16"/>
    <x v="5"/>
    <x v="16"/>
    <x v="5"/>
    <x v="0"/>
    <x v="0"/>
    <x v="20"/>
    <n v="3"/>
    <n v="3"/>
    <n v="5"/>
    <x v="11"/>
    <n v="11"/>
    <x v="0"/>
    <s v="Passive"/>
    <m/>
  </r>
  <r>
    <x v="720"/>
    <x v="2"/>
    <x v="0"/>
    <x v="16"/>
    <x v="5"/>
    <x v="27"/>
    <x v="17"/>
    <x v="0"/>
    <x v="0"/>
    <x v="14"/>
    <n v="3"/>
    <n v="5"/>
    <n v="7"/>
    <x v="8"/>
    <n v="15"/>
    <x v="0"/>
    <s v="Detractor"/>
    <m/>
  </r>
  <r>
    <x v="721"/>
    <x v="2"/>
    <x v="0"/>
    <x v="20"/>
    <x v="4"/>
    <x v="7"/>
    <x v="39"/>
    <x v="0"/>
    <x v="0"/>
    <x v="43"/>
    <n v="1"/>
    <n v="5"/>
    <n v="7"/>
    <x v="5"/>
    <n v="13"/>
    <x v="0"/>
    <s v="Detractor"/>
    <m/>
  </r>
  <r>
    <x v="722"/>
    <x v="3"/>
    <x v="2"/>
    <x v="17"/>
    <x v="1"/>
    <x v="1"/>
    <x v="15"/>
    <x v="0"/>
    <x v="0"/>
    <x v="24"/>
    <n v="5"/>
    <n v="5"/>
    <n v="4"/>
    <x v="9"/>
    <n v="14"/>
    <x v="0"/>
    <s v="Detractor"/>
    <m/>
  </r>
  <r>
    <x v="723"/>
    <x v="0"/>
    <x v="2"/>
    <x v="5"/>
    <x v="10"/>
    <x v="7"/>
    <x v="4"/>
    <x v="0"/>
    <x v="0"/>
    <x v="1"/>
    <n v="5"/>
    <n v="4"/>
    <n v="2"/>
    <x v="8"/>
    <n v="11"/>
    <x v="0"/>
    <s v="Detractor"/>
    <m/>
  </r>
  <r>
    <x v="724"/>
    <x v="3"/>
    <x v="2"/>
    <x v="14"/>
    <x v="27"/>
    <x v="14"/>
    <x v="6"/>
    <x v="0"/>
    <x v="0"/>
    <x v="17"/>
    <n v="3"/>
    <n v="3"/>
    <n v="3"/>
    <x v="4"/>
    <n v="9"/>
    <x v="0"/>
    <s v="Promoter"/>
    <m/>
  </r>
  <r>
    <x v="725"/>
    <x v="0"/>
    <x v="2"/>
    <x v="17"/>
    <x v="20"/>
    <x v="21"/>
    <x v="19"/>
    <x v="0"/>
    <x v="0"/>
    <x v="38"/>
    <n v="3"/>
    <n v="1"/>
    <n v="6"/>
    <x v="1"/>
    <n v="10"/>
    <x v="0"/>
    <s v="Passive"/>
    <m/>
  </r>
  <r>
    <x v="726"/>
    <x v="2"/>
    <x v="0"/>
    <x v="20"/>
    <x v="10"/>
    <x v="4"/>
    <x v="4"/>
    <x v="0"/>
    <x v="0"/>
    <x v="31"/>
    <n v="2"/>
    <n v="3"/>
    <n v="3"/>
    <x v="4"/>
    <n v="8"/>
    <x v="0"/>
    <s v="Promoter"/>
    <m/>
  </r>
  <r>
    <x v="727"/>
    <x v="2"/>
    <x v="1"/>
    <x v="5"/>
    <x v="2"/>
    <x v="2"/>
    <x v="2"/>
    <x v="1"/>
    <x v="3"/>
    <x v="2"/>
    <s v=""/>
    <s v=""/>
    <s v=""/>
    <x v="2"/>
    <m/>
    <x v="0"/>
    <s v="Detractor"/>
    <m/>
  </r>
  <r>
    <x v="728"/>
    <x v="2"/>
    <x v="0"/>
    <x v="8"/>
    <x v="34"/>
    <x v="9"/>
    <x v="36"/>
    <x v="0"/>
    <x v="0"/>
    <x v="53"/>
    <n v="2"/>
    <n v="4"/>
    <n v="5"/>
    <x v="9"/>
    <n v="11"/>
    <x v="0"/>
    <s v="Detractor"/>
    <m/>
  </r>
  <r>
    <x v="729"/>
    <x v="3"/>
    <x v="0"/>
    <x v="6"/>
    <x v="22"/>
    <x v="16"/>
    <x v="5"/>
    <x v="0"/>
    <x v="0"/>
    <x v="24"/>
    <n v="3"/>
    <n v="4"/>
    <n v="5"/>
    <x v="3"/>
    <n v="12"/>
    <x v="0"/>
    <s v="Promoter"/>
    <m/>
  </r>
  <r>
    <x v="730"/>
    <x v="1"/>
    <x v="0"/>
    <x v="8"/>
    <x v="32"/>
    <x v="38"/>
    <x v="23"/>
    <x v="0"/>
    <x v="0"/>
    <x v="47"/>
    <n v="5"/>
    <n v="2"/>
    <n v="2"/>
    <x v="10"/>
    <n v="9"/>
    <x v="0"/>
    <s v="Detractor"/>
    <m/>
  </r>
  <r>
    <x v="731"/>
    <x v="1"/>
    <x v="0"/>
    <x v="19"/>
    <x v="28"/>
    <x v="31"/>
    <x v="0"/>
    <x v="0"/>
    <x v="0"/>
    <x v="23"/>
    <n v="2"/>
    <n v="3"/>
    <n v="3"/>
    <x v="1"/>
    <n v="8"/>
    <x v="0"/>
    <s v="Passive"/>
    <m/>
  </r>
  <r>
    <x v="732"/>
    <x v="2"/>
    <x v="0"/>
    <x v="30"/>
    <x v="17"/>
    <x v="20"/>
    <x v="15"/>
    <x v="0"/>
    <x v="0"/>
    <x v="25"/>
    <n v="1"/>
    <n v="5"/>
    <n v="7"/>
    <x v="5"/>
    <n v="13"/>
    <x v="0"/>
    <s v="Detractor"/>
    <m/>
  </r>
  <r>
    <x v="733"/>
    <x v="1"/>
    <x v="0"/>
    <x v="15"/>
    <x v="25"/>
    <x v="15"/>
    <x v="0"/>
    <x v="0"/>
    <x v="0"/>
    <x v="23"/>
    <n v="2"/>
    <n v="4"/>
    <n v="4"/>
    <x v="8"/>
    <n v="10"/>
    <x v="0"/>
    <s v="Detractor"/>
    <m/>
  </r>
  <r>
    <x v="734"/>
    <x v="1"/>
    <x v="0"/>
    <x v="3"/>
    <x v="11"/>
    <x v="22"/>
    <x v="18"/>
    <x v="0"/>
    <x v="0"/>
    <x v="6"/>
    <n v="2"/>
    <n v="4"/>
    <n v="2"/>
    <x v="8"/>
    <n v="8"/>
    <x v="0"/>
    <s v="Detractor"/>
    <m/>
  </r>
  <r>
    <x v="735"/>
    <x v="3"/>
    <x v="2"/>
    <x v="1"/>
    <x v="19"/>
    <x v="17"/>
    <x v="16"/>
    <x v="0"/>
    <x v="0"/>
    <x v="32"/>
    <n v="2"/>
    <n v="2"/>
    <n v="2"/>
    <x v="3"/>
    <n v="6"/>
    <x v="1"/>
    <s v="Promoter"/>
    <m/>
  </r>
  <r>
    <x v="736"/>
    <x v="0"/>
    <x v="0"/>
    <x v="19"/>
    <x v="11"/>
    <x v="4"/>
    <x v="4"/>
    <x v="0"/>
    <x v="0"/>
    <x v="14"/>
    <n v="4"/>
    <n v="5"/>
    <n v="3"/>
    <x v="6"/>
    <n v="12"/>
    <x v="0"/>
    <s v="Detractor"/>
    <m/>
  </r>
  <r>
    <x v="737"/>
    <x v="2"/>
    <x v="1"/>
    <x v="7"/>
    <x v="2"/>
    <x v="2"/>
    <x v="2"/>
    <x v="1"/>
    <x v="2"/>
    <x v="2"/>
    <s v=""/>
    <s v=""/>
    <s v=""/>
    <x v="2"/>
    <m/>
    <x v="0"/>
    <s v="Detractor"/>
    <m/>
  </r>
  <r>
    <x v="738"/>
    <x v="2"/>
    <x v="2"/>
    <x v="11"/>
    <x v="24"/>
    <x v="6"/>
    <x v="1"/>
    <x v="0"/>
    <x v="0"/>
    <x v="18"/>
    <n v="1"/>
    <n v="4"/>
    <n v="6"/>
    <x v="11"/>
    <n v="11"/>
    <x v="0"/>
    <s v="Passive"/>
    <m/>
  </r>
  <r>
    <x v="739"/>
    <x v="3"/>
    <x v="2"/>
    <x v="8"/>
    <x v="35"/>
    <x v="4"/>
    <x v="23"/>
    <x v="0"/>
    <x v="0"/>
    <x v="52"/>
    <n v="3"/>
    <n v="1"/>
    <n v="5"/>
    <x v="11"/>
    <n v="9"/>
    <x v="0"/>
    <s v="Passive"/>
    <m/>
  </r>
  <r>
    <x v="740"/>
    <x v="3"/>
    <x v="0"/>
    <x v="25"/>
    <x v="30"/>
    <x v="21"/>
    <x v="22"/>
    <x v="0"/>
    <x v="0"/>
    <x v="4"/>
    <n v="5"/>
    <n v="5"/>
    <n v="7"/>
    <x v="10"/>
    <n v="17"/>
    <x v="0"/>
    <s v="Detractor"/>
    <m/>
  </r>
  <r>
    <x v="741"/>
    <x v="1"/>
    <x v="0"/>
    <x v="13"/>
    <x v="21"/>
    <x v="21"/>
    <x v="16"/>
    <x v="0"/>
    <x v="0"/>
    <x v="26"/>
    <n v="5"/>
    <n v="3"/>
    <n v="4"/>
    <x v="0"/>
    <n v="12"/>
    <x v="0"/>
    <s v="Detractor"/>
    <m/>
  </r>
  <r>
    <x v="742"/>
    <x v="2"/>
    <x v="0"/>
    <x v="22"/>
    <x v="28"/>
    <x v="15"/>
    <x v="34"/>
    <x v="0"/>
    <x v="0"/>
    <x v="25"/>
    <n v="3"/>
    <n v="2"/>
    <n v="5"/>
    <x v="0"/>
    <n v="10"/>
    <x v="0"/>
    <s v="Detractor"/>
    <m/>
  </r>
  <r>
    <x v="743"/>
    <x v="0"/>
    <x v="0"/>
    <x v="8"/>
    <x v="8"/>
    <x v="7"/>
    <x v="39"/>
    <x v="0"/>
    <x v="0"/>
    <x v="44"/>
    <n v="4"/>
    <n v="1"/>
    <n v="7"/>
    <x v="10"/>
    <n v="12"/>
    <x v="0"/>
    <s v="Detractor"/>
    <m/>
  </r>
  <r>
    <x v="744"/>
    <x v="3"/>
    <x v="2"/>
    <x v="24"/>
    <x v="19"/>
    <x v="23"/>
    <x v="14"/>
    <x v="0"/>
    <x v="0"/>
    <x v="11"/>
    <n v="5"/>
    <n v="1"/>
    <n v="2"/>
    <x v="7"/>
    <n v="8"/>
    <x v="0"/>
    <s v="Detractor"/>
    <m/>
  </r>
  <r>
    <x v="745"/>
    <x v="0"/>
    <x v="0"/>
    <x v="3"/>
    <x v="11"/>
    <x v="10"/>
    <x v="11"/>
    <x v="0"/>
    <x v="0"/>
    <x v="30"/>
    <n v="2"/>
    <n v="3"/>
    <n v="6"/>
    <x v="3"/>
    <n v="11"/>
    <x v="0"/>
    <s v="Promoter"/>
    <m/>
  </r>
  <r>
    <x v="746"/>
    <x v="0"/>
    <x v="0"/>
    <x v="27"/>
    <x v="12"/>
    <x v="0"/>
    <x v="24"/>
    <x v="1"/>
    <x v="5"/>
    <x v="2"/>
    <n v="5"/>
    <n v="2"/>
    <n v="2"/>
    <x v="2"/>
    <n v="9"/>
    <x v="0"/>
    <s v="Detractor"/>
    <m/>
  </r>
  <r>
    <x v="747"/>
    <x v="2"/>
    <x v="1"/>
    <x v="15"/>
    <x v="2"/>
    <x v="2"/>
    <x v="2"/>
    <x v="1"/>
    <x v="4"/>
    <x v="2"/>
    <s v=""/>
    <s v=""/>
    <s v=""/>
    <x v="2"/>
    <m/>
    <x v="0"/>
    <s v="Detractor"/>
    <m/>
  </r>
  <r>
    <x v="748"/>
    <x v="2"/>
    <x v="0"/>
    <x v="27"/>
    <x v="18"/>
    <x v="18"/>
    <x v="26"/>
    <x v="0"/>
    <x v="0"/>
    <x v="3"/>
    <n v="1"/>
    <n v="4"/>
    <n v="6"/>
    <x v="11"/>
    <n v="11"/>
    <x v="0"/>
    <s v="Passive"/>
    <m/>
  </r>
  <r>
    <x v="749"/>
    <x v="3"/>
    <x v="2"/>
    <x v="28"/>
    <x v="1"/>
    <x v="20"/>
    <x v="19"/>
    <x v="0"/>
    <x v="0"/>
    <x v="29"/>
    <n v="1"/>
    <n v="2"/>
    <n v="3"/>
    <x v="6"/>
    <n v="6"/>
    <x v="0"/>
    <s v="Detractor"/>
    <m/>
  </r>
  <r>
    <x v="750"/>
    <x v="2"/>
    <x v="2"/>
    <x v="8"/>
    <x v="35"/>
    <x v="38"/>
    <x v="33"/>
    <x v="0"/>
    <x v="0"/>
    <x v="54"/>
    <n v="3"/>
    <n v="4"/>
    <n v="7"/>
    <x v="11"/>
    <n v="14"/>
    <x v="0"/>
    <s v="Passive"/>
    <m/>
  </r>
  <r>
    <x v="751"/>
    <x v="2"/>
    <x v="2"/>
    <x v="3"/>
    <x v="10"/>
    <x v="4"/>
    <x v="23"/>
    <x v="0"/>
    <x v="0"/>
    <x v="23"/>
    <n v="4"/>
    <n v="3"/>
    <n v="5"/>
    <x v="8"/>
    <n v="12"/>
    <x v="0"/>
    <s v="Detractor"/>
    <m/>
  </r>
  <r>
    <x v="752"/>
    <x v="2"/>
    <x v="0"/>
    <x v="19"/>
    <x v="11"/>
    <x v="10"/>
    <x v="34"/>
    <x v="0"/>
    <x v="0"/>
    <x v="31"/>
    <n v="4"/>
    <n v="3"/>
    <n v="2"/>
    <x v="8"/>
    <n v="9"/>
    <x v="0"/>
    <s v="Detractor"/>
    <m/>
  </r>
  <r>
    <x v="753"/>
    <x v="0"/>
    <x v="2"/>
    <x v="21"/>
    <x v="18"/>
    <x v="28"/>
    <x v="9"/>
    <x v="0"/>
    <x v="0"/>
    <x v="24"/>
    <n v="5"/>
    <n v="1"/>
    <n v="6"/>
    <x v="3"/>
    <n v="12"/>
    <x v="0"/>
    <s v="Promoter"/>
    <m/>
  </r>
  <r>
    <x v="754"/>
    <x v="3"/>
    <x v="0"/>
    <x v="9"/>
    <x v="24"/>
    <x v="25"/>
    <x v="15"/>
    <x v="0"/>
    <x v="0"/>
    <x v="11"/>
    <n v="4"/>
    <n v="1"/>
    <n v="6"/>
    <x v="5"/>
    <n v="11"/>
    <x v="0"/>
    <s v="Detractor"/>
    <m/>
  </r>
  <r>
    <x v="755"/>
    <x v="1"/>
    <x v="0"/>
    <x v="25"/>
    <x v="15"/>
    <x v="5"/>
    <x v="30"/>
    <x v="0"/>
    <x v="0"/>
    <x v="41"/>
    <n v="4"/>
    <n v="1"/>
    <n v="2"/>
    <x v="7"/>
    <n v="7"/>
    <x v="0"/>
    <s v="Detractor"/>
    <m/>
  </r>
  <r>
    <x v="756"/>
    <x v="0"/>
    <x v="2"/>
    <x v="19"/>
    <x v="4"/>
    <x v="22"/>
    <x v="11"/>
    <x v="0"/>
    <x v="0"/>
    <x v="31"/>
    <n v="5"/>
    <n v="3"/>
    <n v="5"/>
    <x v="11"/>
    <n v="13"/>
    <x v="0"/>
    <s v="Passive"/>
    <m/>
  </r>
  <r>
    <x v="757"/>
    <x v="2"/>
    <x v="2"/>
    <x v="28"/>
    <x v="1"/>
    <x v="11"/>
    <x v="7"/>
    <x v="0"/>
    <x v="0"/>
    <x v="42"/>
    <n v="1"/>
    <n v="4"/>
    <n v="7"/>
    <x v="5"/>
    <n v="12"/>
    <x v="0"/>
    <s v="Detractor"/>
    <m/>
  </r>
  <r>
    <x v="758"/>
    <x v="0"/>
    <x v="2"/>
    <x v="2"/>
    <x v="33"/>
    <x v="29"/>
    <x v="35"/>
    <x v="0"/>
    <x v="0"/>
    <x v="22"/>
    <n v="2"/>
    <n v="3"/>
    <n v="3"/>
    <x v="5"/>
    <n v="8"/>
    <x v="0"/>
    <s v="Detractor"/>
    <m/>
  </r>
  <r>
    <x v="759"/>
    <x v="2"/>
    <x v="1"/>
    <x v="17"/>
    <x v="2"/>
    <x v="2"/>
    <x v="2"/>
    <x v="1"/>
    <x v="4"/>
    <x v="2"/>
    <s v=""/>
    <s v=""/>
    <s v=""/>
    <x v="2"/>
    <m/>
    <x v="0"/>
    <s v="Detractor"/>
    <m/>
  </r>
  <r>
    <x v="760"/>
    <x v="2"/>
    <x v="2"/>
    <x v="21"/>
    <x v="16"/>
    <x v="28"/>
    <x v="32"/>
    <x v="0"/>
    <x v="0"/>
    <x v="30"/>
    <n v="3"/>
    <n v="3"/>
    <n v="3"/>
    <x v="0"/>
    <n v="9"/>
    <x v="0"/>
    <s v="Detractor"/>
    <m/>
  </r>
  <r>
    <x v="761"/>
    <x v="0"/>
    <x v="0"/>
    <x v="7"/>
    <x v="6"/>
    <x v="29"/>
    <x v="30"/>
    <x v="0"/>
    <x v="0"/>
    <x v="29"/>
    <n v="1"/>
    <n v="1"/>
    <n v="4"/>
    <x v="1"/>
    <n v="6"/>
    <x v="0"/>
    <s v="Passive"/>
    <m/>
  </r>
  <r>
    <x v="762"/>
    <x v="3"/>
    <x v="1"/>
    <x v="11"/>
    <x v="2"/>
    <x v="2"/>
    <x v="2"/>
    <x v="1"/>
    <x v="3"/>
    <x v="2"/>
    <s v=""/>
    <s v=""/>
    <s v=""/>
    <x v="2"/>
    <m/>
    <x v="0"/>
    <s v="Detractor"/>
    <m/>
  </r>
  <r>
    <x v="763"/>
    <x v="2"/>
    <x v="0"/>
    <x v="9"/>
    <x v="24"/>
    <x v="11"/>
    <x v="31"/>
    <x v="1"/>
    <x v="4"/>
    <x v="2"/>
    <n v="4"/>
    <n v="2"/>
    <n v="4"/>
    <x v="2"/>
    <n v="10"/>
    <x v="0"/>
    <s v="Detractor"/>
    <m/>
  </r>
  <r>
    <x v="764"/>
    <x v="3"/>
    <x v="1"/>
    <x v="27"/>
    <x v="2"/>
    <x v="2"/>
    <x v="2"/>
    <x v="1"/>
    <x v="2"/>
    <x v="2"/>
    <s v=""/>
    <s v=""/>
    <s v=""/>
    <x v="2"/>
    <m/>
    <x v="0"/>
    <s v="Detractor"/>
    <m/>
  </r>
  <r>
    <x v="765"/>
    <x v="1"/>
    <x v="0"/>
    <x v="15"/>
    <x v="28"/>
    <x v="0"/>
    <x v="26"/>
    <x v="0"/>
    <x v="0"/>
    <x v="14"/>
    <n v="4"/>
    <n v="1"/>
    <n v="4"/>
    <x v="10"/>
    <n v="9"/>
    <x v="0"/>
    <s v="Detractor"/>
    <m/>
  </r>
  <r>
    <x v="766"/>
    <x v="2"/>
    <x v="1"/>
    <x v="27"/>
    <x v="2"/>
    <x v="2"/>
    <x v="2"/>
    <x v="1"/>
    <x v="5"/>
    <x v="2"/>
    <s v=""/>
    <s v=""/>
    <s v=""/>
    <x v="2"/>
    <m/>
    <x v="0"/>
    <s v="Detractor"/>
    <m/>
  </r>
  <r>
    <x v="767"/>
    <x v="3"/>
    <x v="2"/>
    <x v="17"/>
    <x v="1"/>
    <x v="20"/>
    <x v="12"/>
    <x v="0"/>
    <x v="0"/>
    <x v="15"/>
    <n v="5"/>
    <n v="2"/>
    <n v="5"/>
    <x v="6"/>
    <n v="12"/>
    <x v="0"/>
    <s v="Detractor"/>
    <m/>
  </r>
  <r>
    <x v="768"/>
    <x v="3"/>
    <x v="2"/>
    <x v="23"/>
    <x v="31"/>
    <x v="26"/>
    <x v="26"/>
    <x v="0"/>
    <x v="0"/>
    <x v="19"/>
    <n v="3"/>
    <n v="4"/>
    <n v="7"/>
    <x v="8"/>
    <n v="14"/>
    <x v="0"/>
    <s v="Detractor"/>
    <m/>
  </r>
  <r>
    <x v="769"/>
    <x v="1"/>
    <x v="0"/>
    <x v="28"/>
    <x v="14"/>
    <x v="1"/>
    <x v="1"/>
    <x v="0"/>
    <x v="0"/>
    <x v="25"/>
    <n v="2"/>
    <n v="4"/>
    <n v="7"/>
    <x v="6"/>
    <n v="13"/>
    <x v="0"/>
    <s v="Detractor"/>
    <m/>
  </r>
  <r>
    <x v="770"/>
    <x v="3"/>
    <x v="1"/>
    <x v="5"/>
    <x v="2"/>
    <x v="2"/>
    <x v="2"/>
    <x v="1"/>
    <x v="2"/>
    <x v="2"/>
    <s v=""/>
    <s v=""/>
    <s v=""/>
    <x v="2"/>
    <m/>
    <x v="0"/>
    <s v="Detractor"/>
    <m/>
  </r>
  <r>
    <x v="771"/>
    <x v="3"/>
    <x v="1"/>
    <x v="0"/>
    <x v="2"/>
    <x v="2"/>
    <x v="2"/>
    <x v="1"/>
    <x v="1"/>
    <x v="2"/>
    <s v=""/>
    <s v=""/>
    <s v=""/>
    <x v="2"/>
    <m/>
    <x v="0"/>
    <s v="Detractor"/>
    <m/>
  </r>
  <r>
    <x v="772"/>
    <x v="1"/>
    <x v="2"/>
    <x v="8"/>
    <x v="32"/>
    <x v="39"/>
    <x v="33"/>
    <x v="0"/>
    <x v="0"/>
    <x v="51"/>
    <n v="5"/>
    <n v="5"/>
    <n v="4"/>
    <x v="8"/>
    <n v="14"/>
    <x v="0"/>
    <s v="Detractor"/>
    <m/>
  </r>
  <r>
    <x v="773"/>
    <x v="2"/>
    <x v="2"/>
    <x v="9"/>
    <x v="7"/>
    <x v="24"/>
    <x v="1"/>
    <x v="0"/>
    <x v="0"/>
    <x v="12"/>
    <n v="5"/>
    <n v="5"/>
    <n v="4"/>
    <x v="10"/>
    <n v="14"/>
    <x v="0"/>
    <s v="Detractor"/>
    <m/>
  </r>
  <r>
    <x v="774"/>
    <x v="3"/>
    <x v="1"/>
    <x v="7"/>
    <x v="2"/>
    <x v="2"/>
    <x v="2"/>
    <x v="1"/>
    <x v="3"/>
    <x v="2"/>
    <s v=""/>
    <s v=""/>
    <s v=""/>
    <x v="2"/>
    <m/>
    <x v="0"/>
    <s v="Detractor"/>
    <m/>
  </r>
  <r>
    <x v="775"/>
    <x v="3"/>
    <x v="2"/>
    <x v="27"/>
    <x v="9"/>
    <x v="0"/>
    <x v="0"/>
    <x v="0"/>
    <x v="0"/>
    <x v="21"/>
    <n v="2"/>
    <n v="5"/>
    <n v="5"/>
    <x v="4"/>
    <n v="12"/>
    <x v="0"/>
    <s v="Promoter"/>
    <m/>
  </r>
  <r>
    <x v="776"/>
    <x v="3"/>
    <x v="0"/>
    <x v="24"/>
    <x v="21"/>
    <x v="23"/>
    <x v="27"/>
    <x v="0"/>
    <x v="0"/>
    <x v="42"/>
    <n v="2"/>
    <n v="4"/>
    <n v="4"/>
    <x v="10"/>
    <n v="10"/>
    <x v="0"/>
    <s v="Detractor"/>
    <m/>
  </r>
  <r>
    <x v="777"/>
    <x v="0"/>
    <x v="1"/>
    <x v="6"/>
    <x v="2"/>
    <x v="2"/>
    <x v="2"/>
    <x v="1"/>
    <x v="4"/>
    <x v="2"/>
    <s v=""/>
    <s v=""/>
    <s v=""/>
    <x v="2"/>
    <m/>
    <x v="0"/>
    <s v="Detractor"/>
    <m/>
  </r>
  <r>
    <x v="778"/>
    <x v="1"/>
    <x v="0"/>
    <x v="2"/>
    <x v="6"/>
    <x v="29"/>
    <x v="35"/>
    <x v="0"/>
    <x v="0"/>
    <x v="22"/>
    <n v="4"/>
    <n v="1"/>
    <n v="3"/>
    <x v="9"/>
    <n v="8"/>
    <x v="0"/>
    <s v="Detractor"/>
    <m/>
  </r>
  <r>
    <x v="779"/>
    <x v="0"/>
    <x v="0"/>
    <x v="18"/>
    <x v="0"/>
    <x v="26"/>
    <x v="5"/>
    <x v="0"/>
    <x v="0"/>
    <x v="14"/>
    <n v="5"/>
    <n v="1"/>
    <n v="2"/>
    <x v="0"/>
    <n v="8"/>
    <x v="0"/>
    <s v="Detractor"/>
    <m/>
  </r>
  <r>
    <x v="780"/>
    <x v="1"/>
    <x v="0"/>
    <x v="26"/>
    <x v="11"/>
    <x v="31"/>
    <x v="0"/>
    <x v="0"/>
    <x v="0"/>
    <x v="23"/>
    <n v="1"/>
    <n v="1"/>
    <n v="3"/>
    <x v="0"/>
    <n v="5"/>
    <x v="0"/>
    <s v="Detractor"/>
    <m/>
  </r>
  <r>
    <x v="781"/>
    <x v="2"/>
    <x v="2"/>
    <x v="8"/>
    <x v="10"/>
    <x v="4"/>
    <x v="4"/>
    <x v="0"/>
    <x v="0"/>
    <x v="31"/>
    <n v="1"/>
    <n v="3"/>
    <n v="3"/>
    <x v="8"/>
    <n v="7"/>
    <x v="0"/>
    <s v="Detractor"/>
    <m/>
  </r>
  <r>
    <x v="782"/>
    <x v="2"/>
    <x v="1"/>
    <x v="21"/>
    <x v="2"/>
    <x v="2"/>
    <x v="2"/>
    <x v="1"/>
    <x v="1"/>
    <x v="2"/>
    <s v=""/>
    <s v=""/>
    <s v=""/>
    <x v="2"/>
    <m/>
    <x v="0"/>
    <s v="Detractor"/>
    <m/>
  </r>
  <r>
    <x v="783"/>
    <x v="3"/>
    <x v="0"/>
    <x v="1"/>
    <x v="24"/>
    <x v="3"/>
    <x v="32"/>
    <x v="0"/>
    <x v="0"/>
    <x v="42"/>
    <n v="5"/>
    <n v="5"/>
    <n v="6"/>
    <x v="3"/>
    <n v="16"/>
    <x v="0"/>
    <s v="Promoter"/>
    <m/>
  </r>
  <r>
    <x v="784"/>
    <x v="1"/>
    <x v="1"/>
    <x v="20"/>
    <x v="2"/>
    <x v="2"/>
    <x v="2"/>
    <x v="1"/>
    <x v="4"/>
    <x v="2"/>
    <s v=""/>
    <s v=""/>
    <s v=""/>
    <x v="2"/>
    <m/>
    <x v="0"/>
    <s v="Detractor"/>
    <m/>
  </r>
  <r>
    <x v="785"/>
    <x v="2"/>
    <x v="2"/>
    <x v="18"/>
    <x v="31"/>
    <x v="16"/>
    <x v="7"/>
    <x v="0"/>
    <x v="0"/>
    <x v="12"/>
    <n v="2"/>
    <n v="1"/>
    <n v="2"/>
    <x v="11"/>
    <n v="5"/>
    <x v="0"/>
    <s v="Passive"/>
    <m/>
  </r>
  <r>
    <x v="786"/>
    <x v="1"/>
    <x v="1"/>
    <x v="24"/>
    <x v="2"/>
    <x v="2"/>
    <x v="2"/>
    <x v="1"/>
    <x v="5"/>
    <x v="2"/>
    <s v=""/>
    <s v=""/>
    <s v=""/>
    <x v="2"/>
    <m/>
    <x v="0"/>
    <s v="Detractor"/>
    <m/>
  </r>
  <r>
    <x v="787"/>
    <x v="2"/>
    <x v="0"/>
    <x v="0"/>
    <x v="9"/>
    <x v="0"/>
    <x v="17"/>
    <x v="0"/>
    <x v="0"/>
    <x v="1"/>
    <n v="3"/>
    <n v="5"/>
    <n v="3"/>
    <x v="9"/>
    <n v="11"/>
    <x v="0"/>
    <s v="Detractor"/>
    <m/>
  </r>
  <r>
    <x v="788"/>
    <x v="0"/>
    <x v="2"/>
    <x v="25"/>
    <x v="6"/>
    <x v="13"/>
    <x v="28"/>
    <x v="0"/>
    <x v="0"/>
    <x v="46"/>
    <n v="2"/>
    <n v="5"/>
    <n v="2"/>
    <x v="9"/>
    <n v="9"/>
    <x v="0"/>
    <s v="Detractor"/>
    <m/>
  </r>
  <r>
    <x v="789"/>
    <x v="2"/>
    <x v="2"/>
    <x v="0"/>
    <x v="18"/>
    <x v="26"/>
    <x v="21"/>
    <x v="0"/>
    <x v="0"/>
    <x v="19"/>
    <n v="2"/>
    <n v="3"/>
    <n v="3"/>
    <x v="9"/>
    <n v="8"/>
    <x v="0"/>
    <s v="Detractor"/>
    <m/>
  </r>
  <r>
    <x v="790"/>
    <x v="0"/>
    <x v="0"/>
    <x v="5"/>
    <x v="11"/>
    <x v="22"/>
    <x v="11"/>
    <x v="0"/>
    <x v="0"/>
    <x v="6"/>
    <n v="3"/>
    <n v="4"/>
    <n v="5"/>
    <x v="7"/>
    <n v="12"/>
    <x v="0"/>
    <s v="Detractor"/>
    <m/>
  </r>
  <r>
    <x v="791"/>
    <x v="2"/>
    <x v="0"/>
    <x v="11"/>
    <x v="7"/>
    <x v="11"/>
    <x v="15"/>
    <x v="0"/>
    <x v="0"/>
    <x v="15"/>
    <n v="2"/>
    <n v="1"/>
    <n v="5"/>
    <x v="1"/>
    <n v="8"/>
    <x v="0"/>
    <s v="Passive"/>
    <m/>
  </r>
  <r>
    <x v="792"/>
    <x v="3"/>
    <x v="1"/>
    <x v="20"/>
    <x v="2"/>
    <x v="2"/>
    <x v="2"/>
    <x v="1"/>
    <x v="5"/>
    <x v="2"/>
    <s v=""/>
    <s v=""/>
    <s v=""/>
    <x v="2"/>
    <m/>
    <x v="0"/>
    <s v="Detractor"/>
    <m/>
  </r>
  <r>
    <x v="793"/>
    <x v="0"/>
    <x v="2"/>
    <x v="12"/>
    <x v="25"/>
    <x v="0"/>
    <x v="26"/>
    <x v="0"/>
    <x v="0"/>
    <x v="12"/>
    <n v="3"/>
    <n v="3"/>
    <n v="4"/>
    <x v="10"/>
    <n v="10"/>
    <x v="0"/>
    <s v="Detractor"/>
    <m/>
  </r>
  <r>
    <x v="794"/>
    <x v="2"/>
    <x v="2"/>
    <x v="30"/>
    <x v="14"/>
    <x v="1"/>
    <x v="3"/>
    <x v="0"/>
    <x v="0"/>
    <x v="5"/>
    <n v="5"/>
    <n v="4"/>
    <n v="5"/>
    <x v="4"/>
    <n v="14"/>
    <x v="0"/>
    <s v="Promoter"/>
    <m/>
  </r>
  <r>
    <x v="795"/>
    <x v="3"/>
    <x v="0"/>
    <x v="0"/>
    <x v="9"/>
    <x v="8"/>
    <x v="9"/>
    <x v="0"/>
    <x v="0"/>
    <x v="19"/>
    <n v="3"/>
    <n v="4"/>
    <n v="2"/>
    <x v="8"/>
    <n v="9"/>
    <x v="0"/>
    <s v="Detractor"/>
    <m/>
  </r>
  <r>
    <x v="796"/>
    <x v="0"/>
    <x v="0"/>
    <x v="4"/>
    <x v="14"/>
    <x v="20"/>
    <x v="31"/>
    <x v="0"/>
    <x v="0"/>
    <x v="26"/>
    <n v="1"/>
    <n v="1"/>
    <n v="6"/>
    <x v="1"/>
    <n v="8"/>
    <x v="0"/>
    <s v="Passive"/>
    <m/>
  </r>
  <r>
    <x v="797"/>
    <x v="3"/>
    <x v="0"/>
    <x v="7"/>
    <x v="15"/>
    <x v="14"/>
    <x v="14"/>
    <x v="0"/>
    <x v="0"/>
    <x v="9"/>
    <n v="3"/>
    <n v="5"/>
    <n v="4"/>
    <x v="11"/>
    <n v="12"/>
    <x v="0"/>
    <s v="Passive"/>
    <m/>
  </r>
  <r>
    <x v="798"/>
    <x v="1"/>
    <x v="1"/>
    <x v="13"/>
    <x v="2"/>
    <x v="2"/>
    <x v="2"/>
    <x v="1"/>
    <x v="5"/>
    <x v="2"/>
    <s v=""/>
    <s v=""/>
    <s v=""/>
    <x v="2"/>
    <m/>
    <x v="0"/>
    <s v="Detractor"/>
    <m/>
  </r>
  <r>
    <x v="799"/>
    <x v="1"/>
    <x v="1"/>
    <x v="31"/>
    <x v="2"/>
    <x v="2"/>
    <x v="2"/>
    <x v="1"/>
    <x v="4"/>
    <x v="2"/>
    <s v=""/>
    <s v=""/>
    <s v=""/>
    <x v="2"/>
    <m/>
    <x v="0"/>
    <s v="Detractor"/>
    <m/>
  </r>
  <r>
    <x v="800"/>
    <x v="0"/>
    <x v="1"/>
    <x v="8"/>
    <x v="2"/>
    <x v="2"/>
    <x v="2"/>
    <x v="1"/>
    <x v="1"/>
    <x v="2"/>
    <s v=""/>
    <s v=""/>
    <s v=""/>
    <x v="2"/>
    <m/>
    <x v="0"/>
    <s v="Detractor"/>
    <m/>
  </r>
  <r>
    <x v="801"/>
    <x v="2"/>
    <x v="0"/>
    <x v="31"/>
    <x v="26"/>
    <x v="29"/>
    <x v="35"/>
    <x v="1"/>
    <x v="5"/>
    <x v="2"/>
    <n v="2"/>
    <n v="2"/>
    <n v="3"/>
    <x v="2"/>
    <n v="7"/>
    <x v="0"/>
    <s v="Detractor"/>
    <m/>
  </r>
  <r>
    <x v="802"/>
    <x v="0"/>
    <x v="0"/>
    <x v="30"/>
    <x v="14"/>
    <x v="6"/>
    <x v="7"/>
    <x v="0"/>
    <x v="0"/>
    <x v="1"/>
    <n v="5"/>
    <n v="5"/>
    <n v="5"/>
    <x v="4"/>
    <n v="15"/>
    <x v="0"/>
    <s v="Promoter"/>
    <m/>
  </r>
  <r>
    <x v="803"/>
    <x v="3"/>
    <x v="0"/>
    <x v="6"/>
    <x v="22"/>
    <x v="28"/>
    <x v="5"/>
    <x v="0"/>
    <x v="0"/>
    <x v="8"/>
    <n v="3"/>
    <n v="5"/>
    <n v="4"/>
    <x v="10"/>
    <n v="12"/>
    <x v="0"/>
    <s v="Detractor"/>
    <m/>
  </r>
  <r>
    <x v="804"/>
    <x v="2"/>
    <x v="0"/>
    <x v="7"/>
    <x v="13"/>
    <x v="5"/>
    <x v="38"/>
    <x v="0"/>
    <x v="0"/>
    <x v="46"/>
    <n v="2"/>
    <n v="2"/>
    <n v="5"/>
    <x v="3"/>
    <n v="9"/>
    <x v="0"/>
    <s v="Promoter"/>
    <m/>
  </r>
  <r>
    <x v="805"/>
    <x v="1"/>
    <x v="1"/>
    <x v="7"/>
    <x v="2"/>
    <x v="2"/>
    <x v="2"/>
    <x v="1"/>
    <x v="1"/>
    <x v="2"/>
    <s v=""/>
    <s v=""/>
    <s v=""/>
    <x v="2"/>
    <m/>
    <x v="0"/>
    <s v="Detractor"/>
    <m/>
  </r>
  <r>
    <x v="806"/>
    <x v="2"/>
    <x v="2"/>
    <x v="24"/>
    <x v="17"/>
    <x v="17"/>
    <x v="19"/>
    <x v="0"/>
    <x v="0"/>
    <x v="33"/>
    <n v="3"/>
    <n v="4"/>
    <n v="4"/>
    <x v="9"/>
    <n v="11"/>
    <x v="0"/>
    <s v="Detractor"/>
    <m/>
  </r>
  <r>
    <x v="807"/>
    <x v="1"/>
    <x v="0"/>
    <x v="26"/>
    <x v="35"/>
    <x v="7"/>
    <x v="4"/>
    <x v="0"/>
    <x v="0"/>
    <x v="0"/>
    <n v="5"/>
    <n v="2"/>
    <n v="2"/>
    <x v="0"/>
    <n v="9"/>
    <x v="0"/>
    <s v="Detractor"/>
    <m/>
  </r>
  <r>
    <x v="808"/>
    <x v="2"/>
    <x v="2"/>
    <x v="21"/>
    <x v="18"/>
    <x v="27"/>
    <x v="32"/>
    <x v="0"/>
    <x v="0"/>
    <x v="23"/>
    <n v="5"/>
    <n v="2"/>
    <n v="2"/>
    <x v="7"/>
    <n v="9"/>
    <x v="0"/>
    <s v="Detractor"/>
    <m/>
  </r>
  <r>
    <x v="809"/>
    <x v="2"/>
    <x v="0"/>
    <x v="13"/>
    <x v="13"/>
    <x v="37"/>
    <x v="28"/>
    <x v="0"/>
    <x v="0"/>
    <x v="28"/>
    <n v="1"/>
    <n v="3"/>
    <n v="3"/>
    <x v="10"/>
    <n v="7"/>
    <x v="0"/>
    <s v="Detractor"/>
    <m/>
  </r>
  <r>
    <x v="810"/>
    <x v="2"/>
    <x v="1"/>
    <x v="28"/>
    <x v="2"/>
    <x v="2"/>
    <x v="2"/>
    <x v="1"/>
    <x v="4"/>
    <x v="2"/>
    <s v=""/>
    <s v=""/>
    <s v=""/>
    <x v="2"/>
    <m/>
    <x v="0"/>
    <s v="Detractor"/>
    <m/>
  </r>
  <r>
    <x v="811"/>
    <x v="3"/>
    <x v="0"/>
    <x v="11"/>
    <x v="5"/>
    <x v="16"/>
    <x v="9"/>
    <x v="0"/>
    <x v="0"/>
    <x v="31"/>
    <n v="5"/>
    <n v="3"/>
    <n v="7"/>
    <x v="11"/>
    <n v="15"/>
    <x v="0"/>
    <s v="Passive"/>
    <m/>
  </r>
  <r>
    <x v="812"/>
    <x v="3"/>
    <x v="2"/>
    <x v="9"/>
    <x v="1"/>
    <x v="25"/>
    <x v="12"/>
    <x v="0"/>
    <x v="0"/>
    <x v="24"/>
    <n v="2"/>
    <n v="3"/>
    <n v="4"/>
    <x v="9"/>
    <n v="9"/>
    <x v="0"/>
    <s v="Detractor"/>
    <m/>
  </r>
  <r>
    <x v="813"/>
    <x v="0"/>
    <x v="1"/>
    <x v="27"/>
    <x v="2"/>
    <x v="2"/>
    <x v="2"/>
    <x v="1"/>
    <x v="1"/>
    <x v="2"/>
    <s v=""/>
    <s v=""/>
    <s v=""/>
    <x v="2"/>
    <m/>
    <x v="0"/>
    <s v="Detractor"/>
    <m/>
  </r>
  <r>
    <x v="814"/>
    <x v="0"/>
    <x v="0"/>
    <x v="8"/>
    <x v="32"/>
    <x v="19"/>
    <x v="43"/>
    <x v="0"/>
    <x v="0"/>
    <x v="13"/>
    <n v="5"/>
    <n v="4"/>
    <n v="7"/>
    <x v="0"/>
    <n v="16"/>
    <x v="0"/>
    <s v="Detractor"/>
    <m/>
  </r>
  <r>
    <x v="815"/>
    <x v="1"/>
    <x v="2"/>
    <x v="15"/>
    <x v="23"/>
    <x v="31"/>
    <x v="4"/>
    <x v="0"/>
    <x v="0"/>
    <x v="13"/>
    <n v="5"/>
    <n v="2"/>
    <n v="7"/>
    <x v="7"/>
    <n v="14"/>
    <x v="0"/>
    <s v="Detractor"/>
    <m/>
  </r>
  <r>
    <x v="816"/>
    <x v="3"/>
    <x v="2"/>
    <x v="12"/>
    <x v="0"/>
    <x v="26"/>
    <x v="17"/>
    <x v="1"/>
    <x v="4"/>
    <x v="2"/>
    <n v="2"/>
    <n v="1"/>
    <n v="6"/>
    <x v="2"/>
    <n v="9"/>
    <x v="0"/>
    <s v="Detractor"/>
    <m/>
  </r>
  <r>
    <x v="817"/>
    <x v="1"/>
    <x v="2"/>
    <x v="8"/>
    <x v="34"/>
    <x v="4"/>
    <x v="13"/>
    <x v="0"/>
    <x v="0"/>
    <x v="16"/>
    <n v="2"/>
    <n v="2"/>
    <n v="2"/>
    <x v="1"/>
    <n v="6"/>
    <x v="1"/>
    <s v="Passive"/>
    <m/>
  </r>
  <r>
    <x v="818"/>
    <x v="0"/>
    <x v="2"/>
    <x v="21"/>
    <x v="18"/>
    <x v="18"/>
    <x v="9"/>
    <x v="0"/>
    <x v="0"/>
    <x v="5"/>
    <n v="5"/>
    <n v="4"/>
    <n v="3"/>
    <x v="1"/>
    <n v="12"/>
    <x v="0"/>
    <s v="Passive"/>
    <m/>
  </r>
  <r>
    <x v="819"/>
    <x v="1"/>
    <x v="1"/>
    <x v="4"/>
    <x v="2"/>
    <x v="2"/>
    <x v="2"/>
    <x v="1"/>
    <x v="4"/>
    <x v="2"/>
    <s v=""/>
    <s v=""/>
    <s v=""/>
    <x v="2"/>
    <m/>
    <x v="0"/>
    <s v="Detractor"/>
    <m/>
  </r>
  <r>
    <x v="820"/>
    <x v="0"/>
    <x v="0"/>
    <x v="23"/>
    <x v="9"/>
    <x v="18"/>
    <x v="24"/>
    <x v="0"/>
    <x v="0"/>
    <x v="21"/>
    <n v="5"/>
    <n v="3"/>
    <n v="4"/>
    <x v="0"/>
    <n v="12"/>
    <x v="0"/>
    <s v="Detractor"/>
    <m/>
  </r>
  <r>
    <x v="821"/>
    <x v="3"/>
    <x v="1"/>
    <x v="15"/>
    <x v="2"/>
    <x v="2"/>
    <x v="2"/>
    <x v="1"/>
    <x v="3"/>
    <x v="2"/>
    <s v=""/>
    <s v=""/>
    <s v=""/>
    <x v="2"/>
    <m/>
    <x v="0"/>
    <s v="Detractor"/>
    <m/>
  </r>
  <r>
    <x v="822"/>
    <x v="2"/>
    <x v="0"/>
    <x v="15"/>
    <x v="12"/>
    <x v="31"/>
    <x v="0"/>
    <x v="0"/>
    <x v="0"/>
    <x v="25"/>
    <n v="3"/>
    <n v="4"/>
    <n v="3"/>
    <x v="9"/>
    <n v="10"/>
    <x v="0"/>
    <s v="Detractor"/>
    <m/>
  </r>
  <r>
    <x v="823"/>
    <x v="3"/>
    <x v="2"/>
    <x v="13"/>
    <x v="21"/>
    <x v="21"/>
    <x v="6"/>
    <x v="0"/>
    <x v="0"/>
    <x v="46"/>
    <n v="5"/>
    <n v="3"/>
    <n v="2"/>
    <x v="8"/>
    <n v="10"/>
    <x v="0"/>
    <s v="Detractor"/>
    <m/>
  </r>
  <r>
    <x v="824"/>
    <x v="1"/>
    <x v="0"/>
    <x v="26"/>
    <x v="11"/>
    <x v="22"/>
    <x v="8"/>
    <x v="1"/>
    <x v="4"/>
    <x v="2"/>
    <n v="1"/>
    <n v="4"/>
    <n v="7"/>
    <x v="2"/>
    <n v="12"/>
    <x v="0"/>
    <s v="Detractor"/>
    <m/>
  </r>
  <r>
    <x v="825"/>
    <x v="1"/>
    <x v="2"/>
    <x v="4"/>
    <x v="14"/>
    <x v="20"/>
    <x v="19"/>
    <x v="0"/>
    <x v="0"/>
    <x v="10"/>
    <n v="1"/>
    <n v="1"/>
    <n v="3"/>
    <x v="9"/>
    <n v="5"/>
    <x v="0"/>
    <s v="Detractor"/>
    <m/>
  </r>
  <r>
    <x v="826"/>
    <x v="3"/>
    <x v="0"/>
    <x v="0"/>
    <x v="31"/>
    <x v="27"/>
    <x v="21"/>
    <x v="0"/>
    <x v="0"/>
    <x v="32"/>
    <n v="1"/>
    <n v="3"/>
    <n v="4"/>
    <x v="5"/>
    <n v="8"/>
    <x v="0"/>
    <s v="Detractor"/>
    <m/>
  </r>
  <r>
    <x v="827"/>
    <x v="3"/>
    <x v="1"/>
    <x v="7"/>
    <x v="2"/>
    <x v="2"/>
    <x v="2"/>
    <x v="1"/>
    <x v="4"/>
    <x v="2"/>
    <s v=""/>
    <s v=""/>
    <s v=""/>
    <x v="2"/>
    <m/>
    <x v="0"/>
    <s v="Detractor"/>
    <m/>
  </r>
  <r>
    <x v="828"/>
    <x v="0"/>
    <x v="0"/>
    <x v="5"/>
    <x v="28"/>
    <x v="31"/>
    <x v="18"/>
    <x v="0"/>
    <x v="0"/>
    <x v="42"/>
    <n v="1"/>
    <n v="3"/>
    <n v="5"/>
    <x v="0"/>
    <n v="9"/>
    <x v="0"/>
    <s v="Detractor"/>
    <m/>
  </r>
  <r>
    <x v="829"/>
    <x v="1"/>
    <x v="0"/>
    <x v="6"/>
    <x v="16"/>
    <x v="16"/>
    <x v="21"/>
    <x v="1"/>
    <x v="2"/>
    <x v="2"/>
    <n v="5"/>
    <n v="2"/>
    <n v="6"/>
    <x v="2"/>
    <n v="13"/>
    <x v="0"/>
    <s v="Detractor"/>
    <m/>
  </r>
  <r>
    <x v="830"/>
    <x v="1"/>
    <x v="2"/>
    <x v="18"/>
    <x v="18"/>
    <x v="18"/>
    <x v="21"/>
    <x v="1"/>
    <x v="5"/>
    <x v="2"/>
    <n v="3"/>
    <n v="4"/>
    <n v="2"/>
    <x v="2"/>
    <n v="9"/>
    <x v="0"/>
    <s v="Detractor"/>
    <m/>
  </r>
  <r>
    <x v="831"/>
    <x v="3"/>
    <x v="2"/>
    <x v="4"/>
    <x v="24"/>
    <x v="3"/>
    <x v="5"/>
    <x v="0"/>
    <x v="0"/>
    <x v="5"/>
    <n v="2"/>
    <n v="5"/>
    <n v="7"/>
    <x v="3"/>
    <n v="14"/>
    <x v="0"/>
    <s v="Promoter"/>
    <m/>
  </r>
  <r>
    <x v="832"/>
    <x v="2"/>
    <x v="2"/>
    <x v="8"/>
    <x v="32"/>
    <x v="39"/>
    <x v="33"/>
    <x v="0"/>
    <x v="0"/>
    <x v="7"/>
    <n v="5"/>
    <n v="5"/>
    <n v="4"/>
    <x v="3"/>
    <n v="14"/>
    <x v="0"/>
    <s v="Promoter"/>
    <m/>
  </r>
  <r>
    <x v="833"/>
    <x v="1"/>
    <x v="0"/>
    <x v="8"/>
    <x v="8"/>
    <x v="9"/>
    <x v="8"/>
    <x v="0"/>
    <x v="0"/>
    <x v="13"/>
    <n v="4"/>
    <n v="2"/>
    <n v="4"/>
    <x v="5"/>
    <n v="10"/>
    <x v="0"/>
    <s v="Detractor"/>
    <m/>
  </r>
  <r>
    <x v="834"/>
    <x v="2"/>
    <x v="2"/>
    <x v="17"/>
    <x v="1"/>
    <x v="11"/>
    <x v="12"/>
    <x v="0"/>
    <x v="0"/>
    <x v="3"/>
    <n v="5"/>
    <n v="4"/>
    <n v="3"/>
    <x v="1"/>
    <n v="12"/>
    <x v="0"/>
    <s v="Passive"/>
    <m/>
  </r>
  <r>
    <x v="835"/>
    <x v="3"/>
    <x v="0"/>
    <x v="31"/>
    <x v="33"/>
    <x v="34"/>
    <x v="41"/>
    <x v="1"/>
    <x v="3"/>
    <x v="2"/>
    <n v="1"/>
    <n v="1"/>
    <n v="2"/>
    <x v="2"/>
    <n v="4"/>
    <x v="0"/>
    <s v="Detractor"/>
    <m/>
  </r>
  <r>
    <x v="836"/>
    <x v="3"/>
    <x v="0"/>
    <x v="12"/>
    <x v="12"/>
    <x v="0"/>
    <x v="0"/>
    <x v="0"/>
    <x v="0"/>
    <x v="42"/>
    <n v="4"/>
    <n v="2"/>
    <n v="5"/>
    <x v="0"/>
    <n v="11"/>
    <x v="0"/>
    <s v="Detractor"/>
    <m/>
  </r>
  <r>
    <x v="837"/>
    <x v="0"/>
    <x v="0"/>
    <x v="9"/>
    <x v="7"/>
    <x v="6"/>
    <x v="7"/>
    <x v="0"/>
    <x v="0"/>
    <x v="31"/>
    <n v="5"/>
    <n v="3"/>
    <n v="5"/>
    <x v="5"/>
    <n v="13"/>
    <x v="0"/>
    <s v="Detractor"/>
    <m/>
  </r>
  <r>
    <x v="838"/>
    <x v="1"/>
    <x v="2"/>
    <x v="29"/>
    <x v="21"/>
    <x v="30"/>
    <x v="16"/>
    <x v="0"/>
    <x v="0"/>
    <x v="22"/>
    <n v="3"/>
    <n v="1"/>
    <n v="6"/>
    <x v="5"/>
    <n v="10"/>
    <x v="0"/>
    <s v="Detractor"/>
    <m/>
  </r>
  <r>
    <x v="839"/>
    <x v="2"/>
    <x v="2"/>
    <x v="11"/>
    <x v="3"/>
    <x v="24"/>
    <x v="21"/>
    <x v="0"/>
    <x v="0"/>
    <x v="8"/>
    <n v="3"/>
    <n v="4"/>
    <n v="7"/>
    <x v="3"/>
    <n v="14"/>
    <x v="0"/>
    <s v="Promoter"/>
    <m/>
  </r>
  <r>
    <x v="840"/>
    <x v="0"/>
    <x v="1"/>
    <x v="11"/>
    <x v="2"/>
    <x v="2"/>
    <x v="2"/>
    <x v="1"/>
    <x v="3"/>
    <x v="2"/>
    <s v=""/>
    <s v=""/>
    <s v=""/>
    <x v="2"/>
    <m/>
    <x v="0"/>
    <s v="Detractor"/>
    <m/>
  </r>
  <r>
    <x v="841"/>
    <x v="1"/>
    <x v="0"/>
    <x v="8"/>
    <x v="8"/>
    <x v="38"/>
    <x v="10"/>
    <x v="0"/>
    <x v="0"/>
    <x v="43"/>
    <n v="4"/>
    <n v="3"/>
    <n v="6"/>
    <x v="3"/>
    <n v="13"/>
    <x v="0"/>
    <s v="Promoter"/>
    <m/>
  </r>
  <r>
    <x v="842"/>
    <x v="0"/>
    <x v="0"/>
    <x v="24"/>
    <x v="21"/>
    <x v="17"/>
    <x v="27"/>
    <x v="0"/>
    <x v="0"/>
    <x v="39"/>
    <n v="2"/>
    <n v="5"/>
    <n v="3"/>
    <x v="6"/>
    <n v="10"/>
    <x v="0"/>
    <s v="Detractor"/>
    <m/>
  </r>
  <r>
    <x v="843"/>
    <x v="3"/>
    <x v="2"/>
    <x v="3"/>
    <x v="10"/>
    <x v="7"/>
    <x v="4"/>
    <x v="1"/>
    <x v="3"/>
    <x v="2"/>
    <n v="4"/>
    <n v="4"/>
    <n v="2"/>
    <x v="2"/>
    <n v="10"/>
    <x v="0"/>
    <s v="Detractor"/>
    <m/>
  </r>
  <r>
    <x v="844"/>
    <x v="1"/>
    <x v="1"/>
    <x v="9"/>
    <x v="2"/>
    <x v="2"/>
    <x v="2"/>
    <x v="1"/>
    <x v="2"/>
    <x v="2"/>
    <s v=""/>
    <s v=""/>
    <s v=""/>
    <x v="2"/>
    <m/>
    <x v="0"/>
    <s v="Detractor"/>
    <m/>
  </r>
  <r>
    <x v="845"/>
    <x v="0"/>
    <x v="0"/>
    <x v="7"/>
    <x v="15"/>
    <x v="13"/>
    <x v="6"/>
    <x v="0"/>
    <x v="0"/>
    <x v="25"/>
    <n v="3"/>
    <n v="3"/>
    <n v="5"/>
    <x v="11"/>
    <n v="11"/>
    <x v="0"/>
    <s v="Passive"/>
    <m/>
  </r>
  <r>
    <x v="846"/>
    <x v="0"/>
    <x v="0"/>
    <x v="27"/>
    <x v="25"/>
    <x v="15"/>
    <x v="17"/>
    <x v="0"/>
    <x v="0"/>
    <x v="11"/>
    <n v="4"/>
    <n v="4"/>
    <n v="2"/>
    <x v="9"/>
    <n v="10"/>
    <x v="0"/>
    <s v="Detractor"/>
    <m/>
  </r>
  <r>
    <x v="847"/>
    <x v="2"/>
    <x v="1"/>
    <x v="9"/>
    <x v="2"/>
    <x v="2"/>
    <x v="2"/>
    <x v="1"/>
    <x v="4"/>
    <x v="2"/>
    <s v=""/>
    <s v=""/>
    <s v=""/>
    <x v="2"/>
    <m/>
    <x v="0"/>
    <s v="Detractor"/>
    <m/>
  </r>
  <r>
    <x v="848"/>
    <x v="0"/>
    <x v="2"/>
    <x v="21"/>
    <x v="22"/>
    <x v="24"/>
    <x v="7"/>
    <x v="0"/>
    <x v="0"/>
    <x v="19"/>
    <n v="1"/>
    <n v="3"/>
    <n v="3"/>
    <x v="7"/>
    <n v="7"/>
    <x v="0"/>
    <s v="Detractor"/>
    <m/>
  </r>
  <r>
    <x v="849"/>
    <x v="1"/>
    <x v="0"/>
    <x v="26"/>
    <x v="11"/>
    <x v="22"/>
    <x v="18"/>
    <x v="0"/>
    <x v="0"/>
    <x v="0"/>
    <n v="1"/>
    <n v="4"/>
    <n v="2"/>
    <x v="5"/>
    <n v="7"/>
    <x v="0"/>
    <s v="Detractor"/>
    <m/>
  </r>
  <r>
    <x v="850"/>
    <x v="1"/>
    <x v="0"/>
    <x v="0"/>
    <x v="18"/>
    <x v="8"/>
    <x v="9"/>
    <x v="0"/>
    <x v="0"/>
    <x v="3"/>
    <n v="2"/>
    <n v="5"/>
    <n v="2"/>
    <x v="8"/>
    <n v="9"/>
    <x v="0"/>
    <s v="Detractor"/>
    <m/>
  </r>
  <r>
    <x v="851"/>
    <x v="2"/>
    <x v="2"/>
    <x v="9"/>
    <x v="24"/>
    <x v="11"/>
    <x v="22"/>
    <x v="0"/>
    <x v="0"/>
    <x v="20"/>
    <n v="4"/>
    <n v="2"/>
    <n v="2"/>
    <x v="3"/>
    <n v="8"/>
    <x v="0"/>
    <s v="Promoter"/>
    <m/>
  </r>
  <r>
    <x v="852"/>
    <x v="1"/>
    <x v="1"/>
    <x v="31"/>
    <x v="2"/>
    <x v="2"/>
    <x v="2"/>
    <x v="1"/>
    <x v="5"/>
    <x v="2"/>
    <s v=""/>
    <s v=""/>
    <s v=""/>
    <x v="2"/>
    <m/>
    <x v="0"/>
    <s v="Detractor"/>
    <m/>
  </r>
  <r>
    <x v="853"/>
    <x v="3"/>
    <x v="0"/>
    <x v="28"/>
    <x v="7"/>
    <x v="6"/>
    <x v="15"/>
    <x v="1"/>
    <x v="1"/>
    <x v="2"/>
    <n v="4"/>
    <n v="3"/>
    <n v="3"/>
    <x v="2"/>
    <n v="10"/>
    <x v="0"/>
    <s v="Detractor"/>
    <m/>
  </r>
  <r>
    <x v="854"/>
    <x v="1"/>
    <x v="0"/>
    <x v="17"/>
    <x v="19"/>
    <x v="20"/>
    <x v="19"/>
    <x v="0"/>
    <x v="0"/>
    <x v="18"/>
    <n v="4"/>
    <n v="3"/>
    <n v="3"/>
    <x v="0"/>
    <n v="10"/>
    <x v="0"/>
    <s v="Detractor"/>
    <m/>
  </r>
  <r>
    <x v="855"/>
    <x v="1"/>
    <x v="2"/>
    <x v="29"/>
    <x v="17"/>
    <x v="20"/>
    <x v="19"/>
    <x v="0"/>
    <x v="0"/>
    <x v="14"/>
    <n v="4"/>
    <n v="5"/>
    <n v="3"/>
    <x v="11"/>
    <n v="12"/>
    <x v="0"/>
    <s v="Passive"/>
    <m/>
  </r>
  <r>
    <x v="856"/>
    <x v="0"/>
    <x v="2"/>
    <x v="8"/>
    <x v="34"/>
    <x v="4"/>
    <x v="23"/>
    <x v="0"/>
    <x v="0"/>
    <x v="40"/>
    <n v="2"/>
    <n v="2"/>
    <n v="5"/>
    <x v="10"/>
    <n v="9"/>
    <x v="0"/>
    <s v="Detractor"/>
    <m/>
  </r>
  <r>
    <x v="857"/>
    <x v="0"/>
    <x v="0"/>
    <x v="7"/>
    <x v="15"/>
    <x v="30"/>
    <x v="6"/>
    <x v="0"/>
    <x v="0"/>
    <x v="29"/>
    <n v="3"/>
    <n v="4"/>
    <n v="4"/>
    <x v="9"/>
    <n v="11"/>
    <x v="0"/>
    <s v="Detractor"/>
    <m/>
  </r>
  <r>
    <x v="858"/>
    <x v="1"/>
    <x v="0"/>
    <x v="8"/>
    <x v="32"/>
    <x v="33"/>
    <x v="20"/>
    <x v="0"/>
    <x v="0"/>
    <x v="40"/>
    <n v="5"/>
    <n v="3"/>
    <n v="7"/>
    <x v="11"/>
    <n v="15"/>
    <x v="0"/>
    <s v="Passive"/>
    <m/>
  </r>
  <r>
    <x v="859"/>
    <x v="2"/>
    <x v="2"/>
    <x v="3"/>
    <x v="11"/>
    <x v="12"/>
    <x v="11"/>
    <x v="0"/>
    <x v="0"/>
    <x v="31"/>
    <n v="2"/>
    <n v="2"/>
    <n v="7"/>
    <x v="8"/>
    <n v="11"/>
    <x v="0"/>
    <s v="Detractor"/>
    <m/>
  </r>
  <r>
    <x v="860"/>
    <x v="0"/>
    <x v="0"/>
    <x v="5"/>
    <x v="11"/>
    <x v="22"/>
    <x v="8"/>
    <x v="0"/>
    <x v="0"/>
    <x v="52"/>
    <n v="3"/>
    <n v="4"/>
    <n v="7"/>
    <x v="0"/>
    <n v="14"/>
    <x v="0"/>
    <s v="Detractor"/>
    <m/>
  </r>
  <r>
    <x v="861"/>
    <x v="2"/>
    <x v="0"/>
    <x v="11"/>
    <x v="3"/>
    <x v="3"/>
    <x v="15"/>
    <x v="0"/>
    <x v="0"/>
    <x v="31"/>
    <n v="3"/>
    <n v="3"/>
    <n v="2"/>
    <x v="7"/>
    <n v="8"/>
    <x v="0"/>
    <s v="Detractor"/>
    <m/>
  </r>
  <r>
    <x v="862"/>
    <x v="1"/>
    <x v="2"/>
    <x v="25"/>
    <x v="13"/>
    <x v="37"/>
    <x v="6"/>
    <x v="1"/>
    <x v="4"/>
    <x v="2"/>
    <n v="3"/>
    <n v="3"/>
    <n v="6"/>
    <x v="2"/>
    <n v="12"/>
    <x v="0"/>
    <s v="Detractor"/>
    <m/>
  </r>
  <r>
    <x v="863"/>
    <x v="1"/>
    <x v="0"/>
    <x v="27"/>
    <x v="25"/>
    <x v="15"/>
    <x v="18"/>
    <x v="0"/>
    <x v="0"/>
    <x v="10"/>
    <n v="4"/>
    <n v="4"/>
    <n v="6"/>
    <x v="3"/>
    <n v="14"/>
    <x v="0"/>
    <s v="Promoter"/>
    <m/>
  </r>
  <r>
    <x v="864"/>
    <x v="3"/>
    <x v="2"/>
    <x v="29"/>
    <x v="27"/>
    <x v="23"/>
    <x v="27"/>
    <x v="0"/>
    <x v="0"/>
    <x v="18"/>
    <n v="2"/>
    <n v="5"/>
    <n v="4"/>
    <x v="8"/>
    <n v="11"/>
    <x v="0"/>
    <s v="Detractor"/>
    <m/>
  </r>
  <r>
    <x v="865"/>
    <x v="0"/>
    <x v="1"/>
    <x v="0"/>
    <x v="2"/>
    <x v="2"/>
    <x v="2"/>
    <x v="1"/>
    <x v="2"/>
    <x v="2"/>
    <s v=""/>
    <s v=""/>
    <s v=""/>
    <x v="2"/>
    <m/>
    <x v="0"/>
    <s v="Detractor"/>
    <m/>
  </r>
  <r>
    <x v="866"/>
    <x v="1"/>
    <x v="0"/>
    <x v="0"/>
    <x v="9"/>
    <x v="26"/>
    <x v="5"/>
    <x v="0"/>
    <x v="0"/>
    <x v="5"/>
    <n v="3"/>
    <n v="2"/>
    <n v="2"/>
    <x v="3"/>
    <n v="7"/>
    <x v="0"/>
    <s v="Promoter"/>
    <m/>
  </r>
  <r>
    <x v="867"/>
    <x v="3"/>
    <x v="2"/>
    <x v="18"/>
    <x v="0"/>
    <x v="8"/>
    <x v="9"/>
    <x v="0"/>
    <x v="0"/>
    <x v="3"/>
    <n v="5"/>
    <n v="3"/>
    <n v="2"/>
    <x v="3"/>
    <n v="10"/>
    <x v="0"/>
    <s v="Promoter"/>
    <m/>
  </r>
  <r>
    <x v="868"/>
    <x v="0"/>
    <x v="0"/>
    <x v="2"/>
    <x v="13"/>
    <x v="13"/>
    <x v="28"/>
    <x v="0"/>
    <x v="0"/>
    <x v="18"/>
    <n v="5"/>
    <n v="4"/>
    <n v="2"/>
    <x v="7"/>
    <n v="11"/>
    <x v="0"/>
    <s v="Detractor"/>
    <m/>
  </r>
  <r>
    <x v="869"/>
    <x v="1"/>
    <x v="0"/>
    <x v="31"/>
    <x v="33"/>
    <x v="29"/>
    <x v="35"/>
    <x v="0"/>
    <x v="0"/>
    <x v="36"/>
    <n v="1"/>
    <n v="3"/>
    <n v="3"/>
    <x v="10"/>
    <n v="7"/>
    <x v="0"/>
    <s v="Detractor"/>
    <m/>
  </r>
  <r>
    <x v="870"/>
    <x v="1"/>
    <x v="0"/>
    <x v="19"/>
    <x v="23"/>
    <x v="10"/>
    <x v="23"/>
    <x v="0"/>
    <x v="0"/>
    <x v="40"/>
    <n v="3"/>
    <n v="4"/>
    <n v="7"/>
    <x v="1"/>
    <n v="14"/>
    <x v="0"/>
    <s v="Passive"/>
    <m/>
  </r>
  <r>
    <x v="871"/>
    <x v="0"/>
    <x v="0"/>
    <x v="1"/>
    <x v="19"/>
    <x v="20"/>
    <x v="12"/>
    <x v="0"/>
    <x v="0"/>
    <x v="18"/>
    <n v="2"/>
    <n v="3"/>
    <n v="5"/>
    <x v="11"/>
    <n v="10"/>
    <x v="0"/>
    <s v="Passive"/>
    <m/>
  </r>
  <r>
    <x v="872"/>
    <x v="0"/>
    <x v="0"/>
    <x v="24"/>
    <x v="20"/>
    <x v="21"/>
    <x v="14"/>
    <x v="0"/>
    <x v="0"/>
    <x v="39"/>
    <n v="4"/>
    <n v="1"/>
    <n v="3"/>
    <x v="7"/>
    <n v="8"/>
    <x v="0"/>
    <s v="Detractor"/>
    <m/>
  </r>
  <r>
    <x v="873"/>
    <x v="0"/>
    <x v="2"/>
    <x v="13"/>
    <x v="13"/>
    <x v="30"/>
    <x v="38"/>
    <x v="0"/>
    <x v="0"/>
    <x v="32"/>
    <n v="1"/>
    <n v="5"/>
    <n v="2"/>
    <x v="8"/>
    <n v="8"/>
    <x v="0"/>
    <s v="Detractor"/>
    <m/>
  </r>
  <r>
    <x v="874"/>
    <x v="1"/>
    <x v="2"/>
    <x v="19"/>
    <x v="23"/>
    <x v="31"/>
    <x v="34"/>
    <x v="0"/>
    <x v="0"/>
    <x v="24"/>
    <n v="3"/>
    <n v="2"/>
    <n v="4"/>
    <x v="9"/>
    <n v="9"/>
    <x v="0"/>
    <s v="Detractor"/>
    <m/>
  </r>
  <r>
    <x v="875"/>
    <x v="1"/>
    <x v="2"/>
    <x v="23"/>
    <x v="18"/>
    <x v="8"/>
    <x v="9"/>
    <x v="0"/>
    <x v="0"/>
    <x v="24"/>
    <n v="4"/>
    <n v="5"/>
    <n v="2"/>
    <x v="5"/>
    <n v="11"/>
    <x v="0"/>
    <s v="Detractor"/>
    <m/>
  </r>
  <r>
    <x v="876"/>
    <x v="3"/>
    <x v="0"/>
    <x v="29"/>
    <x v="27"/>
    <x v="23"/>
    <x v="14"/>
    <x v="0"/>
    <x v="0"/>
    <x v="32"/>
    <n v="2"/>
    <n v="5"/>
    <n v="2"/>
    <x v="0"/>
    <n v="9"/>
    <x v="0"/>
    <s v="Detractor"/>
    <m/>
  </r>
  <r>
    <x v="877"/>
    <x v="2"/>
    <x v="1"/>
    <x v="25"/>
    <x v="2"/>
    <x v="2"/>
    <x v="2"/>
    <x v="1"/>
    <x v="4"/>
    <x v="2"/>
    <s v=""/>
    <s v=""/>
    <s v=""/>
    <x v="2"/>
    <m/>
    <x v="0"/>
    <s v="Detractor"/>
    <m/>
  </r>
  <r>
    <x v="878"/>
    <x v="0"/>
    <x v="0"/>
    <x v="5"/>
    <x v="23"/>
    <x v="31"/>
    <x v="18"/>
    <x v="0"/>
    <x v="0"/>
    <x v="30"/>
    <n v="2"/>
    <n v="2"/>
    <n v="5"/>
    <x v="8"/>
    <n v="9"/>
    <x v="0"/>
    <s v="Detractor"/>
    <m/>
  </r>
  <r>
    <x v="879"/>
    <x v="1"/>
    <x v="2"/>
    <x v="22"/>
    <x v="25"/>
    <x v="31"/>
    <x v="26"/>
    <x v="0"/>
    <x v="0"/>
    <x v="14"/>
    <n v="1"/>
    <n v="5"/>
    <n v="2"/>
    <x v="8"/>
    <n v="8"/>
    <x v="0"/>
    <s v="Detractor"/>
    <m/>
  </r>
  <r>
    <x v="880"/>
    <x v="1"/>
    <x v="0"/>
    <x v="21"/>
    <x v="22"/>
    <x v="6"/>
    <x v="15"/>
    <x v="0"/>
    <x v="0"/>
    <x v="39"/>
    <n v="1"/>
    <n v="1"/>
    <n v="3"/>
    <x v="0"/>
    <n v="5"/>
    <x v="0"/>
    <s v="Detractor"/>
    <m/>
  </r>
  <r>
    <x v="881"/>
    <x v="0"/>
    <x v="1"/>
    <x v="29"/>
    <x v="2"/>
    <x v="2"/>
    <x v="2"/>
    <x v="1"/>
    <x v="4"/>
    <x v="2"/>
    <s v=""/>
    <s v=""/>
    <s v=""/>
    <x v="2"/>
    <m/>
    <x v="0"/>
    <s v="Detractor"/>
    <m/>
  </r>
  <r>
    <x v="882"/>
    <x v="2"/>
    <x v="0"/>
    <x v="23"/>
    <x v="31"/>
    <x v="26"/>
    <x v="17"/>
    <x v="0"/>
    <x v="0"/>
    <x v="0"/>
    <n v="3"/>
    <n v="4"/>
    <n v="6"/>
    <x v="8"/>
    <n v="13"/>
    <x v="0"/>
    <s v="Detractor"/>
    <m/>
  </r>
  <r>
    <x v="883"/>
    <x v="0"/>
    <x v="1"/>
    <x v="29"/>
    <x v="2"/>
    <x v="2"/>
    <x v="2"/>
    <x v="1"/>
    <x v="2"/>
    <x v="2"/>
    <s v=""/>
    <s v=""/>
    <s v=""/>
    <x v="2"/>
    <m/>
    <x v="0"/>
    <s v="Detractor"/>
    <m/>
  </r>
  <r>
    <x v="884"/>
    <x v="2"/>
    <x v="2"/>
    <x v="5"/>
    <x v="4"/>
    <x v="10"/>
    <x v="4"/>
    <x v="0"/>
    <x v="0"/>
    <x v="44"/>
    <n v="4"/>
    <n v="2"/>
    <n v="5"/>
    <x v="11"/>
    <n v="11"/>
    <x v="0"/>
    <s v="Passive"/>
    <m/>
  </r>
  <r>
    <x v="885"/>
    <x v="1"/>
    <x v="2"/>
    <x v="3"/>
    <x v="34"/>
    <x v="9"/>
    <x v="10"/>
    <x v="0"/>
    <x v="0"/>
    <x v="21"/>
    <n v="5"/>
    <n v="4"/>
    <n v="7"/>
    <x v="9"/>
    <n v="16"/>
    <x v="0"/>
    <s v="Detractor"/>
    <m/>
  </r>
  <r>
    <x v="886"/>
    <x v="2"/>
    <x v="1"/>
    <x v="24"/>
    <x v="2"/>
    <x v="2"/>
    <x v="2"/>
    <x v="1"/>
    <x v="3"/>
    <x v="2"/>
    <s v=""/>
    <s v=""/>
    <s v=""/>
    <x v="2"/>
    <m/>
    <x v="0"/>
    <s v="Detractor"/>
    <m/>
  </r>
  <r>
    <x v="887"/>
    <x v="3"/>
    <x v="0"/>
    <x v="1"/>
    <x v="14"/>
    <x v="11"/>
    <x v="15"/>
    <x v="0"/>
    <x v="0"/>
    <x v="14"/>
    <n v="4"/>
    <n v="3"/>
    <n v="5"/>
    <x v="11"/>
    <n v="12"/>
    <x v="0"/>
    <s v="Passive"/>
    <m/>
  </r>
  <r>
    <x v="888"/>
    <x v="1"/>
    <x v="0"/>
    <x v="22"/>
    <x v="12"/>
    <x v="8"/>
    <x v="26"/>
    <x v="0"/>
    <x v="0"/>
    <x v="1"/>
    <n v="2"/>
    <n v="1"/>
    <n v="5"/>
    <x v="3"/>
    <n v="8"/>
    <x v="0"/>
    <s v="Promoter"/>
    <m/>
  </r>
  <r>
    <x v="889"/>
    <x v="3"/>
    <x v="0"/>
    <x v="13"/>
    <x v="15"/>
    <x v="30"/>
    <x v="38"/>
    <x v="0"/>
    <x v="0"/>
    <x v="34"/>
    <n v="2"/>
    <n v="4"/>
    <n v="2"/>
    <x v="8"/>
    <n v="8"/>
    <x v="0"/>
    <s v="Detractor"/>
    <m/>
  </r>
  <r>
    <x v="890"/>
    <x v="0"/>
    <x v="1"/>
    <x v="19"/>
    <x v="2"/>
    <x v="2"/>
    <x v="2"/>
    <x v="1"/>
    <x v="3"/>
    <x v="2"/>
    <s v=""/>
    <s v=""/>
    <s v=""/>
    <x v="2"/>
    <m/>
    <x v="0"/>
    <s v="Detractor"/>
    <m/>
  </r>
  <r>
    <x v="891"/>
    <x v="0"/>
    <x v="0"/>
    <x v="26"/>
    <x v="10"/>
    <x v="7"/>
    <x v="8"/>
    <x v="0"/>
    <x v="0"/>
    <x v="24"/>
    <n v="3"/>
    <n v="4"/>
    <n v="5"/>
    <x v="11"/>
    <n v="12"/>
    <x v="0"/>
    <s v="Passive"/>
    <m/>
  </r>
  <r>
    <x v="892"/>
    <x v="0"/>
    <x v="0"/>
    <x v="18"/>
    <x v="0"/>
    <x v="18"/>
    <x v="0"/>
    <x v="0"/>
    <x v="0"/>
    <x v="19"/>
    <n v="5"/>
    <n v="2"/>
    <n v="7"/>
    <x v="11"/>
    <n v="14"/>
    <x v="0"/>
    <s v="Passive"/>
    <m/>
  </r>
  <r>
    <x v="893"/>
    <x v="2"/>
    <x v="0"/>
    <x v="2"/>
    <x v="26"/>
    <x v="36"/>
    <x v="28"/>
    <x v="0"/>
    <x v="0"/>
    <x v="41"/>
    <n v="3"/>
    <n v="3"/>
    <n v="5"/>
    <x v="11"/>
    <n v="11"/>
    <x v="0"/>
    <s v="Passive"/>
    <m/>
  </r>
  <r>
    <x v="894"/>
    <x v="1"/>
    <x v="0"/>
    <x v="17"/>
    <x v="17"/>
    <x v="21"/>
    <x v="14"/>
    <x v="0"/>
    <x v="0"/>
    <x v="29"/>
    <n v="2"/>
    <n v="2"/>
    <n v="3"/>
    <x v="10"/>
    <n v="7"/>
    <x v="0"/>
    <s v="Detractor"/>
    <m/>
  </r>
  <r>
    <x v="895"/>
    <x v="0"/>
    <x v="0"/>
    <x v="3"/>
    <x v="11"/>
    <x v="10"/>
    <x v="13"/>
    <x v="1"/>
    <x v="5"/>
    <x v="2"/>
    <n v="2"/>
    <n v="3"/>
    <n v="4"/>
    <x v="2"/>
    <n v="9"/>
    <x v="0"/>
    <s v="Detractor"/>
    <m/>
  </r>
  <r>
    <x v="896"/>
    <x v="0"/>
    <x v="1"/>
    <x v="13"/>
    <x v="2"/>
    <x v="2"/>
    <x v="2"/>
    <x v="1"/>
    <x v="5"/>
    <x v="2"/>
    <s v=""/>
    <s v=""/>
    <s v=""/>
    <x v="2"/>
    <m/>
    <x v="0"/>
    <s v="Detractor"/>
    <m/>
  </r>
  <r>
    <x v="897"/>
    <x v="1"/>
    <x v="1"/>
    <x v="13"/>
    <x v="2"/>
    <x v="2"/>
    <x v="2"/>
    <x v="1"/>
    <x v="3"/>
    <x v="2"/>
    <s v=""/>
    <s v=""/>
    <s v=""/>
    <x v="2"/>
    <m/>
    <x v="0"/>
    <s v="Detractor"/>
    <m/>
  </r>
  <r>
    <x v="898"/>
    <x v="0"/>
    <x v="1"/>
    <x v="21"/>
    <x v="2"/>
    <x v="2"/>
    <x v="2"/>
    <x v="1"/>
    <x v="1"/>
    <x v="2"/>
    <s v=""/>
    <s v=""/>
    <s v=""/>
    <x v="2"/>
    <m/>
    <x v="0"/>
    <s v="Detractor"/>
    <m/>
  </r>
  <r>
    <x v="899"/>
    <x v="3"/>
    <x v="2"/>
    <x v="17"/>
    <x v="19"/>
    <x v="17"/>
    <x v="27"/>
    <x v="0"/>
    <x v="0"/>
    <x v="20"/>
    <n v="4"/>
    <n v="2"/>
    <n v="3"/>
    <x v="3"/>
    <n v="9"/>
    <x v="0"/>
    <s v="Promoter"/>
    <m/>
  </r>
  <r>
    <x v="900"/>
    <x v="1"/>
    <x v="0"/>
    <x v="19"/>
    <x v="4"/>
    <x v="4"/>
    <x v="4"/>
    <x v="0"/>
    <x v="0"/>
    <x v="44"/>
    <n v="5"/>
    <n v="4"/>
    <n v="3"/>
    <x v="4"/>
    <n v="12"/>
    <x v="0"/>
    <s v="Promoter"/>
    <m/>
  </r>
  <r>
    <x v="901"/>
    <x v="1"/>
    <x v="0"/>
    <x v="14"/>
    <x v="21"/>
    <x v="23"/>
    <x v="27"/>
    <x v="0"/>
    <x v="0"/>
    <x v="33"/>
    <n v="4"/>
    <n v="4"/>
    <n v="4"/>
    <x v="6"/>
    <n v="12"/>
    <x v="0"/>
    <s v="Detractor"/>
    <m/>
  </r>
  <r>
    <x v="902"/>
    <x v="1"/>
    <x v="0"/>
    <x v="7"/>
    <x v="30"/>
    <x v="37"/>
    <x v="38"/>
    <x v="0"/>
    <x v="0"/>
    <x v="36"/>
    <n v="4"/>
    <n v="1"/>
    <n v="4"/>
    <x v="7"/>
    <n v="9"/>
    <x v="0"/>
    <s v="Detractor"/>
    <m/>
  </r>
  <r>
    <x v="903"/>
    <x v="3"/>
    <x v="0"/>
    <x v="27"/>
    <x v="0"/>
    <x v="0"/>
    <x v="0"/>
    <x v="0"/>
    <x v="0"/>
    <x v="21"/>
    <n v="3"/>
    <n v="4"/>
    <n v="5"/>
    <x v="3"/>
    <n v="12"/>
    <x v="0"/>
    <s v="Promoter"/>
    <m/>
  </r>
  <r>
    <x v="904"/>
    <x v="1"/>
    <x v="1"/>
    <x v="3"/>
    <x v="2"/>
    <x v="2"/>
    <x v="2"/>
    <x v="1"/>
    <x v="4"/>
    <x v="2"/>
    <s v=""/>
    <s v=""/>
    <s v=""/>
    <x v="2"/>
    <m/>
    <x v="0"/>
    <s v="Detractor"/>
    <m/>
  </r>
  <r>
    <x v="905"/>
    <x v="3"/>
    <x v="0"/>
    <x v="2"/>
    <x v="6"/>
    <x v="13"/>
    <x v="38"/>
    <x v="0"/>
    <x v="0"/>
    <x v="36"/>
    <n v="4"/>
    <n v="5"/>
    <n v="3"/>
    <x v="11"/>
    <n v="12"/>
    <x v="0"/>
    <s v="Passive"/>
    <m/>
  </r>
  <r>
    <x v="906"/>
    <x v="1"/>
    <x v="0"/>
    <x v="13"/>
    <x v="13"/>
    <x v="13"/>
    <x v="28"/>
    <x v="0"/>
    <x v="0"/>
    <x v="36"/>
    <n v="1"/>
    <n v="4"/>
    <n v="2"/>
    <x v="8"/>
    <n v="7"/>
    <x v="0"/>
    <s v="Detractor"/>
    <m/>
  </r>
  <r>
    <x v="907"/>
    <x v="2"/>
    <x v="2"/>
    <x v="2"/>
    <x v="29"/>
    <x v="36"/>
    <x v="38"/>
    <x v="0"/>
    <x v="0"/>
    <x v="38"/>
    <n v="1"/>
    <n v="5"/>
    <n v="6"/>
    <x v="0"/>
    <n v="12"/>
    <x v="0"/>
    <s v="Detractor"/>
    <m/>
  </r>
  <r>
    <x v="908"/>
    <x v="0"/>
    <x v="0"/>
    <x v="9"/>
    <x v="24"/>
    <x v="6"/>
    <x v="1"/>
    <x v="0"/>
    <x v="0"/>
    <x v="49"/>
    <n v="4"/>
    <n v="4"/>
    <n v="6"/>
    <x v="1"/>
    <n v="14"/>
    <x v="0"/>
    <s v="Passive"/>
    <m/>
  </r>
  <r>
    <x v="909"/>
    <x v="2"/>
    <x v="0"/>
    <x v="19"/>
    <x v="4"/>
    <x v="7"/>
    <x v="36"/>
    <x v="0"/>
    <x v="0"/>
    <x v="0"/>
    <n v="5"/>
    <n v="5"/>
    <n v="6"/>
    <x v="0"/>
    <n v="16"/>
    <x v="0"/>
    <s v="Detractor"/>
    <m/>
  </r>
  <r>
    <x v="910"/>
    <x v="0"/>
    <x v="0"/>
    <x v="19"/>
    <x v="11"/>
    <x v="4"/>
    <x v="4"/>
    <x v="0"/>
    <x v="0"/>
    <x v="27"/>
    <n v="4"/>
    <n v="5"/>
    <n v="3"/>
    <x v="8"/>
    <n v="12"/>
    <x v="0"/>
    <s v="Detractor"/>
    <m/>
  </r>
  <r>
    <x v="911"/>
    <x v="3"/>
    <x v="2"/>
    <x v="24"/>
    <x v="21"/>
    <x v="23"/>
    <x v="12"/>
    <x v="0"/>
    <x v="0"/>
    <x v="17"/>
    <n v="2"/>
    <n v="4"/>
    <n v="7"/>
    <x v="10"/>
    <n v="13"/>
    <x v="0"/>
    <s v="Detractor"/>
    <m/>
  </r>
  <r>
    <x v="912"/>
    <x v="2"/>
    <x v="2"/>
    <x v="23"/>
    <x v="16"/>
    <x v="26"/>
    <x v="9"/>
    <x v="0"/>
    <x v="0"/>
    <x v="14"/>
    <n v="2"/>
    <n v="5"/>
    <n v="4"/>
    <x v="1"/>
    <n v="11"/>
    <x v="0"/>
    <s v="Passive"/>
    <m/>
  </r>
  <r>
    <x v="913"/>
    <x v="1"/>
    <x v="0"/>
    <x v="1"/>
    <x v="24"/>
    <x v="25"/>
    <x v="31"/>
    <x v="0"/>
    <x v="0"/>
    <x v="20"/>
    <n v="5"/>
    <n v="1"/>
    <n v="5"/>
    <x v="3"/>
    <n v="11"/>
    <x v="0"/>
    <s v="Promoter"/>
    <m/>
  </r>
  <r>
    <x v="914"/>
    <x v="0"/>
    <x v="2"/>
    <x v="2"/>
    <x v="26"/>
    <x v="36"/>
    <x v="28"/>
    <x v="0"/>
    <x v="0"/>
    <x v="28"/>
    <n v="3"/>
    <n v="3"/>
    <n v="5"/>
    <x v="8"/>
    <n v="11"/>
    <x v="0"/>
    <s v="Detractor"/>
    <m/>
  </r>
  <r>
    <x v="915"/>
    <x v="0"/>
    <x v="2"/>
    <x v="14"/>
    <x v="15"/>
    <x v="14"/>
    <x v="27"/>
    <x v="0"/>
    <x v="0"/>
    <x v="38"/>
    <n v="1"/>
    <n v="5"/>
    <n v="6"/>
    <x v="10"/>
    <n v="12"/>
    <x v="0"/>
    <s v="Detractor"/>
    <m/>
  </r>
  <r>
    <x v="916"/>
    <x v="2"/>
    <x v="2"/>
    <x v="17"/>
    <x v="21"/>
    <x v="17"/>
    <x v="22"/>
    <x v="0"/>
    <x v="0"/>
    <x v="22"/>
    <n v="1"/>
    <n v="5"/>
    <n v="5"/>
    <x v="5"/>
    <n v="11"/>
    <x v="0"/>
    <s v="Detractor"/>
    <m/>
  </r>
  <r>
    <x v="917"/>
    <x v="3"/>
    <x v="2"/>
    <x v="31"/>
    <x v="6"/>
    <x v="29"/>
    <x v="29"/>
    <x v="0"/>
    <x v="0"/>
    <x v="55"/>
    <n v="3"/>
    <n v="1"/>
    <n v="2"/>
    <x v="1"/>
    <n v="6"/>
    <x v="1"/>
    <s v="Passive"/>
    <m/>
  </r>
  <r>
    <x v="918"/>
    <x v="2"/>
    <x v="2"/>
    <x v="13"/>
    <x v="27"/>
    <x v="13"/>
    <x v="28"/>
    <x v="0"/>
    <x v="0"/>
    <x v="38"/>
    <n v="4"/>
    <n v="1"/>
    <n v="2"/>
    <x v="10"/>
    <n v="7"/>
    <x v="0"/>
    <s v="Detractor"/>
    <m/>
  </r>
  <r>
    <x v="919"/>
    <x v="3"/>
    <x v="0"/>
    <x v="15"/>
    <x v="23"/>
    <x v="31"/>
    <x v="34"/>
    <x v="0"/>
    <x v="0"/>
    <x v="49"/>
    <n v="5"/>
    <n v="2"/>
    <n v="4"/>
    <x v="5"/>
    <n v="11"/>
    <x v="0"/>
    <s v="Detractor"/>
    <m/>
  </r>
  <r>
    <x v="920"/>
    <x v="3"/>
    <x v="0"/>
    <x v="4"/>
    <x v="3"/>
    <x v="3"/>
    <x v="1"/>
    <x v="0"/>
    <x v="0"/>
    <x v="20"/>
    <n v="4"/>
    <n v="3"/>
    <n v="5"/>
    <x v="6"/>
    <n v="12"/>
    <x v="0"/>
    <s v="Detractor"/>
    <m/>
  </r>
  <r>
    <x v="921"/>
    <x v="0"/>
    <x v="1"/>
    <x v="16"/>
    <x v="2"/>
    <x v="2"/>
    <x v="2"/>
    <x v="1"/>
    <x v="1"/>
    <x v="2"/>
    <s v=""/>
    <s v=""/>
    <s v=""/>
    <x v="2"/>
    <m/>
    <x v="0"/>
    <s v="Detractor"/>
    <m/>
  </r>
  <r>
    <x v="922"/>
    <x v="2"/>
    <x v="0"/>
    <x v="7"/>
    <x v="15"/>
    <x v="37"/>
    <x v="28"/>
    <x v="0"/>
    <x v="0"/>
    <x v="22"/>
    <n v="3"/>
    <n v="2"/>
    <n v="3"/>
    <x v="5"/>
    <n v="8"/>
    <x v="0"/>
    <s v="Detractor"/>
    <m/>
  </r>
  <r>
    <x v="923"/>
    <x v="2"/>
    <x v="0"/>
    <x v="15"/>
    <x v="23"/>
    <x v="22"/>
    <x v="11"/>
    <x v="0"/>
    <x v="0"/>
    <x v="31"/>
    <n v="5"/>
    <n v="5"/>
    <n v="5"/>
    <x v="5"/>
    <n v="15"/>
    <x v="0"/>
    <s v="Detractor"/>
    <m/>
  </r>
  <r>
    <x v="924"/>
    <x v="3"/>
    <x v="2"/>
    <x v="25"/>
    <x v="26"/>
    <x v="32"/>
    <x v="29"/>
    <x v="0"/>
    <x v="0"/>
    <x v="35"/>
    <n v="1"/>
    <n v="1"/>
    <n v="3"/>
    <x v="5"/>
    <n v="5"/>
    <x v="0"/>
    <s v="Detractor"/>
    <m/>
  </r>
  <r>
    <x v="925"/>
    <x v="2"/>
    <x v="2"/>
    <x v="6"/>
    <x v="7"/>
    <x v="24"/>
    <x v="21"/>
    <x v="0"/>
    <x v="0"/>
    <x v="17"/>
    <n v="1"/>
    <n v="5"/>
    <n v="7"/>
    <x v="0"/>
    <n v="13"/>
    <x v="0"/>
    <s v="Detractor"/>
    <m/>
  </r>
  <r>
    <x v="926"/>
    <x v="1"/>
    <x v="0"/>
    <x v="11"/>
    <x v="22"/>
    <x v="16"/>
    <x v="21"/>
    <x v="0"/>
    <x v="0"/>
    <x v="32"/>
    <n v="4"/>
    <n v="4"/>
    <n v="6"/>
    <x v="11"/>
    <n v="14"/>
    <x v="0"/>
    <s v="Passive"/>
    <m/>
  </r>
  <r>
    <x v="927"/>
    <x v="1"/>
    <x v="2"/>
    <x v="22"/>
    <x v="12"/>
    <x v="15"/>
    <x v="26"/>
    <x v="1"/>
    <x v="4"/>
    <x v="2"/>
    <n v="2"/>
    <n v="3"/>
    <n v="3"/>
    <x v="2"/>
    <n v="8"/>
    <x v="0"/>
    <s v="Detractor"/>
    <m/>
  </r>
  <r>
    <x v="928"/>
    <x v="2"/>
    <x v="0"/>
    <x v="9"/>
    <x v="14"/>
    <x v="1"/>
    <x v="1"/>
    <x v="0"/>
    <x v="0"/>
    <x v="17"/>
    <n v="3"/>
    <n v="4"/>
    <n v="7"/>
    <x v="1"/>
    <n v="14"/>
    <x v="0"/>
    <s v="Passive"/>
    <m/>
  </r>
  <r>
    <x v="929"/>
    <x v="2"/>
    <x v="0"/>
    <x v="16"/>
    <x v="5"/>
    <x v="3"/>
    <x v="32"/>
    <x v="0"/>
    <x v="0"/>
    <x v="23"/>
    <n v="3"/>
    <n v="1"/>
    <n v="6"/>
    <x v="10"/>
    <n v="10"/>
    <x v="0"/>
    <s v="Detractor"/>
    <m/>
  </r>
  <r>
    <x v="930"/>
    <x v="3"/>
    <x v="0"/>
    <x v="23"/>
    <x v="18"/>
    <x v="28"/>
    <x v="1"/>
    <x v="0"/>
    <x v="0"/>
    <x v="5"/>
    <n v="4"/>
    <n v="1"/>
    <n v="2"/>
    <x v="11"/>
    <n v="7"/>
    <x v="0"/>
    <s v="Passive"/>
    <m/>
  </r>
  <r>
    <x v="931"/>
    <x v="1"/>
    <x v="2"/>
    <x v="7"/>
    <x v="15"/>
    <x v="5"/>
    <x v="38"/>
    <x v="0"/>
    <x v="0"/>
    <x v="15"/>
    <n v="3"/>
    <n v="1"/>
    <n v="5"/>
    <x v="3"/>
    <n v="9"/>
    <x v="0"/>
    <s v="Promoter"/>
    <m/>
  </r>
  <r>
    <x v="932"/>
    <x v="1"/>
    <x v="0"/>
    <x v="11"/>
    <x v="24"/>
    <x v="1"/>
    <x v="1"/>
    <x v="0"/>
    <x v="0"/>
    <x v="42"/>
    <n v="1"/>
    <n v="3"/>
    <n v="7"/>
    <x v="0"/>
    <n v="11"/>
    <x v="0"/>
    <s v="Detractor"/>
    <m/>
  </r>
  <r>
    <x v="933"/>
    <x v="0"/>
    <x v="0"/>
    <x v="16"/>
    <x v="16"/>
    <x v="16"/>
    <x v="32"/>
    <x v="1"/>
    <x v="3"/>
    <x v="2"/>
    <n v="4"/>
    <n v="2"/>
    <n v="4"/>
    <x v="2"/>
    <n v="10"/>
    <x v="0"/>
    <s v="Detractor"/>
    <m/>
  </r>
  <r>
    <x v="934"/>
    <x v="3"/>
    <x v="2"/>
    <x v="24"/>
    <x v="27"/>
    <x v="23"/>
    <x v="19"/>
    <x v="0"/>
    <x v="0"/>
    <x v="3"/>
    <n v="1"/>
    <n v="5"/>
    <n v="5"/>
    <x v="3"/>
    <n v="11"/>
    <x v="0"/>
    <s v="Promoter"/>
    <m/>
  </r>
  <r>
    <x v="935"/>
    <x v="0"/>
    <x v="0"/>
    <x v="8"/>
    <x v="32"/>
    <x v="39"/>
    <x v="43"/>
    <x v="0"/>
    <x v="0"/>
    <x v="56"/>
    <n v="5"/>
    <n v="5"/>
    <n v="6"/>
    <x v="0"/>
    <n v="16"/>
    <x v="0"/>
    <s v="Detractor"/>
    <m/>
  </r>
  <r>
    <x v="936"/>
    <x v="1"/>
    <x v="0"/>
    <x v="18"/>
    <x v="0"/>
    <x v="15"/>
    <x v="34"/>
    <x v="0"/>
    <x v="0"/>
    <x v="1"/>
    <n v="5"/>
    <n v="5"/>
    <n v="5"/>
    <x v="8"/>
    <n v="15"/>
    <x v="0"/>
    <s v="Detractor"/>
    <m/>
  </r>
  <r>
    <x v="937"/>
    <x v="3"/>
    <x v="1"/>
    <x v="31"/>
    <x v="2"/>
    <x v="2"/>
    <x v="2"/>
    <x v="1"/>
    <x v="5"/>
    <x v="2"/>
    <s v=""/>
    <s v=""/>
    <s v=""/>
    <x v="2"/>
    <m/>
    <x v="0"/>
    <s v="Detractor"/>
    <m/>
  </r>
  <r>
    <x v="938"/>
    <x v="2"/>
    <x v="2"/>
    <x v="15"/>
    <x v="25"/>
    <x v="31"/>
    <x v="34"/>
    <x v="0"/>
    <x v="0"/>
    <x v="42"/>
    <n v="2"/>
    <n v="5"/>
    <n v="4"/>
    <x v="11"/>
    <n v="11"/>
    <x v="0"/>
    <s v="Passive"/>
    <m/>
  </r>
  <r>
    <x v="939"/>
    <x v="3"/>
    <x v="1"/>
    <x v="19"/>
    <x v="2"/>
    <x v="2"/>
    <x v="2"/>
    <x v="1"/>
    <x v="5"/>
    <x v="2"/>
    <s v=""/>
    <s v=""/>
    <s v=""/>
    <x v="2"/>
    <m/>
    <x v="0"/>
    <s v="Detractor"/>
    <m/>
  </r>
  <r>
    <x v="940"/>
    <x v="2"/>
    <x v="0"/>
    <x v="20"/>
    <x v="34"/>
    <x v="38"/>
    <x v="10"/>
    <x v="0"/>
    <x v="0"/>
    <x v="13"/>
    <n v="3"/>
    <n v="5"/>
    <n v="6"/>
    <x v="1"/>
    <n v="14"/>
    <x v="0"/>
    <s v="Passive"/>
    <m/>
  </r>
  <r>
    <x v="941"/>
    <x v="2"/>
    <x v="0"/>
    <x v="3"/>
    <x v="34"/>
    <x v="4"/>
    <x v="8"/>
    <x v="0"/>
    <x v="0"/>
    <x v="6"/>
    <n v="5"/>
    <n v="2"/>
    <n v="6"/>
    <x v="7"/>
    <n v="13"/>
    <x v="0"/>
    <s v="Detractor"/>
    <m/>
  </r>
  <r>
    <x v="942"/>
    <x v="3"/>
    <x v="2"/>
    <x v="27"/>
    <x v="0"/>
    <x v="0"/>
    <x v="26"/>
    <x v="0"/>
    <x v="0"/>
    <x v="14"/>
    <n v="3"/>
    <n v="4"/>
    <n v="4"/>
    <x v="8"/>
    <n v="11"/>
    <x v="0"/>
    <s v="Detractor"/>
    <m/>
  </r>
  <r>
    <x v="943"/>
    <x v="2"/>
    <x v="0"/>
    <x v="16"/>
    <x v="3"/>
    <x v="3"/>
    <x v="1"/>
    <x v="0"/>
    <x v="0"/>
    <x v="32"/>
    <n v="1"/>
    <n v="3"/>
    <n v="5"/>
    <x v="0"/>
    <n v="9"/>
    <x v="0"/>
    <s v="Detractor"/>
    <m/>
  </r>
  <r>
    <x v="944"/>
    <x v="0"/>
    <x v="2"/>
    <x v="30"/>
    <x v="1"/>
    <x v="11"/>
    <x v="31"/>
    <x v="0"/>
    <x v="0"/>
    <x v="19"/>
    <n v="4"/>
    <n v="4"/>
    <n v="4"/>
    <x v="9"/>
    <n v="12"/>
    <x v="0"/>
    <s v="Detractor"/>
    <m/>
  </r>
  <r>
    <x v="945"/>
    <x v="1"/>
    <x v="0"/>
    <x v="11"/>
    <x v="5"/>
    <x v="28"/>
    <x v="32"/>
    <x v="0"/>
    <x v="0"/>
    <x v="10"/>
    <n v="5"/>
    <n v="4"/>
    <n v="3"/>
    <x v="5"/>
    <n v="12"/>
    <x v="0"/>
    <s v="Detractor"/>
    <m/>
  </r>
  <r>
    <x v="946"/>
    <x v="2"/>
    <x v="2"/>
    <x v="0"/>
    <x v="0"/>
    <x v="15"/>
    <x v="17"/>
    <x v="0"/>
    <x v="0"/>
    <x v="49"/>
    <n v="4"/>
    <n v="5"/>
    <n v="2"/>
    <x v="5"/>
    <n v="11"/>
    <x v="0"/>
    <s v="Detractor"/>
    <m/>
  </r>
  <r>
    <x v="947"/>
    <x v="0"/>
    <x v="1"/>
    <x v="8"/>
    <x v="2"/>
    <x v="2"/>
    <x v="2"/>
    <x v="1"/>
    <x v="1"/>
    <x v="2"/>
    <s v=""/>
    <s v=""/>
    <s v=""/>
    <x v="2"/>
    <m/>
    <x v="0"/>
    <s v="Detractor"/>
    <m/>
  </r>
  <r>
    <x v="948"/>
    <x v="2"/>
    <x v="0"/>
    <x v="2"/>
    <x v="13"/>
    <x v="30"/>
    <x v="6"/>
    <x v="0"/>
    <x v="0"/>
    <x v="15"/>
    <n v="5"/>
    <n v="5"/>
    <n v="4"/>
    <x v="1"/>
    <n v="14"/>
    <x v="0"/>
    <s v="Passive"/>
    <m/>
  </r>
  <r>
    <x v="949"/>
    <x v="1"/>
    <x v="0"/>
    <x v="31"/>
    <x v="6"/>
    <x v="36"/>
    <x v="38"/>
    <x v="0"/>
    <x v="0"/>
    <x v="22"/>
    <n v="3"/>
    <n v="2"/>
    <n v="6"/>
    <x v="0"/>
    <n v="11"/>
    <x v="0"/>
    <s v="Detractor"/>
    <m/>
  </r>
  <r>
    <x v="950"/>
    <x v="0"/>
    <x v="2"/>
    <x v="6"/>
    <x v="16"/>
    <x v="28"/>
    <x v="32"/>
    <x v="0"/>
    <x v="0"/>
    <x v="31"/>
    <n v="5"/>
    <n v="3"/>
    <n v="3"/>
    <x v="9"/>
    <n v="11"/>
    <x v="0"/>
    <s v="Detractor"/>
    <m/>
  </r>
  <r>
    <x v="951"/>
    <x v="1"/>
    <x v="2"/>
    <x v="3"/>
    <x v="34"/>
    <x v="22"/>
    <x v="18"/>
    <x v="0"/>
    <x v="0"/>
    <x v="0"/>
    <n v="5"/>
    <n v="1"/>
    <n v="2"/>
    <x v="10"/>
    <n v="8"/>
    <x v="0"/>
    <s v="Detractor"/>
    <m/>
  </r>
  <r>
    <x v="952"/>
    <x v="1"/>
    <x v="0"/>
    <x v="28"/>
    <x v="1"/>
    <x v="11"/>
    <x v="31"/>
    <x v="0"/>
    <x v="0"/>
    <x v="31"/>
    <n v="1"/>
    <n v="4"/>
    <n v="4"/>
    <x v="10"/>
    <n v="9"/>
    <x v="0"/>
    <s v="Detractor"/>
    <m/>
  </r>
  <r>
    <x v="953"/>
    <x v="0"/>
    <x v="0"/>
    <x v="4"/>
    <x v="24"/>
    <x v="25"/>
    <x v="19"/>
    <x v="0"/>
    <x v="0"/>
    <x v="39"/>
    <n v="2"/>
    <n v="1"/>
    <n v="2"/>
    <x v="5"/>
    <n v="5"/>
    <x v="0"/>
    <s v="Detractor"/>
    <m/>
  </r>
  <r>
    <x v="954"/>
    <x v="0"/>
    <x v="2"/>
    <x v="27"/>
    <x v="18"/>
    <x v="26"/>
    <x v="24"/>
    <x v="0"/>
    <x v="0"/>
    <x v="19"/>
    <n v="1"/>
    <n v="3"/>
    <n v="5"/>
    <x v="10"/>
    <n v="9"/>
    <x v="0"/>
    <s v="Detractor"/>
    <m/>
  </r>
  <r>
    <x v="955"/>
    <x v="0"/>
    <x v="0"/>
    <x v="7"/>
    <x v="30"/>
    <x v="14"/>
    <x v="27"/>
    <x v="0"/>
    <x v="0"/>
    <x v="33"/>
    <n v="4"/>
    <n v="4"/>
    <n v="6"/>
    <x v="0"/>
    <n v="14"/>
    <x v="0"/>
    <s v="Detractor"/>
    <m/>
  </r>
  <r>
    <x v="956"/>
    <x v="3"/>
    <x v="1"/>
    <x v="6"/>
    <x v="2"/>
    <x v="2"/>
    <x v="2"/>
    <x v="1"/>
    <x v="5"/>
    <x v="2"/>
    <s v=""/>
    <s v=""/>
    <s v=""/>
    <x v="2"/>
    <m/>
    <x v="0"/>
    <s v="Detractor"/>
    <m/>
  </r>
  <r>
    <x v="957"/>
    <x v="0"/>
    <x v="0"/>
    <x v="12"/>
    <x v="25"/>
    <x v="18"/>
    <x v="24"/>
    <x v="0"/>
    <x v="0"/>
    <x v="11"/>
    <n v="3"/>
    <n v="1"/>
    <n v="4"/>
    <x v="4"/>
    <n v="8"/>
    <x v="0"/>
    <s v="Promoter"/>
    <m/>
  </r>
  <r>
    <x v="958"/>
    <x v="0"/>
    <x v="0"/>
    <x v="20"/>
    <x v="34"/>
    <x v="22"/>
    <x v="23"/>
    <x v="0"/>
    <x v="0"/>
    <x v="30"/>
    <n v="3"/>
    <n v="1"/>
    <n v="6"/>
    <x v="10"/>
    <n v="10"/>
    <x v="0"/>
    <s v="Detractor"/>
    <m/>
  </r>
  <r>
    <x v="959"/>
    <x v="0"/>
    <x v="1"/>
    <x v="11"/>
    <x v="2"/>
    <x v="2"/>
    <x v="2"/>
    <x v="1"/>
    <x v="3"/>
    <x v="2"/>
    <s v=""/>
    <s v=""/>
    <s v=""/>
    <x v="2"/>
    <m/>
    <x v="0"/>
    <s v="Detractor"/>
    <m/>
  </r>
  <r>
    <x v="960"/>
    <x v="0"/>
    <x v="2"/>
    <x v="25"/>
    <x v="30"/>
    <x v="13"/>
    <x v="38"/>
    <x v="0"/>
    <x v="0"/>
    <x v="9"/>
    <n v="5"/>
    <n v="2"/>
    <n v="3"/>
    <x v="1"/>
    <n v="10"/>
    <x v="0"/>
    <s v="Passive"/>
    <m/>
  </r>
  <r>
    <x v="961"/>
    <x v="2"/>
    <x v="0"/>
    <x v="26"/>
    <x v="10"/>
    <x v="4"/>
    <x v="4"/>
    <x v="0"/>
    <x v="0"/>
    <x v="6"/>
    <n v="3"/>
    <n v="3"/>
    <n v="3"/>
    <x v="5"/>
    <n v="9"/>
    <x v="0"/>
    <s v="Detractor"/>
    <m/>
  </r>
  <r>
    <x v="962"/>
    <x v="3"/>
    <x v="1"/>
    <x v="25"/>
    <x v="2"/>
    <x v="2"/>
    <x v="2"/>
    <x v="1"/>
    <x v="1"/>
    <x v="2"/>
    <s v=""/>
    <s v=""/>
    <s v=""/>
    <x v="2"/>
    <m/>
    <x v="0"/>
    <s v="Detractor"/>
    <m/>
  </r>
  <r>
    <x v="963"/>
    <x v="1"/>
    <x v="2"/>
    <x v="1"/>
    <x v="19"/>
    <x v="20"/>
    <x v="27"/>
    <x v="0"/>
    <x v="0"/>
    <x v="20"/>
    <n v="2"/>
    <n v="3"/>
    <n v="2"/>
    <x v="9"/>
    <n v="7"/>
    <x v="0"/>
    <s v="Detractor"/>
    <m/>
  </r>
  <r>
    <x v="964"/>
    <x v="0"/>
    <x v="0"/>
    <x v="18"/>
    <x v="31"/>
    <x v="27"/>
    <x v="5"/>
    <x v="0"/>
    <x v="0"/>
    <x v="1"/>
    <n v="2"/>
    <n v="3"/>
    <n v="3"/>
    <x v="3"/>
    <n v="8"/>
    <x v="0"/>
    <s v="Promoter"/>
    <m/>
  </r>
  <r>
    <x v="965"/>
    <x v="2"/>
    <x v="0"/>
    <x v="13"/>
    <x v="21"/>
    <x v="23"/>
    <x v="12"/>
    <x v="0"/>
    <x v="0"/>
    <x v="10"/>
    <n v="5"/>
    <n v="4"/>
    <n v="7"/>
    <x v="11"/>
    <n v="16"/>
    <x v="0"/>
    <s v="Passive"/>
    <m/>
  </r>
  <r>
    <x v="966"/>
    <x v="2"/>
    <x v="0"/>
    <x v="25"/>
    <x v="30"/>
    <x v="13"/>
    <x v="38"/>
    <x v="0"/>
    <x v="0"/>
    <x v="18"/>
    <n v="5"/>
    <n v="2"/>
    <n v="3"/>
    <x v="8"/>
    <n v="10"/>
    <x v="0"/>
    <s v="Detractor"/>
    <m/>
  </r>
  <r>
    <x v="967"/>
    <x v="2"/>
    <x v="0"/>
    <x v="13"/>
    <x v="27"/>
    <x v="23"/>
    <x v="27"/>
    <x v="0"/>
    <x v="0"/>
    <x v="15"/>
    <n v="4"/>
    <n v="5"/>
    <n v="4"/>
    <x v="11"/>
    <n v="13"/>
    <x v="0"/>
    <s v="Passive"/>
    <m/>
  </r>
  <r>
    <x v="968"/>
    <x v="1"/>
    <x v="1"/>
    <x v="17"/>
    <x v="2"/>
    <x v="2"/>
    <x v="2"/>
    <x v="1"/>
    <x v="4"/>
    <x v="2"/>
    <s v=""/>
    <s v=""/>
    <s v=""/>
    <x v="2"/>
    <m/>
    <x v="0"/>
    <s v="Detractor"/>
    <m/>
  </r>
  <r>
    <x v="969"/>
    <x v="0"/>
    <x v="0"/>
    <x v="18"/>
    <x v="0"/>
    <x v="0"/>
    <x v="34"/>
    <x v="0"/>
    <x v="0"/>
    <x v="51"/>
    <n v="5"/>
    <n v="4"/>
    <n v="6"/>
    <x v="5"/>
    <n v="15"/>
    <x v="0"/>
    <s v="Detractor"/>
    <m/>
  </r>
  <r>
    <x v="970"/>
    <x v="3"/>
    <x v="2"/>
    <x v="0"/>
    <x v="31"/>
    <x v="27"/>
    <x v="17"/>
    <x v="0"/>
    <x v="0"/>
    <x v="8"/>
    <n v="1"/>
    <n v="3"/>
    <n v="7"/>
    <x v="4"/>
    <n v="11"/>
    <x v="0"/>
    <s v="Promoter"/>
    <m/>
  </r>
  <r>
    <x v="971"/>
    <x v="3"/>
    <x v="1"/>
    <x v="23"/>
    <x v="2"/>
    <x v="2"/>
    <x v="2"/>
    <x v="1"/>
    <x v="5"/>
    <x v="2"/>
    <s v=""/>
    <s v=""/>
    <s v=""/>
    <x v="2"/>
    <m/>
    <x v="0"/>
    <s v="Detractor"/>
    <m/>
  </r>
  <r>
    <x v="972"/>
    <x v="2"/>
    <x v="2"/>
    <x v="21"/>
    <x v="22"/>
    <x v="16"/>
    <x v="7"/>
    <x v="0"/>
    <x v="0"/>
    <x v="20"/>
    <n v="1"/>
    <n v="4"/>
    <n v="2"/>
    <x v="4"/>
    <n v="7"/>
    <x v="1"/>
    <s v="Promoter"/>
    <m/>
  </r>
  <r>
    <x v="973"/>
    <x v="1"/>
    <x v="0"/>
    <x v="12"/>
    <x v="9"/>
    <x v="27"/>
    <x v="5"/>
    <x v="0"/>
    <x v="0"/>
    <x v="23"/>
    <n v="1"/>
    <n v="1"/>
    <n v="3"/>
    <x v="3"/>
    <n v="5"/>
    <x v="0"/>
    <s v="Promoter"/>
    <m/>
  </r>
  <r>
    <x v="974"/>
    <x v="1"/>
    <x v="0"/>
    <x v="1"/>
    <x v="19"/>
    <x v="25"/>
    <x v="15"/>
    <x v="0"/>
    <x v="0"/>
    <x v="15"/>
    <n v="2"/>
    <n v="4"/>
    <n v="6"/>
    <x v="11"/>
    <n v="12"/>
    <x v="0"/>
    <s v="Passive"/>
    <m/>
  </r>
  <r>
    <x v="975"/>
    <x v="1"/>
    <x v="0"/>
    <x v="28"/>
    <x v="24"/>
    <x v="6"/>
    <x v="7"/>
    <x v="1"/>
    <x v="2"/>
    <x v="2"/>
    <n v="3"/>
    <n v="4"/>
    <n v="5"/>
    <x v="2"/>
    <n v="12"/>
    <x v="0"/>
    <s v="Detractor"/>
    <m/>
  </r>
  <r>
    <x v="976"/>
    <x v="3"/>
    <x v="0"/>
    <x v="18"/>
    <x v="9"/>
    <x v="18"/>
    <x v="24"/>
    <x v="1"/>
    <x v="5"/>
    <x v="2"/>
    <n v="4"/>
    <n v="3"/>
    <n v="4"/>
    <x v="2"/>
    <n v="11"/>
    <x v="0"/>
    <s v="Detractor"/>
    <m/>
  </r>
  <r>
    <x v="977"/>
    <x v="2"/>
    <x v="1"/>
    <x v="16"/>
    <x v="2"/>
    <x v="2"/>
    <x v="2"/>
    <x v="1"/>
    <x v="4"/>
    <x v="2"/>
    <s v=""/>
    <s v=""/>
    <s v=""/>
    <x v="2"/>
    <m/>
    <x v="0"/>
    <s v="Detractor"/>
    <m/>
  </r>
  <r>
    <x v="978"/>
    <x v="0"/>
    <x v="0"/>
    <x v="30"/>
    <x v="14"/>
    <x v="20"/>
    <x v="19"/>
    <x v="0"/>
    <x v="0"/>
    <x v="15"/>
    <n v="5"/>
    <n v="1"/>
    <n v="3"/>
    <x v="1"/>
    <n v="9"/>
    <x v="0"/>
    <s v="Passive"/>
    <m/>
  </r>
  <r>
    <x v="979"/>
    <x v="3"/>
    <x v="0"/>
    <x v="11"/>
    <x v="22"/>
    <x v="24"/>
    <x v="7"/>
    <x v="0"/>
    <x v="0"/>
    <x v="12"/>
    <n v="4"/>
    <n v="3"/>
    <n v="3"/>
    <x v="7"/>
    <n v="10"/>
    <x v="0"/>
    <s v="Detractor"/>
    <m/>
  </r>
  <r>
    <x v="980"/>
    <x v="2"/>
    <x v="2"/>
    <x v="16"/>
    <x v="22"/>
    <x v="6"/>
    <x v="15"/>
    <x v="0"/>
    <x v="0"/>
    <x v="14"/>
    <n v="2"/>
    <n v="1"/>
    <n v="3"/>
    <x v="6"/>
    <n v="6"/>
    <x v="0"/>
    <s v="Detractor"/>
    <m/>
  </r>
  <r>
    <x v="981"/>
    <x v="2"/>
    <x v="1"/>
    <x v="18"/>
    <x v="2"/>
    <x v="2"/>
    <x v="2"/>
    <x v="1"/>
    <x v="1"/>
    <x v="2"/>
    <s v=""/>
    <s v=""/>
    <s v=""/>
    <x v="2"/>
    <m/>
    <x v="0"/>
    <s v="Detractor"/>
    <m/>
  </r>
  <r>
    <x v="982"/>
    <x v="0"/>
    <x v="1"/>
    <x v="4"/>
    <x v="2"/>
    <x v="2"/>
    <x v="2"/>
    <x v="1"/>
    <x v="4"/>
    <x v="2"/>
    <s v=""/>
    <s v=""/>
    <s v=""/>
    <x v="2"/>
    <m/>
    <x v="0"/>
    <s v="Detractor"/>
    <m/>
  </r>
  <r>
    <x v="983"/>
    <x v="0"/>
    <x v="0"/>
    <x v="7"/>
    <x v="27"/>
    <x v="13"/>
    <x v="14"/>
    <x v="0"/>
    <x v="0"/>
    <x v="29"/>
    <n v="5"/>
    <n v="1"/>
    <n v="6"/>
    <x v="0"/>
    <n v="12"/>
    <x v="0"/>
    <s v="Detractor"/>
    <m/>
  </r>
  <r>
    <x v="984"/>
    <x v="0"/>
    <x v="2"/>
    <x v="19"/>
    <x v="4"/>
    <x v="12"/>
    <x v="18"/>
    <x v="0"/>
    <x v="0"/>
    <x v="0"/>
    <n v="5"/>
    <n v="1"/>
    <n v="4"/>
    <x v="0"/>
    <n v="10"/>
    <x v="0"/>
    <s v="Detractor"/>
    <m/>
  </r>
  <r>
    <x v="985"/>
    <x v="1"/>
    <x v="2"/>
    <x v="12"/>
    <x v="0"/>
    <x v="8"/>
    <x v="34"/>
    <x v="0"/>
    <x v="0"/>
    <x v="0"/>
    <n v="2"/>
    <n v="3"/>
    <n v="7"/>
    <x v="11"/>
    <n v="12"/>
    <x v="0"/>
    <s v="Passive"/>
    <m/>
  </r>
  <r>
    <x v="986"/>
    <x v="0"/>
    <x v="2"/>
    <x v="7"/>
    <x v="15"/>
    <x v="5"/>
    <x v="6"/>
    <x v="0"/>
    <x v="0"/>
    <x v="9"/>
    <n v="3"/>
    <n v="1"/>
    <n v="7"/>
    <x v="1"/>
    <n v="11"/>
    <x v="0"/>
    <s v="Passive"/>
    <m/>
  </r>
  <r>
    <x v="987"/>
    <x v="2"/>
    <x v="2"/>
    <x v="3"/>
    <x v="34"/>
    <x v="4"/>
    <x v="11"/>
    <x v="0"/>
    <x v="0"/>
    <x v="24"/>
    <n v="5"/>
    <n v="2"/>
    <n v="4"/>
    <x v="6"/>
    <n v="11"/>
    <x v="0"/>
    <s v="Detractor"/>
    <m/>
  </r>
  <r>
    <x v="988"/>
    <x v="0"/>
    <x v="0"/>
    <x v="0"/>
    <x v="9"/>
    <x v="26"/>
    <x v="17"/>
    <x v="0"/>
    <x v="0"/>
    <x v="12"/>
    <n v="3"/>
    <n v="2"/>
    <n v="6"/>
    <x v="8"/>
    <n v="11"/>
    <x v="0"/>
    <s v="Detractor"/>
    <m/>
  </r>
  <r>
    <x v="989"/>
    <x v="2"/>
    <x v="1"/>
    <x v="0"/>
    <x v="2"/>
    <x v="2"/>
    <x v="2"/>
    <x v="1"/>
    <x v="2"/>
    <x v="2"/>
    <s v=""/>
    <s v=""/>
    <s v=""/>
    <x v="2"/>
    <m/>
    <x v="0"/>
    <s v="Detractor"/>
    <m/>
  </r>
  <r>
    <x v="990"/>
    <x v="3"/>
    <x v="0"/>
    <x v="26"/>
    <x v="4"/>
    <x v="7"/>
    <x v="4"/>
    <x v="0"/>
    <x v="0"/>
    <x v="7"/>
    <n v="2"/>
    <n v="5"/>
    <n v="2"/>
    <x v="5"/>
    <n v="9"/>
    <x v="0"/>
    <s v="Detractor"/>
    <m/>
  </r>
  <r>
    <x v="991"/>
    <x v="1"/>
    <x v="2"/>
    <x v="22"/>
    <x v="23"/>
    <x v="31"/>
    <x v="4"/>
    <x v="0"/>
    <x v="0"/>
    <x v="43"/>
    <n v="4"/>
    <n v="2"/>
    <n v="7"/>
    <x v="9"/>
    <n v="13"/>
    <x v="0"/>
    <s v="Detractor"/>
    <m/>
  </r>
  <r>
    <x v="992"/>
    <x v="3"/>
    <x v="2"/>
    <x v="21"/>
    <x v="18"/>
    <x v="8"/>
    <x v="34"/>
    <x v="0"/>
    <x v="0"/>
    <x v="25"/>
    <n v="5"/>
    <n v="5"/>
    <n v="7"/>
    <x v="7"/>
    <n v="17"/>
    <x v="0"/>
    <s v="Detractor"/>
    <m/>
  </r>
  <r>
    <x v="993"/>
    <x v="3"/>
    <x v="2"/>
    <x v="15"/>
    <x v="12"/>
    <x v="0"/>
    <x v="26"/>
    <x v="0"/>
    <x v="0"/>
    <x v="0"/>
    <n v="3"/>
    <n v="2"/>
    <n v="4"/>
    <x v="11"/>
    <n v="9"/>
    <x v="0"/>
    <s v="Passive"/>
    <m/>
  </r>
  <r>
    <x v="994"/>
    <x v="2"/>
    <x v="2"/>
    <x v="3"/>
    <x v="34"/>
    <x v="7"/>
    <x v="36"/>
    <x v="0"/>
    <x v="0"/>
    <x v="47"/>
    <n v="5"/>
    <n v="3"/>
    <n v="6"/>
    <x v="10"/>
    <n v="14"/>
    <x v="0"/>
    <s v="Detractor"/>
    <m/>
  </r>
  <r>
    <x v="995"/>
    <x v="3"/>
    <x v="2"/>
    <x v="29"/>
    <x v="21"/>
    <x v="17"/>
    <x v="12"/>
    <x v="0"/>
    <x v="0"/>
    <x v="10"/>
    <n v="3"/>
    <n v="5"/>
    <n v="6"/>
    <x v="7"/>
    <n v="14"/>
    <x v="0"/>
    <s v="Detractor"/>
    <m/>
  </r>
  <r>
    <x v="996"/>
    <x v="2"/>
    <x v="2"/>
    <x v="4"/>
    <x v="22"/>
    <x v="16"/>
    <x v="1"/>
    <x v="0"/>
    <x v="0"/>
    <x v="3"/>
    <n v="5"/>
    <n v="4"/>
    <n v="3"/>
    <x v="11"/>
    <n v="12"/>
    <x v="0"/>
    <s v="Passive"/>
    <m/>
  </r>
  <r>
    <x v="997"/>
    <x v="0"/>
    <x v="0"/>
    <x v="11"/>
    <x v="5"/>
    <x v="28"/>
    <x v="9"/>
    <x v="0"/>
    <x v="0"/>
    <x v="12"/>
    <n v="5"/>
    <n v="4"/>
    <n v="6"/>
    <x v="9"/>
    <n v="15"/>
    <x v="0"/>
    <s v="Detractor"/>
    <m/>
  </r>
  <r>
    <x v="998"/>
    <x v="0"/>
    <x v="1"/>
    <x v="26"/>
    <x v="2"/>
    <x v="2"/>
    <x v="2"/>
    <x v="1"/>
    <x v="3"/>
    <x v="2"/>
    <s v=""/>
    <s v=""/>
    <s v=""/>
    <x v="2"/>
    <m/>
    <x v="0"/>
    <s v="Detractor"/>
    <m/>
  </r>
  <r>
    <x v="999"/>
    <x v="2"/>
    <x v="0"/>
    <x v="24"/>
    <x v="19"/>
    <x v="17"/>
    <x v="27"/>
    <x v="0"/>
    <x v="0"/>
    <x v="19"/>
    <n v="5"/>
    <n v="2"/>
    <n v="3"/>
    <x v="8"/>
    <n v="10"/>
    <x v="0"/>
    <s v="Detracto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501B90-0F58-4056-B53C-2783877064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8" firstHeaderRow="0" firstDataRow="1" firstDataCol="1"/>
  <pivotFields count="8">
    <pivotField axis="axisRow" showAll="0">
      <items count="5">
        <item x="0"/>
        <item x="1"/>
        <item x="2"/>
        <item x="3"/>
        <item t="default"/>
      </items>
    </pivotField>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5">
    <i>
      <x/>
    </i>
    <i>
      <x v="1"/>
    </i>
    <i>
      <x v="2"/>
    </i>
    <i>
      <x v="3"/>
    </i>
    <i t="grand">
      <x/>
    </i>
  </rowItems>
  <colFields count="1">
    <field x="-2"/>
  </colFields>
  <colItems count="7">
    <i>
      <x/>
    </i>
    <i i="1">
      <x v="1"/>
    </i>
    <i i="2">
      <x v="2"/>
    </i>
    <i i="3">
      <x v="3"/>
    </i>
    <i i="4">
      <x v="4"/>
    </i>
    <i i="5">
      <x v="5"/>
    </i>
    <i i="6">
      <x v="6"/>
    </i>
  </colItems>
  <dataFields count="7">
    <dataField name="Sum of total_leads" fld="1" baseField="0" baseItem="0"/>
    <dataField name="Sum of prebook_count" fld="2" baseField="0" baseItem="0"/>
    <dataField name="Sum of booking_count" fld="3" baseField="0" baseItem="0"/>
    <dataField name="Sum of delivery_count" fld="4" baseField="0" baseItem="0"/>
    <dataField name="Sum of prebook_rate_%" fld="5" baseField="0" baseItem="0"/>
    <dataField name="Sum of booking_rate_%" fld="6" baseField="0" baseItem="0"/>
    <dataField name="Sum of delivery_rate_%"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F3F77B-4C11-4D5C-A93C-ACC7E336E586}"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H31" firstHeaderRow="0" firstDataRow="1" firstDataCol="1" rowPageCount="1" colPageCount="1"/>
  <pivotFields count="33">
    <pivotField showAll="0"/>
    <pivotField axis="axisRow" showAll="0">
      <items count="5">
        <item x="0"/>
        <item x="3"/>
        <item x="1"/>
        <item x="2"/>
        <item t="default"/>
      </items>
    </pivotField>
    <pivotField showAll="0"/>
    <pivotField dataField="1" numFmtId="14" showAll="0"/>
    <pivotField dataField="1"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dataField="1"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axis="axisPage" dataField="1" multipleItemSelectionAllowed="1"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4">
    <i>
      <x/>
    </i>
    <i i="1">
      <x v="1"/>
    </i>
    <i i="2">
      <x v="2"/>
    </i>
    <i i="3">
      <x v="3"/>
    </i>
  </colItems>
  <pageFields count="1">
    <pageField fld="6" hier="-1"/>
  </pageFields>
  <dataFields count="4">
    <dataField name="Count of lead_date" fld="3" subtotal="count" baseField="0" baseItem="0"/>
    <dataField name="Count of pre-booking_date" fld="4" subtotal="count" baseField="0" baseItem="0"/>
    <dataField name="Count of booking_date" fld="5" subtotal="count" baseField="0" baseItem="0"/>
    <dataField name="Count of delivery_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33F72-103A-4C74-AFB4-1D7CE820CA8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4">
    <pivotField axis="axisRow" showAll="0">
      <items count="5">
        <item x="0"/>
        <item x="1"/>
        <item x="2"/>
        <item x="3"/>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3">
    <i>
      <x/>
    </i>
    <i i="1">
      <x v="1"/>
    </i>
    <i i="2">
      <x v="2"/>
    </i>
  </colItems>
  <dataFields count="3">
    <dataField name="Average of avg_days_lead_to_prebooking" fld="1" subtotal="average" baseField="0" baseItem="0"/>
    <dataField name="Average of avg_days_prebooking_to_booking" fld="2" subtotal="average" baseField="0" baseItem="0"/>
    <dataField name="Average of avg_days_booking_to_delivery"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61A90-1A54-4AB8-9220-2194F53F9F1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33">
    <pivotField dataField="1" showAll="0"/>
    <pivotField showAll="0"/>
    <pivotField showAll="0"/>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5" hier="-1"/>
  </pageFields>
  <dataFields count="1">
    <dataField name="Count of lead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620D96-A589-41FD-92D0-94BB1A5CAE67}"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33">
    <pivotField showAll="0"/>
    <pivotField showAll="0"/>
    <pivotField showAll="0"/>
    <pivotField numFmtId="14" showAll="0"/>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dataField="1" showAll="0"/>
    <pivotField showAll="0"/>
    <pivotField axis="axisPage" showAll="0">
      <items count="3">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15" hier="-1"/>
  </pageFields>
  <dataFields count="1">
    <dataField name="Average of customer_rating" fld="13" subtotal="average" baseField="1" baseItem="0"/>
  </dataFields>
  <formats count="1">
    <format dxfId="7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A0EC69-74FE-4BCA-8A0F-EB7AB9F9FD7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9" firstHeaderRow="1" firstDataRow="2" firstDataCol="1"/>
  <pivotFields count="3">
    <pivotField axis="axisRow" showAll="0">
      <items count="5">
        <item x="0"/>
        <item x="1"/>
        <item x="2"/>
        <item x="3"/>
        <item t="default"/>
      </items>
    </pivotField>
    <pivotField axis="axisCol" showAll="0">
      <items count="7">
        <item x="3"/>
        <item x="2"/>
        <item x="4"/>
        <item x="0"/>
        <item x="1"/>
        <item x="5"/>
        <item t="default"/>
      </items>
    </pivotField>
    <pivotField dataField="1" showAll="0">
      <items count="16">
        <item x="8"/>
        <item x="14"/>
        <item x="4"/>
        <item x="3"/>
        <item x="2"/>
        <item x="7"/>
        <item x="11"/>
        <item x="13"/>
        <item x="6"/>
        <item x="10"/>
        <item x="1"/>
        <item x="5"/>
        <item x="9"/>
        <item x="0"/>
        <item x="12"/>
        <item t="default"/>
      </items>
    </pivotField>
  </pivotFields>
  <rowFields count="1">
    <field x="0"/>
  </rowFields>
  <rowItems count="5">
    <i>
      <x/>
    </i>
    <i>
      <x v="1"/>
    </i>
    <i>
      <x v="2"/>
    </i>
    <i>
      <x v="3"/>
    </i>
    <i t="grand">
      <x/>
    </i>
  </rowItems>
  <colFields count="1">
    <field x="1"/>
  </colFields>
  <colItems count="7">
    <i>
      <x/>
    </i>
    <i>
      <x v="1"/>
    </i>
    <i>
      <x v="2"/>
    </i>
    <i>
      <x v="3"/>
    </i>
    <i>
      <x v="4"/>
    </i>
    <i>
      <x v="5"/>
    </i>
    <i t="grand">
      <x/>
    </i>
  </colItems>
  <dataFields count="1">
    <dataField name="Sum of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765F70-BB84-4085-8F6E-F367BBAD9805}"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showAll="0">
      <items count="4">
        <item x="2"/>
        <item x="1"/>
        <item x="0"/>
        <item t="default"/>
      </items>
    </pivotField>
    <pivotField dataField="1" showAll="0"/>
  </pivotFields>
  <rowFields count="1">
    <field x="0"/>
  </rowFields>
  <rowItems count="4">
    <i>
      <x/>
    </i>
    <i>
      <x v="1"/>
    </i>
    <i>
      <x v="2"/>
    </i>
    <i t="grand">
      <x/>
    </i>
  </rowItems>
  <colItems count="1">
    <i/>
  </colItems>
  <dataFields count="1">
    <dataField name="Sum of c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F2C39B-9319-4856-9682-524A3F495BD3}"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0" firstDataRow="1" firstDataCol="1"/>
  <pivotFields count="6">
    <pivotField axis="axisRow" showAll="0">
      <items count="5">
        <item x="0"/>
        <item x="3"/>
        <item x="1"/>
        <item x="2"/>
        <item t="default"/>
      </items>
    </pivotField>
    <pivotField dataField="1" showAll="0">
      <items count="5">
        <item x="0"/>
        <item x="2"/>
        <item x="1"/>
        <item x="3"/>
        <item t="default"/>
      </items>
    </pivotField>
    <pivotField dataField="1" showAll="0">
      <items count="5">
        <item x="2"/>
        <item x="0"/>
        <item x="1"/>
        <item x="3"/>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5">
    <i>
      <x/>
    </i>
    <i i="1">
      <x v="1"/>
    </i>
    <i i="2">
      <x v="2"/>
    </i>
    <i i="3">
      <x v="3"/>
    </i>
    <i i="4">
      <x v="4"/>
    </i>
  </colItems>
  <dataFields count="5">
    <dataField name="Sum of nps" fld="1" baseField="0" baseItem="0"/>
    <dataField name="Sum of promoters_pct" fld="2" baseField="0" baseItem="0"/>
    <dataField name="Sum of detractors_pct" fld="3" baseField="0" baseItem="0"/>
    <dataField name="Sum of passives_pct" fld="4" baseField="0" baseItem="0"/>
    <dataField name="Sum of respons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81D06C-97E8-47C6-93D9-3344370491DA}" name="PivotTable7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0:K55" firstHeaderRow="1" firstDataRow="1" firstDataCol="1"/>
  <pivotFields count="33">
    <pivotField showAll="0"/>
    <pivotField axis="axisRow" showAll="0">
      <items count="5">
        <item x="0"/>
        <item x="3"/>
        <item x="1"/>
        <item x="2"/>
        <item t="default"/>
      </items>
    </pivotField>
    <pivotField showAll="0">
      <items count="4">
        <item x="1"/>
        <item x="2"/>
        <item x="0"/>
        <item t="default"/>
      </items>
    </pivotField>
    <pivotField numFmtId="14" showAll="0">
      <items count="33">
        <item x="2"/>
        <item x="31"/>
        <item x="25"/>
        <item x="7"/>
        <item x="13"/>
        <item x="14"/>
        <item x="29"/>
        <item x="24"/>
        <item x="17"/>
        <item x="30"/>
        <item x="1"/>
        <item x="9"/>
        <item x="28"/>
        <item x="4"/>
        <item x="11"/>
        <item x="6"/>
        <item x="16"/>
        <item x="21"/>
        <item x="23"/>
        <item x="18"/>
        <item x="0"/>
        <item x="27"/>
        <item x="12"/>
        <item x="15"/>
        <item x="22"/>
        <item x="19"/>
        <item x="5"/>
        <item x="3"/>
        <item x="26"/>
        <item x="20"/>
        <item x="8"/>
        <item x="10"/>
        <item t="default"/>
      </items>
    </pivotField>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items count="3">
        <item x="0"/>
        <item x="1"/>
        <item t="default"/>
      </items>
    </pivotField>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Items count="1">
    <i/>
  </colItems>
  <dataFields count="1">
    <dataField name="Sum of customer_rating"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024DB6-256E-4982-A0AF-F8813AD8AB6F}" name="PivotTable6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1:F35" firstHeaderRow="1" firstDataRow="1" firstDataCol="1" rowPageCount="1" colPageCount="1"/>
  <pivotFields count="33">
    <pivotField dataField="1" showAll="0"/>
    <pivotField axis="axisRow" showAll="0">
      <items count="5">
        <item x="0"/>
        <item x="3"/>
        <item x="1"/>
        <item x="2"/>
        <item t="default"/>
      </items>
    </pivotField>
    <pivotField showAll="0">
      <items count="4">
        <item x="1"/>
        <item x="2"/>
        <item x="0"/>
        <item t="default"/>
      </items>
    </pivotField>
    <pivotField numFmtId="14" showAll="0">
      <items count="33">
        <item x="2"/>
        <item x="31"/>
        <item x="25"/>
        <item x="7"/>
        <item x="13"/>
        <item x="14"/>
        <item x="29"/>
        <item x="24"/>
        <item x="17"/>
        <item x="30"/>
        <item x="1"/>
        <item x="9"/>
        <item x="28"/>
        <item x="4"/>
        <item x="11"/>
        <item x="6"/>
        <item x="16"/>
        <item x="21"/>
        <item x="23"/>
        <item x="18"/>
        <item x="0"/>
        <item x="27"/>
        <item x="12"/>
        <item x="15"/>
        <item x="22"/>
        <item x="19"/>
        <item x="5"/>
        <item x="3"/>
        <item x="26"/>
        <item x="20"/>
        <item x="8"/>
        <item x="10"/>
        <item t="default"/>
      </items>
    </pivotField>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items count="3">
        <item x="0"/>
        <item x="1"/>
        <item t="default"/>
      </items>
    </pivotField>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showAll="0"/>
    <pivotField showAll="0"/>
    <pivotField axis="axisPage" multipleItemSelectionAllowed="1" showAll="0">
      <items count="3">
        <item x="1"/>
        <item h="1"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1"/>
    </i>
    <i>
      <x v="2"/>
    </i>
    <i>
      <x v="3"/>
    </i>
    <i t="grand">
      <x/>
    </i>
  </rowItems>
  <colItems count="1">
    <i/>
  </colItems>
  <pageFields count="1">
    <pageField fld="15" hier="-1"/>
  </pageFields>
  <dataFields count="1">
    <dataField name="Count of lead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A162FE-2F17-4BC6-A51E-DFB64B113A01}" name="PivotTable76"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J59:U65" firstHeaderRow="1" firstDataRow="2" firstDataCol="1"/>
  <pivotFields count="33">
    <pivotField showAll="0"/>
    <pivotField axis="axisRow" showAll="0">
      <items count="5">
        <item x="0"/>
        <item x="3"/>
        <item x="1"/>
        <item x="2"/>
        <item t="default"/>
      </items>
    </pivotField>
    <pivotField showAll="0">
      <items count="4">
        <item x="1"/>
        <item x="2"/>
        <item x="0"/>
        <item t="default"/>
      </items>
    </pivotField>
    <pivotField numFmtId="14" showAll="0">
      <items count="33">
        <item x="2"/>
        <item x="31"/>
        <item x="25"/>
        <item x="7"/>
        <item x="13"/>
        <item x="14"/>
        <item x="29"/>
        <item x="24"/>
        <item x="17"/>
        <item x="30"/>
        <item x="1"/>
        <item x="9"/>
        <item x="28"/>
        <item x="4"/>
        <item x="11"/>
        <item x="6"/>
        <item x="16"/>
        <item x="21"/>
        <item x="23"/>
        <item x="18"/>
        <item x="0"/>
        <item x="27"/>
        <item x="12"/>
        <item x="15"/>
        <item x="22"/>
        <item x="19"/>
        <item x="5"/>
        <item x="3"/>
        <item x="26"/>
        <item x="20"/>
        <item x="8"/>
        <item x="10"/>
        <item t="default"/>
      </items>
    </pivotField>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items count="3">
        <item x="0"/>
        <item x="1"/>
        <item t="default"/>
      </items>
    </pivotField>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axis="axisCol" dataField="1" showAll="0">
      <items count="13">
        <item x="6"/>
        <item x="10"/>
        <item x="0"/>
        <item x="9"/>
        <item x="8"/>
        <item x="7"/>
        <item x="5"/>
        <item x="11"/>
        <item x="1"/>
        <item x="3"/>
        <item x="4"/>
        <item h="1" x="2"/>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13"/>
  </colFields>
  <colItems count="11">
    <i>
      <x/>
    </i>
    <i>
      <x v="1"/>
    </i>
    <i>
      <x v="2"/>
    </i>
    <i>
      <x v="3"/>
    </i>
    <i>
      <x v="4"/>
    </i>
    <i>
      <x v="5"/>
    </i>
    <i>
      <x v="6"/>
    </i>
    <i>
      <x v="7"/>
    </i>
    <i>
      <x v="8"/>
    </i>
    <i>
      <x v="9"/>
    </i>
    <i>
      <x v="10"/>
    </i>
  </colItems>
  <dataFields count="1">
    <dataField name="Sum of customer_rating" fld="13" baseField="1" baseItem="0"/>
  </dataFields>
  <chartFormats count="57">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0" format="2" series="1">
      <pivotArea type="data" outline="0" fieldPosition="0">
        <references count="2">
          <reference field="4294967294" count="1" selected="0">
            <x v="0"/>
          </reference>
          <reference field="13" count="1" selected="0">
            <x v="3"/>
          </reference>
        </references>
      </pivotArea>
    </chartFormat>
    <chartFormat chart="0" format="3" series="1">
      <pivotArea type="data" outline="0" fieldPosition="0">
        <references count="2">
          <reference field="4294967294" count="1" selected="0">
            <x v="0"/>
          </reference>
          <reference field="13" count="1" selected="0">
            <x v="4"/>
          </reference>
        </references>
      </pivotArea>
    </chartFormat>
    <chartFormat chart="0" format="4" series="1">
      <pivotArea type="data" outline="0" fieldPosition="0">
        <references count="2">
          <reference field="4294967294" count="1" selected="0">
            <x v="0"/>
          </reference>
          <reference field="13" count="1" selected="0">
            <x v="5"/>
          </reference>
        </references>
      </pivotArea>
    </chartFormat>
    <chartFormat chart="0" format="5" series="1">
      <pivotArea type="data" outline="0" fieldPosition="0">
        <references count="2">
          <reference field="4294967294" count="1" selected="0">
            <x v="0"/>
          </reference>
          <reference field="13" count="1" selected="0">
            <x v="6"/>
          </reference>
        </references>
      </pivotArea>
    </chartFormat>
    <chartFormat chart="0" format="6" series="1">
      <pivotArea type="data" outline="0" fieldPosition="0">
        <references count="2">
          <reference field="4294967294" count="1" selected="0">
            <x v="0"/>
          </reference>
          <reference field="13" count="1" selected="0">
            <x v="7"/>
          </reference>
        </references>
      </pivotArea>
    </chartFormat>
    <chartFormat chart="0" format="7" series="1">
      <pivotArea type="data" outline="0" fieldPosition="0">
        <references count="2">
          <reference field="4294967294" count="1" selected="0">
            <x v="0"/>
          </reference>
          <reference field="13" count="1" selected="0">
            <x v="8"/>
          </reference>
        </references>
      </pivotArea>
    </chartFormat>
    <chartFormat chart="0" format="8" series="1">
      <pivotArea type="data" outline="0" fieldPosition="0">
        <references count="2">
          <reference field="4294967294" count="1" selected="0">
            <x v="0"/>
          </reference>
          <reference field="13" count="1" selected="0">
            <x v="9"/>
          </reference>
        </references>
      </pivotArea>
    </chartFormat>
    <chartFormat chart="0" format="9" series="1">
      <pivotArea type="data" outline="0" fieldPosition="0">
        <references count="2">
          <reference field="4294967294" count="1" selected="0">
            <x v="0"/>
          </reference>
          <reference field="13" count="1" selected="0">
            <x v="10"/>
          </reference>
        </references>
      </pivotArea>
    </chartFormat>
    <chartFormat chart="3" format="0" series="1">
      <pivotArea type="data" outline="0" fieldPosition="0">
        <references count="2">
          <reference field="4294967294" count="1" selected="0">
            <x v="0"/>
          </reference>
          <reference field="13" count="1" selected="0">
            <x v="1"/>
          </reference>
        </references>
      </pivotArea>
    </chartFormat>
    <chartFormat chart="3" format="1" series="1">
      <pivotArea type="data" outline="0" fieldPosition="0">
        <references count="2">
          <reference field="4294967294" count="1" selected="0">
            <x v="0"/>
          </reference>
          <reference field="13" count="1" selected="0">
            <x v="2"/>
          </reference>
        </references>
      </pivotArea>
    </chartFormat>
    <chartFormat chart="3" format="2" series="1">
      <pivotArea type="data" outline="0" fieldPosition="0">
        <references count="2">
          <reference field="4294967294" count="1" selected="0">
            <x v="0"/>
          </reference>
          <reference field="13" count="1" selected="0">
            <x v="3"/>
          </reference>
        </references>
      </pivotArea>
    </chartFormat>
    <chartFormat chart="3" format="3" series="1">
      <pivotArea type="data" outline="0" fieldPosition="0">
        <references count="2">
          <reference field="4294967294" count="1" selected="0">
            <x v="0"/>
          </reference>
          <reference field="13" count="1" selected="0">
            <x v="4"/>
          </reference>
        </references>
      </pivotArea>
    </chartFormat>
    <chartFormat chart="3" format="4" series="1">
      <pivotArea type="data" outline="0" fieldPosition="0">
        <references count="2">
          <reference field="4294967294" count="1" selected="0">
            <x v="0"/>
          </reference>
          <reference field="13" count="1" selected="0">
            <x v="5"/>
          </reference>
        </references>
      </pivotArea>
    </chartFormat>
    <chartFormat chart="3" format="5" series="1">
      <pivotArea type="data" outline="0" fieldPosition="0">
        <references count="2">
          <reference field="4294967294" count="1" selected="0">
            <x v="0"/>
          </reference>
          <reference field="13" count="1" selected="0">
            <x v="6"/>
          </reference>
        </references>
      </pivotArea>
    </chartFormat>
    <chartFormat chart="3" format="6" series="1">
      <pivotArea type="data" outline="0" fieldPosition="0">
        <references count="2">
          <reference field="4294967294" count="1" selected="0">
            <x v="0"/>
          </reference>
          <reference field="13" count="1" selected="0">
            <x v="7"/>
          </reference>
        </references>
      </pivotArea>
    </chartFormat>
    <chartFormat chart="3" format="7" series="1">
      <pivotArea type="data" outline="0" fieldPosition="0">
        <references count="2">
          <reference field="4294967294" count="1" selected="0">
            <x v="0"/>
          </reference>
          <reference field="13" count="1" selected="0">
            <x v="8"/>
          </reference>
        </references>
      </pivotArea>
    </chartFormat>
    <chartFormat chart="3" format="8" series="1">
      <pivotArea type="data" outline="0" fieldPosition="0">
        <references count="2">
          <reference field="4294967294" count="1" selected="0">
            <x v="0"/>
          </reference>
          <reference field="13" count="1" selected="0">
            <x v="9"/>
          </reference>
        </references>
      </pivotArea>
    </chartFormat>
    <chartFormat chart="3" format="9" series="1">
      <pivotArea type="data" outline="0" fieldPosition="0">
        <references count="2">
          <reference field="4294967294" count="1" selected="0">
            <x v="0"/>
          </reference>
          <reference field="13" count="1" selected="0">
            <x v="10"/>
          </reference>
        </references>
      </pivotArea>
    </chartFormat>
    <chartFormat chart="3" format="10" series="1">
      <pivotArea type="data" outline="0" fieldPosition="0">
        <references count="2">
          <reference field="4294967294" count="1" selected="0">
            <x v="0"/>
          </reference>
          <reference field="13" count="1" selected="0">
            <x v="11"/>
          </reference>
        </references>
      </pivotArea>
    </chartFormat>
    <chartFormat chart="3" format="11" series="1">
      <pivotArea type="data" outline="0" fieldPosition="0">
        <references count="2">
          <reference field="4294967294" count="1" selected="0">
            <x v="0"/>
          </reference>
          <reference field="13" count="1" selected="0">
            <x v="0"/>
          </reference>
        </references>
      </pivotArea>
    </chartFormat>
    <chartFormat chart="0" format="10" series="1">
      <pivotArea type="data" outline="0" fieldPosition="0">
        <references count="2">
          <reference field="4294967294" count="1" selected="0">
            <x v="0"/>
          </reference>
          <reference field="13" count="1" selected="0">
            <x v="11"/>
          </reference>
        </references>
      </pivotArea>
    </chartFormat>
    <chartFormat chart="0" format="11" series="1">
      <pivotArea type="data" outline="0" fieldPosition="0">
        <references count="2">
          <reference field="4294967294" count="1" selected="0">
            <x v="0"/>
          </reference>
          <reference field="13" count="1" selected="0">
            <x v="0"/>
          </reference>
        </references>
      </pivotArea>
    </chartFormat>
    <chartFormat chart="6" format="34" series="1">
      <pivotArea type="data" outline="0" fieldPosition="0">
        <references count="2">
          <reference field="4294967294" count="1" selected="0">
            <x v="0"/>
          </reference>
          <reference field="13" count="1" selected="0">
            <x v="0"/>
          </reference>
        </references>
      </pivotArea>
    </chartFormat>
    <chartFormat chart="6" format="35" series="1">
      <pivotArea type="data" outline="0" fieldPosition="0">
        <references count="2">
          <reference field="4294967294" count="1" selected="0">
            <x v="0"/>
          </reference>
          <reference field="13" count="1" selected="0">
            <x v="1"/>
          </reference>
        </references>
      </pivotArea>
    </chartFormat>
    <chartFormat chart="6" format="36" series="1">
      <pivotArea type="data" outline="0" fieldPosition="0">
        <references count="2">
          <reference field="4294967294" count="1" selected="0">
            <x v="0"/>
          </reference>
          <reference field="13" count="1" selected="0">
            <x v="2"/>
          </reference>
        </references>
      </pivotArea>
    </chartFormat>
    <chartFormat chart="6" format="37" series="1">
      <pivotArea type="data" outline="0" fieldPosition="0">
        <references count="2">
          <reference field="4294967294" count="1" selected="0">
            <x v="0"/>
          </reference>
          <reference field="13" count="1" selected="0">
            <x v="3"/>
          </reference>
        </references>
      </pivotArea>
    </chartFormat>
    <chartFormat chart="6" format="38" series="1">
      <pivotArea type="data" outline="0" fieldPosition="0">
        <references count="2">
          <reference field="4294967294" count="1" selected="0">
            <x v="0"/>
          </reference>
          <reference field="13" count="1" selected="0">
            <x v="4"/>
          </reference>
        </references>
      </pivotArea>
    </chartFormat>
    <chartFormat chart="6" format="39" series="1">
      <pivotArea type="data" outline="0" fieldPosition="0">
        <references count="2">
          <reference field="4294967294" count="1" selected="0">
            <x v="0"/>
          </reference>
          <reference field="13" count="1" selected="0">
            <x v="5"/>
          </reference>
        </references>
      </pivotArea>
    </chartFormat>
    <chartFormat chart="6" format="40" series="1">
      <pivotArea type="data" outline="0" fieldPosition="0">
        <references count="2">
          <reference field="4294967294" count="1" selected="0">
            <x v="0"/>
          </reference>
          <reference field="13" count="1" selected="0">
            <x v="6"/>
          </reference>
        </references>
      </pivotArea>
    </chartFormat>
    <chartFormat chart="6" format="41" series="1">
      <pivotArea type="data" outline="0" fieldPosition="0">
        <references count="2">
          <reference field="4294967294" count="1" selected="0">
            <x v="0"/>
          </reference>
          <reference field="13" count="1" selected="0">
            <x v="7"/>
          </reference>
        </references>
      </pivotArea>
    </chartFormat>
    <chartFormat chart="6" format="42" series="1">
      <pivotArea type="data" outline="0" fieldPosition="0">
        <references count="2">
          <reference field="4294967294" count="1" selected="0">
            <x v="0"/>
          </reference>
          <reference field="13" count="1" selected="0">
            <x v="8"/>
          </reference>
        </references>
      </pivotArea>
    </chartFormat>
    <chartFormat chart="6" format="43" series="1">
      <pivotArea type="data" outline="0" fieldPosition="0">
        <references count="2">
          <reference field="4294967294" count="1" selected="0">
            <x v="0"/>
          </reference>
          <reference field="13" count="1" selected="0">
            <x v="9"/>
          </reference>
        </references>
      </pivotArea>
    </chartFormat>
    <chartFormat chart="6" format="44" series="1">
      <pivotArea type="data" outline="0" fieldPosition="0">
        <references count="2">
          <reference field="4294967294" count="1" selected="0">
            <x v="0"/>
          </reference>
          <reference field="13" count="1" selected="0">
            <x v="10"/>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2">
          <reference field="4294967294" count="1" selected="0">
            <x v="0"/>
          </reference>
          <reference field="13" count="1" selected="0">
            <x v="2"/>
          </reference>
        </references>
      </pivotArea>
    </chartFormat>
    <chartFormat chart="7" format="15" series="1">
      <pivotArea type="data" outline="0" fieldPosition="0">
        <references count="2">
          <reference field="4294967294" count="1" selected="0">
            <x v="0"/>
          </reference>
          <reference field="13" count="1" selected="0">
            <x v="3"/>
          </reference>
        </references>
      </pivotArea>
    </chartFormat>
    <chartFormat chart="7" format="16" series="1">
      <pivotArea type="data" outline="0" fieldPosition="0">
        <references count="2">
          <reference field="4294967294" count="1" selected="0">
            <x v="0"/>
          </reference>
          <reference field="13" count="1" selected="0">
            <x v="4"/>
          </reference>
        </references>
      </pivotArea>
    </chartFormat>
    <chartFormat chart="7" format="17" series="1">
      <pivotArea type="data" outline="0" fieldPosition="0">
        <references count="2">
          <reference field="4294967294" count="1" selected="0">
            <x v="0"/>
          </reference>
          <reference field="13" count="1" selected="0">
            <x v="5"/>
          </reference>
        </references>
      </pivotArea>
    </chartFormat>
    <chartFormat chart="7" format="18" series="1">
      <pivotArea type="data" outline="0" fieldPosition="0">
        <references count="2">
          <reference field="4294967294" count="1" selected="0">
            <x v="0"/>
          </reference>
          <reference field="13" count="1" selected="0">
            <x v="6"/>
          </reference>
        </references>
      </pivotArea>
    </chartFormat>
    <chartFormat chart="7" format="19" series="1">
      <pivotArea type="data" outline="0" fieldPosition="0">
        <references count="2">
          <reference field="4294967294" count="1" selected="0">
            <x v="0"/>
          </reference>
          <reference field="13" count="1" selected="0">
            <x v="7"/>
          </reference>
        </references>
      </pivotArea>
    </chartFormat>
    <chartFormat chart="7" format="20" series="1">
      <pivotArea type="data" outline="0" fieldPosition="0">
        <references count="2">
          <reference field="4294967294" count="1" selected="0">
            <x v="0"/>
          </reference>
          <reference field="13" count="1" selected="0">
            <x v="8"/>
          </reference>
        </references>
      </pivotArea>
    </chartFormat>
    <chartFormat chart="7" format="21" series="1">
      <pivotArea type="data" outline="0" fieldPosition="0">
        <references count="2">
          <reference field="4294967294" count="1" selected="0">
            <x v="0"/>
          </reference>
          <reference field="13" count="1" selected="0">
            <x v="9"/>
          </reference>
        </references>
      </pivotArea>
    </chartFormat>
    <chartFormat chart="7" format="22" series="1">
      <pivotArea type="data" outline="0" fieldPosition="0">
        <references count="2">
          <reference field="4294967294" count="1" selected="0">
            <x v="0"/>
          </reference>
          <reference field="13" count="1" selected="0">
            <x v="10"/>
          </reference>
        </references>
      </pivotArea>
    </chartFormat>
    <chartFormat chart="8" format="23" series="1">
      <pivotArea type="data" outline="0" fieldPosition="0">
        <references count="2">
          <reference field="4294967294" count="1" selected="0">
            <x v="0"/>
          </reference>
          <reference field="13" count="1" selected="0">
            <x v="0"/>
          </reference>
        </references>
      </pivotArea>
    </chartFormat>
    <chartFormat chart="8" format="24" series="1">
      <pivotArea type="data" outline="0" fieldPosition="0">
        <references count="2">
          <reference field="4294967294" count="1" selected="0">
            <x v="0"/>
          </reference>
          <reference field="13" count="1" selected="0">
            <x v="1"/>
          </reference>
        </references>
      </pivotArea>
    </chartFormat>
    <chartFormat chart="8" format="25" series="1">
      <pivotArea type="data" outline="0" fieldPosition="0">
        <references count="2">
          <reference field="4294967294" count="1" selected="0">
            <x v="0"/>
          </reference>
          <reference field="13" count="1" selected="0">
            <x v="2"/>
          </reference>
        </references>
      </pivotArea>
    </chartFormat>
    <chartFormat chart="8" format="26" series="1">
      <pivotArea type="data" outline="0" fieldPosition="0">
        <references count="2">
          <reference field="4294967294" count="1" selected="0">
            <x v="0"/>
          </reference>
          <reference field="13" count="1" selected="0">
            <x v="3"/>
          </reference>
        </references>
      </pivotArea>
    </chartFormat>
    <chartFormat chart="8" format="27" series="1">
      <pivotArea type="data" outline="0" fieldPosition="0">
        <references count="2">
          <reference field="4294967294" count="1" selected="0">
            <x v="0"/>
          </reference>
          <reference field="13" count="1" selected="0">
            <x v="4"/>
          </reference>
        </references>
      </pivotArea>
    </chartFormat>
    <chartFormat chart="8" format="28" series="1">
      <pivotArea type="data" outline="0" fieldPosition="0">
        <references count="2">
          <reference field="4294967294" count="1" selected="0">
            <x v="0"/>
          </reference>
          <reference field="13" count="1" selected="0">
            <x v="5"/>
          </reference>
        </references>
      </pivotArea>
    </chartFormat>
    <chartFormat chart="8" format="29" series="1">
      <pivotArea type="data" outline="0" fieldPosition="0">
        <references count="2">
          <reference field="4294967294" count="1" selected="0">
            <x v="0"/>
          </reference>
          <reference field="13" count="1" selected="0">
            <x v="6"/>
          </reference>
        </references>
      </pivotArea>
    </chartFormat>
    <chartFormat chart="8" format="30" series="1">
      <pivotArea type="data" outline="0" fieldPosition="0">
        <references count="2">
          <reference field="4294967294" count="1" selected="0">
            <x v="0"/>
          </reference>
          <reference field="13" count="1" selected="0">
            <x v="7"/>
          </reference>
        </references>
      </pivotArea>
    </chartFormat>
    <chartFormat chart="8" format="31" series="1">
      <pivotArea type="data" outline="0" fieldPosition="0">
        <references count="2">
          <reference field="4294967294" count="1" selected="0">
            <x v="0"/>
          </reference>
          <reference field="13" count="1" selected="0">
            <x v="8"/>
          </reference>
        </references>
      </pivotArea>
    </chartFormat>
    <chartFormat chart="8" format="32" series="1">
      <pivotArea type="data" outline="0" fieldPosition="0">
        <references count="2">
          <reference field="4294967294" count="1" selected="0">
            <x v="0"/>
          </reference>
          <reference field="13" count="1" selected="0">
            <x v="9"/>
          </reference>
        </references>
      </pivotArea>
    </chartFormat>
    <chartFormat chart="8" format="33" series="1">
      <pivotArea type="data" outline="0" fieldPosition="0">
        <references count="2">
          <reference field="4294967294" count="1" selected="0">
            <x v="0"/>
          </reference>
          <reference field="1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042964-71D7-43D7-B88E-FFD7A114FB86}"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chartFormat="15">
  <location ref="I84:L91" firstHeaderRow="1" firstDataRow="2" firstDataCol="1"/>
  <pivotFields count="18">
    <pivotField compact="0" outline="0" showAll="0"/>
    <pivotField axis="axisRow" compact="0" outline="0" showAll="0">
      <items count="6">
        <item x="0"/>
        <item x="3"/>
        <item x="1"/>
        <item x="2"/>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items count="8">
        <item x="4"/>
        <item x="5"/>
        <item x="3"/>
        <item x="0"/>
        <item x="1"/>
        <item x="2"/>
        <item x="6"/>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
    <i>
      <x/>
    </i>
    <i>
      <x v="1"/>
    </i>
    <i>
      <x v="2"/>
    </i>
    <i>
      <x v="3"/>
    </i>
    <i>
      <x v="4"/>
    </i>
    <i t="grand">
      <x/>
    </i>
  </rowItems>
  <colFields count="1">
    <field x="-2"/>
  </colFields>
  <colItems count="3">
    <i>
      <x/>
    </i>
    <i i="1">
      <x v="1"/>
    </i>
    <i i="2">
      <x v="2"/>
    </i>
  </colItems>
  <dataFields count="3">
    <dataField name="Average of tat_pre-booking_(days)" fld="10" subtotal="average" baseField="0" baseItem="0"/>
    <dataField name="Average of tat_booking_(days)" fld="11" subtotal="average" baseField="1" baseItem="0"/>
    <dataField name="Average of tat_delivery_(days)" fld="12" subtotal="average" baseField="1" baseItem="0"/>
  </dataFields>
  <formats count="1">
    <format dxfId="71">
      <pivotArea outline="0" collapsedLevelsAreSubtotals="1" fieldPosition="0"/>
    </format>
  </formats>
  <chartFormats count="3">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B3CDA09-B90E-4638-AC82-11DE183D2FC4}" name="PivotTable6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J26:K32" firstHeaderRow="1" firstDataRow="1" firstDataCol="1"/>
  <pivotFields count="33">
    <pivotField showAll="0"/>
    <pivotField showAll="0">
      <items count="5">
        <item x="0"/>
        <item x="3"/>
        <item x="1"/>
        <item x="2"/>
        <item t="default"/>
      </items>
    </pivotField>
    <pivotField showAll="0">
      <items count="4">
        <item x="1"/>
        <item x="2"/>
        <item x="0"/>
        <item t="default"/>
      </items>
    </pivotField>
    <pivotField numFmtId="14" showAll="0">
      <items count="33">
        <item x="2"/>
        <item x="31"/>
        <item x="25"/>
        <item x="7"/>
        <item x="13"/>
        <item x="14"/>
        <item x="29"/>
        <item x="24"/>
        <item x="17"/>
        <item x="30"/>
        <item x="1"/>
        <item x="9"/>
        <item x="28"/>
        <item x="4"/>
        <item x="11"/>
        <item x="6"/>
        <item x="16"/>
        <item x="21"/>
        <item x="23"/>
        <item x="18"/>
        <item x="0"/>
        <item x="27"/>
        <item x="12"/>
        <item x="15"/>
        <item x="22"/>
        <item x="19"/>
        <item x="5"/>
        <item x="3"/>
        <item x="26"/>
        <item x="20"/>
        <item x="8"/>
        <item x="10"/>
        <item t="default"/>
      </items>
    </pivotField>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items count="3">
        <item x="0"/>
        <item x="1"/>
        <item t="default"/>
      </items>
    </pivotField>
    <pivotField axis="axisRow" dataField="1" showAll="0">
      <items count="7">
        <item x="3"/>
        <item x="4"/>
        <item h="1" x="0"/>
        <item x="1"/>
        <item x="2"/>
        <item x="5"/>
        <item t="default"/>
      </items>
    </pivotField>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3"/>
    </i>
    <i>
      <x v="4"/>
    </i>
    <i>
      <x v="5"/>
    </i>
    <i t="grand">
      <x/>
    </i>
  </rowItems>
  <colItems count="1">
    <i/>
  </colItems>
  <dataFields count="1">
    <dataField name="Count of cancellation_reason" fld="8" subtotal="count" baseField="0" baseItem="0"/>
  </dataFields>
  <chartFormats count="28">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8" count="1" selected="0">
            <x v="0"/>
          </reference>
        </references>
      </pivotArea>
    </chartFormat>
    <chartFormat chart="13" format="3">
      <pivotArea type="data" outline="0" fieldPosition="0">
        <references count="2">
          <reference field="4294967294" count="1" selected="0">
            <x v="0"/>
          </reference>
          <reference field="8" count="1" selected="0">
            <x v="1"/>
          </reference>
        </references>
      </pivotArea>
    </chartFormat>
    <chartFormat chart="13" format="4">
      <pivotArea type="data" outline="0" fieldPosition="0">
        <references count="2">
          <reference field="4294967294" count="1" selected="0">
            <x v="0"/>
          </reference>
          <reference field="8" count="1" selected="0">
            <x v="2"/>
          </reference>
        </references>
      </pivotArea>
    </chartFormat>
    <chartFormat chart="13" format="5">
      <pivotArea type="data" outline="0" fieldPosition="0">
        <references count="2">
          <reference field="4294967294" count="1" selected="0">
            <x v="0"/>
          </reference>
          <reference field="8" count="1" selected="0">
            <x v="3"/>
          </reference>
        </references>
      </pivotArea>
    </chartFormat>
    <chartFormat chart="13" format="6">
      <pivotArea type="data" outline="0" fieldPosition="0">
        <references count="2">
          <reference field="4294967294" count="1" selected="0">
            <x v="0"/>
          </reference>
          <reference field="8" count="1" selected="0">
            <x v="4"/>
          </reference>
        </references>
      </pivotArea>
    </chartFormat>
    <chartFormat chart="13" format="7">
      <pivotArea type="data" outline="0" fieldPosition="0">
        <references count="2">
          <reference field="4294967294" count="1" selected="0">
            <x v="0"/>
          </reference>
          <reference field="8" count="1" selected="0">
            <x v="5"/>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8" count="1" selected="0">
            <x v="0"/>
          </reference>
        </references>
      </pivotArea>
    </chartFormat>
    <chartFormat chart="14" format="10">
      <pivotArea type="data" outline="0" fieldPosition="0">
        <references count="2">
          <reference field="4294967294" count="1" selected="0">
            <x v="0"/>
          </reference>
          <reference field="8" count="1" selected="0">
            <x v="1"/>
          </reference>
        </references>
      </pivotArea>
    </chartFormat>
    <chartFormat chart="14" format="11">
      <pivotArea type="data" outline="0" fieldPosition="0">
        <references count="2">
          <reference field="4294967294" count="1" selected="0">
            <x v="0"/>
          </reference>
          <reference field="8" count="1" selected="0">
            <x v="2"/>
          </reference>
        </references>
      </pivotArea>
    </chartFormat>
    <chartFormat chart="14" format="12">
      <pivotArea type="data" outline="0" fieldPosition="0">
        <references count="2">
          <reference field="4294967294" count="1" selected="0">
            <x v="0"/>
          </reference>
          <reference field="8" count="1" selected="0">
            <x v="3"/>
          </reference>
        </references>
      </pivotArea>
    </chartFormat>
    <chartFormat chart="14" format="13">
      <pivotArea type="data" outline="0" fieldPosition="0">
        <references count="2">
          <reference field="4294967294" count="1" selected="0">
            <x v="0"/>
          </reference>
          <reference field="8" count="1" selected="0">
            <x v="4"/>
          </reference>
        </references>
      </pivotArea>
    </chartFormat>
    <chartFormat chart="14" format="14">
      <pivotArea type="data" outline="0" fieldPosition="0">
        <references count="2">
          <reference field="4294967294" count="1" selected="0">
            <x v="0"/>
          </reference>
          <reference field="8" count="1" selected="0">
            <x v="5"/>
          </reference>
        </references>
      </pivotArea>
    </chartFormat>
    <chartFormat chart="23" format="15" series="1">
      <pivotArea type="data" outline="0" fieldPosition="0">
        <references count="1">
          <reference field="4294967294" count="1" selected="0">
            <x v="0"/>
          </reference>
        </references>
      </pivotArea>
    </chartFormat>
    <chartFormat chart="23" format="16">
      <pivotArea type="data" outline="0" fieldPosition="0">
        <references count="2">
          <reference field="4294967294" count="1" selected="0">
            <x v="0"/>
          </reference>
          <reference field="8" count="1" selected="0">
            <x v="0"/>
          </reference>
        </references>
      </pivotArea>
    </chartFormat>
    <chartFormat chart="23" format="17">
      <pivotArea type="data" outline="0" fieldPosition="0">
        <references count="2">
          <reference field="4294967294" count="1" selected="0">
            <x v="0"/>
          </reference>
          <reference field="8" count="1" selected="0">
            <x v="1"/>
          </reference>
        </references>
      </pivotArea>
    </chartFormat>
    <chartFormat chart="23" format="18">
      <pivotArea type="data" outline="0" fieldPosition="0">
        <references count="2">
          <reference field="4294967294" count="1" selected="0">
            <x v="0"/>
          </reference>
          <reference field="8" count="1" selected="0">
            <x v="2"/>
          </reference>
        </references>
      </pivotArea>
    </chartFormat>
    <chartFormat chart="23" format="19">
      <pivotArea type="data" outline="0" fieldPosition="0">
        <references count="2">
          <reference field="4294967294" count="1" selected="0">
            <x v="0"/>
          </reference>
          <reference field="8" count="1" selected="0">
            <x v="3"/>
          </reference>
        </references>
      </pivotArea>
    </chartFormat>
    <chartFormat chart="23" format="20">
      <pivotArea type="data" outline="0" fieldPosition="0">
        <references count="2">
          <reference field="4294967294" count="1" selected="0">
            <x v="0"/>
          </reference>
          <reference field="8" count="1" selected="0">
            <x v="4"/>
          </reference>
        </references>
      </pivotArea>
    </chartFormat>
    <chartFormat chart="23" format="21">
      <pivotArea type="data" outline="0" fieldPosition="0">
        <references count="2">
          <reference field="4294967294" count="1" selected="0">
            <x v="0"/>
          </reference>
          <reference field="8" count="1" selected="0">
            <x v="5"/>
          </reference>
        </references>
      </pivotArea>
    </chartFormat>
    <chartFormat chart="15" format="29" series="1">
      <pivotArea type="data" outline="0" fieldPosition="0">
        <references count="1">
          <reference field="4294967294" count="1" selected="0">
            <x v="0"/>
          </reference>
        </references>
      </pivotArea>
    </chartFormat>
    <chartFormat chart="15" format="30">
      <pivotArea type="data" outline="0" fieldPosition="0">
        <references count="2">
          <reference field="4294967294" count="1" selected="0">
            <x v="0"/>
          </reference>
          <reference field="8" count="1" selected="0">
            <x v="0"/>
          </reference>
        </references>
      </pivotArea>
    </chartFormat>
    <chartFormat chart="15" format="31">
      <pivotArea type="data" outline="0" fieldPosition="0">
        <references count="2">
          <reference field="4294967294" count="1" selected="0">
            <x v="0"/>
          </reference>
          <reference field="8" count="1" selected="0">
            <x v="1"/>
          </reference>
        </references>
      </pivotArea>
    </chartFormat>
    <chartFormat chart="15" format="32">
      <pivotArea type="data" outline="0" fieldPosition="0">
        <references count="2">
          <reference field="4294967294" count="1" selected="0">
            <x v="0"/>
          </reference>
          <reference field="8" count="1" selected="0">
            <x v="2"/>
          </reference>
        </references>
      </pivotArea>
    </chartFormat>
    <chartFormat chart="15" format="33">
      <pivotArea type="data" outline="0" fieldPosition="0">
        <references count="2">
          <reference field="4294967294" count="1" selected="0">
            <x v="0"/>
          </reference>
          <reference field="8" count="1" selected="0">
            <x v="3"/>
          </reference>
        </references>
      </pivotArea>
    </chartFormat>
    <chartFormat chart="15" format="34">
      <pivotArea type="data" outline="0" fieldPosition="0">
        <references count="2">
          <reference field="4294967294" count="1" selected="0">
            <x v="0"/>
          </reference>
          <reference field="8" count="1" selected="0">
            <x v="4"/>
          </reference>
        </references>
      </pivotArea>
    </chartFormat>
    <chartFormat chart="15" format="35">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659021-C0B2-4DA9-A0CC-30C5C389509B}" name="PivotTable6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6:V21" firstHeaderRow="1" firstDataRow="1" firstDataCol="1" rowPageCount="1" colPageCount="1"/>
  <pivotFields count="33">
    <pivotField showAll="0"/>
    <pivotField axis="axisRow" showAll="0">
      <items count="5">
        <item x="0"/>
        <item x="3"/>
        <item x="1"/>
        <item x="2"/>
        <item t="default"/>
      </items>
    </pivotField>
    <pivotField showAll="0">
      <items count="4">
        <item x="1"/>
        <item x="2"/>
        <item x="0"/>
        <item t="default"/>
      </items>
    </pivotField>
    <pivotField numFmtId="14" showAll="0">
      <items count="33">
        <item x="2"/>
        <item x="31"/>
        <item x="25"/>
        <item x="7"/>
        <item x="13"/>
        <item x="14"/>
        <item x="29"/>
        <item x="24"/>
        <item x="17"/>
        <item x="30"/>
        <item x="1"/>
        <item x="9"/>
        <item x="28"/>
        <item x="4"/>
        <item x="11"/>
        <item x="6"/>
        <item x="16"/>
        <item x="21"/>
        <item x="23"/>
        <item x="18"/>
        <item x="0"/>
        <item x="27"/>
        <item x="12"/>
        <item x="15"/>
        <item x="22"/>
        <item x="19"/>
        <item x="5"/>
        <item x="3"/>
        <item x="26"/>
        <item x="20"/>
        <item x="8"/>
        <item x="10"/>
        <item t="default"/>
      </items>
    </pivotField>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items count="3">
        <item x="0"/>
        <item x="1"/>
        <item t="default"/>
      </items>
    </pivotField>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dataField="1" showAll="0"/>
    <pivotField showAll="0"/>
    <pivotField axis="axisPage" showAll="0">
      <items count="3">
        <item x="1"/>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pageFields count="1">
    <pageField fld="15" hier="-1"/>
  </pageFields>
  <dataFields count="1">
    <dataField name="Average of customer_rating" fld="13" subtotal="average" baseField="1" baseItem="0"/>
  </dataFields>
  <formats count="2">
    <format dxfId="73">
      <pivotArea collapsedLevelsAreSubtotals="1" fieldPosition="0">
        <references count="1">
          <reference field="1" count="0"/>
        </references>
      </pivotArea>
    </format>
    <format dxfId="7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37DD0D9-78ED-4D86-BEFA-499ED2A97977}" name="PivotTable6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7:N43" firstHeaderRow="1" firstDataRow="2" firstDataCol="1"/>
  <pivotFields count="33">
    <pivotField showAll="0"/>
    <pivotField axis="axisRow" showAll="0">
      <items count="5">
        <item x="0"/>
        <item x="3"/>
        <item x="1"/>
        <item x="2"/>
        <item t="default"/>
      </items>
    </pivotField>
    <pivotField axis="axisCol" showAll="0">
      <items count="4">
        <item x="1"/>
        <item x="2"/>
        <item x="0"/>
        <item t="default"/>
      </items>
    </pivotField>
    <pivotField dataField="1" numFmtId="14" showAll="0">
      <items count="33">
        <item x="2"/>
        <item x="31"/>
        <item x="25"/>
        <item x="7"/>
        <item x="13"/>
        <item x="14"/>
        <item x="29"/>
        <item x="24"/>
        <item x="17"/>
        <item x="30"/>
        <item x="1"/>
        <item x="9"/>
        <item x="28"/>
        <item x="4"/>
        <item x="11"/>
        <item x="6"/>
        <item x="16"/>
        <item x="21"/>
        <item x="23"/>
        <item x="18"/>
        <item x="0"/>
        <item x="27"/>
        <item x="12"/>
        <item x="15"/>
        <item x="22"/>
        <item x="19"/>
        <item x="5"/>
        <item x="3"/>
        <item x="26"/>
        <item x="20"/>
        <item x="8"/>
        <item x="10"/>
        <item t="default"/>
      </items>
    </pivotField>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items count="3">
        <item x="0"/>
        <item x="1"/>
        <item t="default"/>
      </items>
    </pivotField>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4">
    <i>
      <x/>
    </i>
    <i>
      <x v="1"/>
    </i>
    <i>
      <x v="2"/>
    </i>
    <i t="grand">
      <x/>
    </i>
  </colItems>
  <dataFields count="1">
    <dataField name="Count of lead_d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46CE105-B634-4E29-A1C8-6EC71CFC0707}" name="PivotTable5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C3:L8" firstHeaderRow="0" firstDataRow="1" firstDataCol="1"/>
  <pivotFields count="33">
    <pivotField dataField="1" showAll="0"/>
    <pivotField axis="axisRow" showAll="0">
      <items count="5">
        <item x="0"/>
        <item x="3"/>
        <item x="1"/>
        <item x="2"/>
        <item t="default"/>
      </items>
    </pivotField>
    <pivotField showAll="0">
      <items count="4">
        <item x="1"/>
        <item x="2"/>
        <item x="0"/>
        <item t="default"/>
      </items>
    </pivotField>
    <pivotField dataField="1" numFmtId="14" showAll="0">
      <items count="33">
        <item x="2"/>
        <item x="31"/>
        <item x="25"/>
        <item x="7"/>
        <item x="13"/>
        <item x="14"/>
        <item x="29"/>
        <item x="24"/>
        <item x="17"/>
        <item x="30"/>
        <item x="1"/>
        <item x="9"/>
        <item x="28"/>
        <item x="4"/>
        <item x="11"/>
        <item x="6"/>
        <item x="16"/>
        <item x="21"/>
        <item x="23"/>
        <item x="18"/>
        <item x="0"/>
        <item x="27"/>
        <item x="12"/>
        <item x="15"/>
        <item x="22"/>
        <item x="19"/>
        <item x="5"/>
        <item x="3"/>
        <item x="26"/>
        <item x="20"/>
        <item x="8"/>
        <item x="10"/>
        <item t="default"/>
      </items>
    </pivotField>
    <pivotField dataField="1"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dataField="1"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dataField="1" multipleItemSelectionAllowed="1"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items count="3">
        <item x="0"/>
        <item x="1"/>
        <item t="default"/>
      </items>
    </pivotField>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9">
    <i>
      <x/>
    </i>
    <i i="1">
      <x v="1"/>
    </i>
    <i i="2">
      <x v="2"/>
    </i>
    <i i="3">
      <x v="3"/>
    </i>
    <i i="4">
      <x v="4"/>
    </i>
    <i i="5">
      <x v="5"/>
    </i>
    <i i="6">
      <x v="6"/>
    </i>
    <i i="7">
      <x v="7"/>
    </i>
    <i i="8">
      <x v="8"/>
    </i>
  </colItems>
  <dataFields count="9">
    <dataField name="Count of lead_id" fld="0" subtotal="count" baseField="0" baseItem="0"/>
    <dataField name="Count of lead_date" fld="3" subtotal="count" baseField="1" baseItem="0"/>
    <dataField name="Count of pre-booking_date" fld="4" subtotal="count" baseField="0" baseItem="0"/>
    <dataField name="Count of delivery_date" fld="6" subtotal="count" baseField="1" baseItem="0"/>
    <dataField name="Count of Converion_rate_prebooking" fld="28" subtotal="count" baseField="1" baseItem="0"/>
    <dataField name="Count of booking_date" fld="5" subtotal="count" baseField="0" baseItem="0"/>
    <dataField name="Sum of Conversion_rate_of_delivery" fld="30" baseField="0" baseItem="0"/>
    <dataField name="Sum of Conversion_rate_booking %" fld="29" baseField="0" baseItem="0"/>
    <dataField name="Sum of Conversion_rate_delivery_date" fld="27" baseField="0" baseItem="0"/>
  </dataFields>
  <formats count="2">
    <format dxfId="75">
      <pivotArea field="1" grandRow="1" outline="0" collapsedLevelsAreSubtotals="1" axis="axisRow" fieldPosition="0">
        <references count="1">
          <reference field="4294967294" count="3" selected="0">
            <x v="4"/>
            <x v="6"/>
            <x v="7"/>
          </reference>
        </references>
      </pivotArea>
    </format>
    <format dxfId="74">
      <pivotArea collapsedLevelsAreSubtotals="1" fieldPosition="0">
        <references count="2">
          <reference field="4294967294" count="3" selected="0">
            <x v="4"/>
            <x v="6"/>
            <x v="7"/>
          </reference>
          <reference field="1" count="0"/>
        </references>
      </pivotArea>
    </format>
  </formats>
  <chartFormats count="59">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7"/>
          </reference>
        </references>
      </pivotArea>
    </chartFormat>
    <chartFormat chart="0" format="6" series="1">
      <pivotArea type="data" outline="0" fieldPosition="0">
        <references count="1">
          <reference field="4294967294" count="1" selected="0">
            <x v="6"/>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7"/>
          </reference>
        </references>
      </pivotArea>
    </chartFormat>
    <chartFormat chart="3" format="6" series="1">
      <pivotArea type="data" outline="0" fieldPosition="0">
        <references count="1">
          <reference field="4294967294" count="1" selected="0">
            <x v="6"/>
          </reference>
        </references>
      </pivotArea>
    </chartFormat>
    <chartFormat chart="4" format="10" series="1">
      <pivotArea type="data" outline="0" fieldPosition="0">
        <references count="1">
          <reference field="4294967294" count="1" selected="0">
            <x v="3"/>
          </reference>
        </references>
      </pivotArea>
    </chartFormat>
    <chartFormat chart="4" format="11" series="1">
      <pivotArea type="data" outline="0" fieldPosition="0">
        <references count="1">
          <reference field="4294967294" count="1" selected="0">
            <x v="4"/>
          </reference>
        </references>
      </pivotArea>
    </chartFormat>
    <chartFormat chart="4" format="12" series="1">
      <pivotArea type="data" outline="0" fieldPosition="0">
        <references count="1">
          <reference field="4294967294" count="1" selected="0">
            <x v="7"/>
          </reference>
        </references>
      </pivotArea>
    </chartFormat>
    <chartFormat chart="4" format="13" series="1">
      <pivotArea type="data" outline="0" fieldPosition="0">
        <references count="1">
          <reference field="4294967294" count="1" selected="0">
            <x v="6"/>
          </reference>
        </references>
      </pivotArea>
    </chartFormat>
    <chartFormat chart="5" format="17" series="1">
      <pivotArea type="data" outline="0" fieldPosition="0">
        <references count="1">
          <reference field="4294967294" count="1" selected="0">
            <x v="3"/>
          </reference>
        </references>
      </pivotArea>
    </chartFormat>
    <chartFormat chart="5" format="18" series="1">
      <pivotArea type="data" outline="0" fieldPosition="0">
        <references count="1">
          <reference field="4294967294" count="1" selected="0">
            <x v="4"/>
          </reference>
        </references>
      </pivotArea>
    </chartFormat>
    <chartFormat chart="5" format="19" series="1">
      <pivotArea type="data" outline="0" fieldPosition="0">
        <references count="1">
          <reference field="4294967294" count="1" selected="0">
            <x v="7"/>
          </reference>
        </references>
      </pivotArea>
    </chartFormat>
    <chartFormat chart="5" format="20" series="1">
      <pivotArea type="data" outline="0" fieldPosition="0">
        <references count="1">
          <reference field="4294967294" count="1" selected="0">
            <x v="6"/>
          </reference>
        </references>
      </pivotArea>
    </chartFormat>
    <chartFormat chart="5" format="21"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3"/>
          </reference>
        </references>
      </pivotArea>
    </chartFormat>
    <chartFormat chart="9" format="2" series="1">
      <pivotArea type="data" outline="0" fieldPosition="0">
        <references count="1">
          <reference field="4294967294" count="1" selected="0">
            <x v="4"/>
          </reference>
        </references>
      </pivotArea>
    </chartFormat>
    <chartFormat chart="9" format="3" series="1">
      <pivotArea type="data" outline="0" fieldPosition="0">
        <references count="1">
          <reference field="4294967294" count="1" selected="0">
            <x v="7"/>
          </reference>
        </references>
      </pivotArea>
    </chartFormat>
    <chartFormat chart="9" format="4" series="1">
      <pivotArea type="data" outline="0" fieldPosition="0">
        <references count="1">
          <reference field="4294967294" count="1" selected="0">
            <x v="6"/>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3"/>
          </reference>
        </references>
      </pivotArea>
    </chartFormat>
    <chartFormat chart="10" format="7" series="1">
      <pivotArea type="data" outline="0" fieldPosition="0">
        <references count="1">
          <reference field="4294967294" count="1" selected="0">
            <x v="4"/>
          </reference>
        </references>
      </pivotArea>
    </chartFormat>
    <chartFormat chart="10" format="8" series="1">
      <pivotArea type="data" outline="0" fieldPosition="0">
        <references count="1">
          <reference field="4294967294" count="1" selected="0">
            <x v="7"/>
          </reference>
        </references>
      </pivotArea>
    </chartFormat>
    <chartFormat chart="10" format="9" series="1">
      <pivotArea type="data" outline="0" fieldPosition="0">
        <references count="1">
          <reference field="4294967294" count="1" selected="0">
            <x v="6"/>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3"/>
          </reference>
        </references>
      </pivotArea>
    </chartFormat>
    <chartFormat chart="11" format="12" series="1">
      <pivotArea type="data" outline="0" fieldPosition="0">
        <references count="1">
          <reference field="4294967294" count="1" selected="0">
            <x v="4"/>
          </reference>
        </references>
      </pivotArea>
    </chartFormat>
    <chartFormat chart="11" format="13" series="1">
      <pivotArea type="data" outline="0" fieldPosition="0">
        <references count="1">
          <reference field="4294967294" count="1" selected="0">
            <x v="7"/>
          </reference>
        </references>
      </pivotArea>
    </chartFormat>
    <chartFormat chart="11" format="14" series="1">
      <pivotArea type="data" outline="0" fieldPosition="0">
        <references count="1">
          <reference field="4294967294" count="1" selected="0">
            <x v="6"/>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3"/>
          </reference>
        </references>
      </pivotArea>
    </chartFormat>
    <chartFormat chart="12" format="7" series="1">
      <pivotArea type="data" outline="0" fieldPosition="0">
        <references count="1">
          <reference field="4294967294" count="1" selected="0">
            <x v="4"/>
          </reference>
        </references>
      </pivotArea>
    </chartFormat>
    <chartFormat chart="12" format="8" series="1">
      <pivotArea type="data" outline="0" fieldPosition="0">
        <references count="1">
          <reference field="4294967294" count="1" selected="0">
            <x v="7"/>
          </reference>
        </references>
      </pivotArea>
    </chartFormat>
    <chartFormat chart="12" format="9" series="1">
      <pivotArea type="data" outline="0" fieldPosition="0">
        <references count="1">
          <reference field="4294967294" count="1" selected="0">
            <x v="6"/>
          </reference>
        </references>
      </pivotArea>
    </chartFormat>
    <chartFormat chart="20" format="1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3"/>
          </reference>
        </references>
      </pivotArea>
    </chartFormat>
    <chartFormat chart="20" format="12" series="1">
      <pivotArea type="data" outline="0" fieldPosition="0">
        <references count="1">
          <reference field="4294967294" count="1" selected="0">
            <x v="4"/>
          </reference>
        </references>
      </pivotArea>
    </chartFormat>
    <chartFormat chart="20" format="13" series="1">
      <pivotArea type="data" outline="0" fieldPosition="0">
        <references count="1">
          <reference field="4294967294" count="1" selected="0">
            <x v="7"/>
          </reference>
        </references>
      </pivotArea>
    </chartFormat>
    <chartFormat chart="20" format="14" series="1">
      <pivotArea type="data" outline="0" fieldPosition="0">
        <references count="1">
          <reference field="4294967294" count="1" selected="0">
            <x v="6"/>
          </reference>
        </references>
      </pivotArea>
    </chartFormat>
    <chartFormat chart="21"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3"/>
          </reference>
        </references>
      </pivotArea>
    </chartFormat>
    <chartFormat chart="21" format="7" series="1">
      <pivotArea type="data" outline="0" fieldPosition="0">
        <references count="1">
          <reference field="4294967294" count="1" selected="0">
            <x v="4"/>
          </reference>
        </references>
      </pivotArea>
    </chartFormat>
    <chartFormat chart="21" format="8" series="1">
      <pivotArea type="data" outline="0" fieldPosition="0">
        <references count="1">
          <reference field="4294967294" count="1" selected="0">
            <x v="7"/>
          </reference>
        </references>
      </pivotArea>
    </chartFormat>
    <chartFormat chart="21" format="9" series="1">
      <pivotArea type="data" outline="0" fieldPosition="0">
        <references count="1">
          <reference field="4294967294" count="1" selected="0">
            <x v="6"/>
          </reference>
        </references>
      </pivotArea>
    </chartFormat>
    <chartFormat chart="22" format="1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3"/>
          </reference>
        </references>
      </pivotArea>
    </chartFormat>
    <chartFormat chart="22" format="12" series="1">
      <pivotArea type="data" outline="0" fieldPosition="0">
        <references count="1">
          <reference field="4294967294" count="1" selected="0">
            <x v="4"/>
          </reference>
        </references>
      </pivotArea>
    </chartFormat>
    <chartFormat chart="22" format="13" series="1">
      <pivotArea type="data" outline="0" fieldPosition="0">
        <references count="1">
          <reference field="4294967294" count="1" selected="0">
            <x v="7"/>
          </reference>
        </references>
      </pivotArea>
    </chartFormat>
    <chartFormat chart="22" format="14" series="1">
      <pivotArea type="data" outline="0" fieldPosition="0">
        <references count="1">
          <reference field="4294967294" count="1" selected="0">
            <x v="6"/>
          </reference>
        </references>
      </pivotArea>
    </chartFormat>
    <chartFormat chart="20" format="15" series="1">
      <pivotArea type="data" outline="0" fieldPosition="0">
        <references count="1">
          <reference field="4294967294" count="1" selected="0">
            <x v="1"/>
          </reference>
        </references>
      </pivotArea>
    </chartFormat>
    <chartFormat chart="20" format="17" series="1">
      <pivotArea type="data" outline="0" fieldPosition="0">
        <references count="1">
          <reference field="4294967294" count="1" selected="0">
            <x v="8"/>
          </reference>
        </references>
      </pivotArea>
    </chartFormat>
    <chartFormat chart="20" format="19" series="1">
      <pivotArea type="data" outline="0" fieldPosition="0">
        <references count="1">
          <reference field="4294967294" count="1" selected="0">
            <x v="2"/>
          </reference>
        </references>
      </pivotArea>
    </chartFormat>
    <chartFormat chart="20" format="20"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468F3EA-CF0D-4ABD-A887-807B8110BD88}" name="PivotTable5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2:F16" firstHeaderRow="1" firstDataRow="1" firstDataCol="1" rowPageCount="1" colPageCount="1"/>
  <pivotFields count="33">
    <pivotField dataField="1" showAll="0"/>
    <pivotField showAll="0">
      <items count="5">
        <item x="0"/>
        <item x="3"/>
        <item x="1"/>
        <item x="2"/>
        <item t="default"/>
      </items>
    </pivotField>
    <pivotField axis="axisRow" showAll="0">
      <items count="4">
        <item x="1"/>
        <item x="2"/>
        <item x="0"/>
        <item t="default"/>
      </items>
    </pivotField>
    <pivotField numFmtId="14" showAll="0">
      <items count="33">
        <item x="2"/>
        <item x="31"/>
        <item x="25"/>
        <item x="7"/>
        <item x="13"/>
        <item x="14"/>
        <item x="29"/>
        <item x="24"/>
        <item x="17"/>
        <item x="30"/>
        <item x="1"/>
        <item x="9"/>
        <item x="28"/>
        <item x="4"/>
        <item x="11"/>
        <item x="6"/>
        <item x="16"/>
        <item x="21"/>
        <item x="23"/>
        <item x="18"/>
        <item x="0"/>
        <item x="27"/>
        <item x="12"/>
        <item x="15"/>
        <item x="22"/>
        <item x="19"/>
        <item x="5"/>
        <item x="3"/>
        <item x="26"/>
        <item x="20"/>
        <item x="8"/>
        <item x="10"/>
        <item t="default"/>
      </items>
    </pivotField>
    <pivotField showAll="0">
      <items count="37">
        <item x="29"/>
        <item x="33"/>
        <item x="26"/>
        <item x="6"/>
        <item x="13"/>
        <item x="15"/>
        <item x="30"/>
        <item x="27"/>
        <item x="21"/>
        <item x="17"/>
        <item x="20"/>
        <item x="19"/>
        <item x="1"/>
        <item x="14"/>
        <item x="24"/>
        <item x="7"/>
        <item x="3"/>
        <item x="22"/>
        <item x="5"/>
        <item x="16"/>
        <item x="31"/>
        <item x="18"/>
        <item x="9"/>
        <item x="0"/>
        <item x="25"/>
        <item x="12"/>
        <item x="28"/>
        <item x="23"/>
        <item x="11"/>
        <item x="4"/>
        <item x="10"/>
        <item x="34"/>
        <item x="35"/>
        <item x="8"/>
        <item x="32"/>
        <item x="2"/>
        <item t="default"/>
      </items>
    </pivotField>
    <pivotField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x="2"/>
        <item t="default"/>
      </items>
    </pivotField>
    <pivotField showAll="0">
      <items count="45">
        <item x="41"/>
        <item x="37"/>
        <item x="29"/>
        <item x="35"/>
        <item x="30"/>
        <item x="42"/>
        <item x="28"/>
        <item x="38"/>
        <item x="25"/>
        <item x="6"/>
        <item x="14"/>
        <item x="16"/>
        <item x="27"/>
        <item x="19"/>
        <item x="22"/>
        <item x="12"/>
        <item x="31"/>
        <item x="15"/>
        <item x="3"/>
        <item x="7"/>
        <item x="1"/>
        <item x="32"/>
        <item x="5"/>
        <item x="21"/>
        <item x="9"/>
        <item x="24"/>
        <item x="17"/>
        <item x="26"/>
        <item x="0"/>
        <item x="34"/>
        <item x="18"/>
        <item x="13"/>
        <item x="4"/>
        <item x="11"/>
        <item x="23"/>
        <item x="8"/>
        <item x="36"/>
        <item x="39"/>
        <item x="10"/>
        <item x="33"/>
        <item x="20"/>
        <item x="43"/>
        <item x="40"/>
        <item x="2"/>
        <item t="default"/>
      </items>
    </pivotField>
    <pivotField showAll="0">
      <items count="3">
        <item x="0"/>
        <item x="1"/>
        <item t="default"/>
      </items>
    </pivotField>
    <pivotField showAll="0"/>
    <pivotField showAll="0">
      <items count="58">
        <item x="55"/>
        <item x="35"/>
        <item x="45"/>
        <item x="28"/>
        <item x="41"/>
        <item x="36"/>
        <item x="9"/>
        <item x="37"/>
        <item x="46"/>
        <item x="29"/>
        <item x="34"/>
        <item x="38"/>
        <item x="33"/>
        <item x="15"/>
        <item x="39"/>
        <item x="22"/>
        <item x="4"/>
        <item x="18"/>
        <item x="26"/>
        <item x="32"/>
        <item x="17"/>
        <item x="5"/>
        <item x="11"/>
        <item x="3"/>
        <item x="19"/>
        <item x="25"/>
        <item x="20"/>
        <item x="42"/>
        <item x="14"/>
        <item x="10"/>
        <item x="12"/>
        <item x="24"/>
        <item x="31"/>
        <item x="1"/>
        <item x="8"/>
        <item x="30"/>
        <item x="49"/>
        <item x="23"/>
        <item x="43"/>
        <item x="0"/>
        <item x="21"/>
        <item x="6"/>
        <item x="27"/>
        <item x="44"/>
        <item x="51"/>
        <item x="13"/>
        <item x="16"/>
        <item x="52"/>
        <item x="7"/>
        <item x="40"/>
        <item x="47"/>
        <item x="53"/>
        <item x="50"/>
        <item x="48"/>
        <item x="54"/>
        <item x="56"/>
        <item x="2"/>
        <item t="default"/>
      </items>
    </pivotField>
    <pivotField showAll="0"/>
    <pivotField showAll="0"/>
    <pivotField showAll="0"/>
    <pivotField showAll="0"/>
    <pivotField showAll="0"/>
    <pivotField axis="axisPage" showAll="0">
      <items count="3">
        <item x="1"/>
        <item x="0"/>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pageFields count="1">
    <pageField fld="15" hier="-1"/>
  </pageFields>
  <dataFields count="1">
    <dataField name="Count of lead_id" fld="0" subtotal="count" baseField="0" baseItem="0"/>
  </dataFields>
  <chartFormats count="5">
    <chartFormat chart="10"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2" count="1" selected="0">
            <x v="0"/>
          </reference>
        </references>
      </pivotArea>
    </chartFormat>
    <chartFormat chart="17" format="7">
      <pivotArea type="data" outline="0" fieldPosition="0">
        <references count="2">
          <reference field="4294967294" count="1" selected="0">
            <x v="0"/>
          </reference>
          <reference field="2" count="1" selected="0">
            <x v="1"/>
          </reference>
        </references>
      </pivotArea>
    </chartFormat>
    <chartFormat chart="17"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15858C9C-511C-43C6-917F-3BFDC8C6FBDE}" sourceName="store">
  <data>
    <tabular pivotCacheId="52642397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167BE3E9-AC1E-4641-882E-C2ADBE27B92B}" sourceName="store_name!">
  <pivotTables>
    <pivotTable tabId="83" name="PivotTable63"/>
    <pivotTable tabId="83" name="PivotTable58"/>
    <pivotTable tabId="83" name="PivotTable59"/>
    <pivotTable tabId="83" name="PivotTable61"/>
    <pivotTable tabId="83" name="PivotTable62"/>
    <pivotTable tabId="83" name="PivotTable64"/>
    <pivotTable tabId="83" name="PivotTable72"/>
    <pivotTable tabId="83" name="PivotTable76"/>
  </pivotTables>
  <data>
    <tabular pivotCacheId="1196880739" customListSort="0">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648D4541-2414-4258-B287-6BD0D94E5758}" sourceName="lead_type">
  <pivotTables>
    <pivotTable tabId="83" name="PivotTable59"/>
    <pivotTable tabId="83" name="PivotTable58"/>
    <pivotTable tabId="83" name="PivotTable61"/>
    <pivotTable tabId="83" name="PivotTable62"/>
    <pivotTable tabId="83" name="PivotTable63"/>
    <pivotTable tabId="83" name="PivotTable64"/>
    <pivotTable tabId="83" name="PivotTable72"/>
    <pivotTable tabId="83" name="PivotTable76"/>
  </pivotTables>
  <data>
    <tabular pivotCacheId="119688073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date" xr10:uid="{087B6F7E-9A99-4C89-9E0B-E719B2424F31}" sourceName="lead_date">
  <pivotTables>
    <pivotTable tabId="83" name="PivotTable63"/>
    <pivotTable tabId="83" name="PivotTable58"/>
    <pivotTable tabId="83" name="PivotTable59"/>
    <pivotTable tabId="83" name="PivotTable61"/>
    <pivotTable tabId="83" name="PivotTable62"/>
    <pivotTable tabId="83" name="PivotTable64"/>
    <pivotTable tabId="83" name="PivotTable72"/>
    <pivotTable tabId="83" name="PivotTable76"/>
  </pivotTables>
  <data>
    <tabular pivotCacheId="1196880739">
      <items count="32">
        <i x="2" s="1"/>
        <i x="31" s="1"/>
        <i x="25" s="1"/>
        <i x="7" s="1"/>
        <i x="13" s="1"/>
        <i x="14" s="1"/>
        <i x="29" s="1"/>
        <i x="24" s="1"/>
        <i x="17" s="1"/>
        <i x="30" s="1"/>
        <i x="1" s="1"/>
        <i x="9" s="1"/>
        <i x="28" s="1"/>
        <i x="4" s="1"/>
        <i x="11" s="1"/>
        <i x="6" s="1"/>
        <i x="16" s="1"/>
        <i x="21" s="1"/>
        <i x="23" s="1"/>
        <i x="18" s="1"/>
        <i x="0" s="1"/>
        <i x="27" s="1"/>
        <i x="12" s="1"/>
        <i x="15" s="1"/>
        <i x="22" s="1"/>
        <i x="19" s="1"/>
        <i x="5" s="1"/>
        <i x="3" s="1"/>
        <i x="26" s="1"/>
        <i x="20" s="1"/>
        <i x="8"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status" xr10:uid="{80AEC433-37C7-43F8-B9DC-82BD5FB211CE}" sourceName="cancellation_status">
  <pivotTables>
    <pivotTable tabId="83" name="PivotTable58"/>
    <pivotTable tabId="83" name="PivotTable59"/>
    <pivotTable tabId="83" name="PivotTable61"/>
    <pivotTable tabId="83" name="PivotTable62"/>
    <pivotTable tabId="83" name="PivotTable63"/>
    <pivotTable tabId="83" name="PivotTable64"/>
    <pivotTable tabId="83" name="PivotTable72"/>
    <pivotTable tabId="83" name="PivotTable76"/>
  </pivotTables>
  <data>
    <tabular pivotCacheId="119688073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1" xr10:uid="{85D28CCF-A9EF-43CF-8B29-F20F883FC2EB}" cache="Slicer_store" caption="stor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name!" xr10:uid="{8C652BE4-3F69-4EB1-9A7F-EA4B8030E671}" cache="Slicer_store_name" caption="store_name!" columnCount="2" rowHeight="216000"/>
  <slicer name="lead_type" xr10:uid="{4BC0F47E-CBD1-4DDB-BE2D-7171230AFD9C}" cache="Slicer_lead_type" caption="lead_type" columnCount="3" rowHeight="247650"/>
  <slicer name="lead_date 1" xr10:uid="{7CC7365B-BED1-469D-853F-D4FA3A66577F}" cache="Slicer_lead_date" caption="lead_date" startItem="7" rowHeight="247650"/>
  <slicer name="cancellation_status 4" xr10:uid="{C2BBD521-4F7B-4652-912D-B2938AF296AB}" cache="Slicer_cancellation_status" caption="cancellation_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40382A-EFD2-4EAE-945A-EC107FE91672}" name="Table1" displayName="Table1" ref="A1:R1001" totalsRowShown="0" headerRowDxfId="70" headerRowBorderDxfId="69" tableBorderDxfId="68">
  <autoFilter ref="A1:R1001" xr:uid="{C640382A-EFD2-4EAE-945A-EC107FE91672}"/>
  <tableColumns count="18">
    <tableColumn id="1" xr3:uid="{C3256271-F21F-4AA0-96EF-DDA3689D1D65}" name="lead_id"/>
    <tableColumn id="2" xr3:uid="{C611F534-B7C2-4327-8200-B4B953DE3AF1}" name="store_name!"/>
    <tableColumn id="3" xr3:uid="{47A9C98C-A9A2-49D1-9195-885872C4103A}" name="lead_type"/>
    <tableColumn id="4" xr3:uid="{D651ADA1-1949-4F4F-B597-C2A0FC1B0219}" name="lead_date" dataDxfId="67"/>
    <tableColumn id="5" xr3:uid="{3BCF6C62-5218-4F4E-A2F4-0A56532D38D3}" name="pre-booking_date" dataDxfId="66"/>
    <tableColumn id="6" xr3:uid="{F4F5B4B6-D0AA-4DDB-AB64-3A9A7C9E777A}" name="booking_date" dataDxfId="65"/>
    <tableColumn id="7" xr3:uid="{0EF7C5AB-1AC4-42D8-AE4E-F52D3F28E269}" name="delivery_date" dataDxfId="64"/>
    <tableColumn id="8" xr3:uid="{206D6393-3155-493A-BDC2-912313173CE1}" name="cancellation_status"/>
    <tableColumn id="9" xr3:uid="{E49F415B-AE3B-4D7E-A806-4B4C9B21DE30}" name="cancellation_reason"/>
    <tableColumn id="10" xr3:uid="{BF17D1C0-9768-4797-9355-65D2C23F595B}" name="service_follow-up_date" dataDxfId="63"/>
    <tableColumn id="11" xr3:uid="{370A1DEF-CD68-4CED-8370-00897A09193B}" name="tat_pre-booking_(days)" dataDxfId="62">
      <calculatedColumnFormula>IF(OR(D2="",E2=""),"",INT(E2-D2))</calculatedColumnFormula>
    </tableColumn>
    <tableColumn id="12" xr3:uid="{31F01953-F3A3-4190-823E-2015B762602B}" name="tat_booking_(days)" dataDxfId="61">
      <calculatedColumnFormula>IF(OR(E2="", F2=""), "", INT(F2 - E2))</calculatedColumnFormula>
    </tableColumn>
    <tableColumn id="13" xr3:uid="{3224603F-B87B-4113-B0E2-8B28AEDC016D}" name="tat_delivery_(days)" dataDxfId="60">
      <calculatedColumnFormula>IF(OR(F2="", G2=""), "", INT(G2 - F2))</calculatedColumnFormula>
    </tableColumn>
    <tableColumn id="14" xr3:uid="{82351C17-8213-4E3C-913F-E6FEFFC125A9}" name="customer_rating"/>
    <tableColumn id="15" xr3:uid="{B409DAB4-B397-4FCF-969A-5D736A77B758}" name="Tat_day" dataDxfId="59">
      <calculatedColumnFormula>DATEDIF(Table1[[#This Row],[lead_date]], Table1[[#This Row],[delivery_date]], "d")</calculatedColumnFormula>
    </tableColumn>
    <tableColumn id="16" xr3:uid="{E846E9BD-3BB2-4130-9783-151B9F931290}" name="High_Potential" dataDxfId="58">
      <calculatedColumnFormula>IF(AND(Table1[[#This Row],[customer_rating]]&gt;=8, Table1[[#This Row],[Tat_day]]&lt;=7, Table1[[#This Row],[lead_type]]="Hot"), "High", "Normal")</calculatedColumnFormula>
    </tableColumn>
    <tableColumn id="18" xr3:uid="{7652C24F-8BF8-4F43-BBE3-D76C7D53C355}" name="Category" dataDxfId="57">
      <calculatedColumnFormula>IF(Table1[[#This Row],[customer_rating]]&gt;=9,"Promoter",IF(Table1[[#This Row],[customer_rating]]&gt;=7,"Passive","Detractor"))</calculatedColumnFormula>
    </tableColumn>
    <tableColumn id="20" xr3:uid="{CEA57F34-54EF-4B42-81F5-5F25D0A466A3}" name="NPS score" dataDxfId="56"/>
  </tableColumns>
  <tableStyleInfo name="TableStyleMedium9"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Wu2bhZMX2qMwsWHyDBI85psDawLXPVDF?usp=sharing" TargetMode="Externa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BE0A6-97E0-44D0-8987-83D703649A5C}">
  <dimension ref="A3:J31"/>
  <sheetViews>
    <sheetView zoomScale="80" zoomScaleNormal="100" workbookViewId="0">
      <selection activeCell="G18" sqref="E17:G18"/>
    </sheetView>
  </sheetViews>
  <sheetFormatPr defaultRowHeight="14.4"/>
  <cols>
    <col min="1" max="1" width="19.5546875" customWidth="1"/>
    <col min="2" max="2" width="24.21875" customWidth="1"/>
    <col min="3" max="3" width="29.21875" customWidth="1"/>
    <col min="4" max="4" width="14.88671875" bestFit="1" customWidth="1"/>
    <col min="5" max="5" width="20.44140625" bestFit="1" customWidth="1"/>
    <col min="6" max="6" width="28" bestFit="1" customWidth="1"/>
    <col min="7" max="7" width="23.88671875" bestFit="1" customWidth="1"/>
    <col min="8" max="8" width="24.44140625" bestFit="1" customWidth="1"/>
    <col min="9" max="11" width="8.88671875" customWidth="1"/>
    <col min="12" max="14" width="8.88671875" bestFit="1" customWidth="1"/>
    <col min="15" max="15" width="8.44140625" bestFit="1" customWidth="1"/>
    <col min="16" max="16" width="8" bestFit="1" customWidth="1"/>
    <col min="17" max="24" width="8.44140625" bestFit="1" customWidth="1"/>
    <col min="25" max="25" width="8.88671875" bestFit="1" customWidth="1"/>
    <col min="26" max="26" width="8.44140625" bestFit="1" customWidth="1"/>
    <col min="27" max="35" width="8.88671875" bestFit="1" customWidth="1"/>
    <col min="36" max="36" width="8.44140625" bestFit="1" customWidth="1"/>
    <col min="37" max="45" width="8.88671875" bestFit="1" customWidth="1"/>
    <col min="46" max="46" width="8.44140625" bestFit="1" customWidth="1"/>
    <col min="47" max="55" width="8.88671875" bestFit="1" customWidth="1"/>
    <col min="56" max="56" width="8.44140625" bestFit="1" customWidth="1"/>
    <col min="57" max="65" width="8.88671875" bestFit="1" customWidth="1"/>
    <col min="66" max="66" width="8.44140625" bestFit="1" customWidth="1"/>
    <col min="67" max="75" width="8.88671875" bestFit="1" customWidth="1"/>
    <col min="76" max="76" width="8.44140625" bestFit="1" customWidth="1"/>
    <col min="77" max="85" width="8.88671875" bestFit="1" customWidth="1"/>
    <col min="86" max="86" width="8.44140625" bestFit="1" customWidth="1"/>
    <col min="87" max="95" width="8.88671875" bestFit="1" customWidth="1"/>
    <col min="96" max="96" width="8.44140625" bestFit="1" customWidth="1"/>
    <col min="97" max="104" width="8.88671875" bestFit="1" customWidth="1"/>
    <col min="105" max="105" width="8.44140625" bestFit="1" customWidth="1"/>
    <col min="106" max="106" width="8" bestFit="1" customWidth="1"/>
    <col min="107" max="114" width="8.44140625" bestFit="1" customWidth="1"/>
    <col min="115" max="115" width="8" bestFit="1" customWidth="1"/>
    <col min="116" max="116" width="7.5546875" bestFit="1" customWidth="1"/>
    <col min="117" max="124" width="8" bestFit="1" customWidth="1"/>
    <col min="125" max="125" width="8.44140625" bestFit="1" customWidth="1"/>
    <col min="126" max="126" width="8" bestFit="1" customWidth="1"/>
    <col min="127" max="135" width="8.44140625" bestFit="1" customWidth="1"/>
    <col min="136" max="136" width="8" bestFit="1" customWidth="1"/>
    <col min="137" max="145" width="8.44140625" bestFit="1" customWidth="1"/>
    <col min="146" max="146" width="8" bestFit="1" customWidth="1"/>
    <col min="147" max="155" width="8.44140625" bestFit="1" customWidth="1"/>
    <col min="156" max="156" width="8" bestFit="1" customWidth="1"/>
    <col min="157" max="165" width="8.44140625" bestFit="1" customWidth="1"/>
    <col min="166" max="166" width="8" bestFit="1" customWidth="1"/>
    <col min="167" max="175" width="8.44140625" bestFit="1" customWidth="1"/>
    <col min="176" max="176" width="8" bestFit="1" customWidth="1"/>
    <col min="177" max="185" width="8.44140625" bestFit="1" customWidth="1"/>
    <col min="186" max="186" width="8" bestFit="1" customWidth="1"/>
    <col min="187" max="195" width="8.44140625" bestFit="1" customWidth="1"/>
    <col min="196" max="196" width="8" bestFit="1" customWidth="1"/>
    <col min="197" max="204" width="8.44140625" bestFit="1" customWidth="1"/>
    <col min="205" max="205" width="8.88671875" bestFit="1" customWidth="1"/>
    <col min="206" max="206" width="8.44140625" bestFit="1" customWidth="1"/>
    <col min="207" max="214" width="8.88671875" bestFit="1" customWidth="1"/>
    <col min="215" max="215" width="8.44140625" bestFit="1" customWidth="1"/>
    <col min="216" max="216" width="8" bestFit="1" customWidth="1"/>
    <col min="217" max="224" width="8.44140625" bestFit="1" customWidth="1"/>
    <col min="225" max="225" width="8.88671875" bestFit="1" customWidth="1"/>
    <col min="226" max="226" width="8.44140625" bestFit="1" customWidth="1"/>
    <col min="227" max="235" width="8.88671875" bestFit="1" customWidth="1"/>
    <col min="236" max="236" width="8.44140625" bestFit="1" customWidth="1"/>
    <col min="237" max="245" width="8.88671875" bestFit="1" customWidth="1"/>
    <col min="246" max="246" width="8.44140625" bestFit="1" customWidth="1"/>
    <col min="247" max="255" width="8.88671875" bestFit="1" customWidth="1"/>
    <col min="256" max="256" width="8.44140625" bestFit="1" customWidth="1"/>
    <col min="257" max="265" width="8.88671875" bestFit="1" customWidth="1"/>
    <col min="266" max="266" width="8.44140625" bestFit="1" customWidth="1"/>
    <col min="267" max="275" width="8.88671875" bestFit="1" customWidth="1"/>
    <col min="276" max="276" width="8.44140625" bestFit="1" customWidth="1"/>
    <col min="277" max="285" width="8.88671875" bestFit="1" customWidth="1"/>
    <col min="286" max="286" width="8.44140625" bestFit="1" customWidth="1"/>
    <col min="287" max="295" width="8.88671875" bestFit="1" customWidth="1"/>
    <col min="296" max="296" width="8.44140625" bestFit="1" customWidth="1"/>
    <col min="297" max="305" width="8.88671875" bestFit="1" customWidth="1"/>
    <col min="306" max="306" width="8.44140625" bestFit="1" customWidth="1"/>
    <col min="307" max="314" width="8.88671875" bestFit="1" customWidth="1"/>
    <col min="315" max="315" width="8.44140625" bestFit="1" customWidth="1"/>
    <col min="316" max="316" width="8" bestFit="1" customWidth="1"/>
    <col min="317" max="324" width="8.44140625" bestFit="1" customWidth="1"/>
    <col min="325" max="325" width="8.88671875" bestFit="1" customWidth="1"/>
    <col min="326" max="326" width="8.44140625" bestFit="1" customWidth="1"/>
    <col min="327" max="335" width="8.88671875" bestFit="1" customWidth="1"/>
    <col min="336" max="336" width="8.44140625" bestFit="1" customWidth="1"/>
    <col min="337" max="345" width="8.88671875" bestFit="1" customWidth="1"/>
    <col min="346" max="346" width="8.44140625" bestFit="1" customWidth="1"/>
    <col min="347" max="355" width="8.88671875" bestFit="1" customWidth="1"/>
    <col min="356" max="356" width="8.44140625" bestFit="1" customWidth="1"/>
    <col min="357" max="365" width="8.88671875" bestFit="1" customWidth="1"/>
    <col min="366" max="366" width="8.44140625" bestFit="1" customWidth="1"/>
    <col min="367" max="375" width="8.88671875" bestFit="1" customWidth="1"/>
    <col min="376" max="376" width="8.44140625" bestFit="1" customWidth="1"/>
    <col min="377" max="385" width="8.88671875" bestFit="1" customWidth="1"/>
    <col min="386" max="386" width="8.44140625" bestFit="1" customWidth="1"/>
    <col min="387" max="395" width="8.88671875" bestFit="1" customWidth="1"/>
    <col min="396" max="396" width="8.44140625" bestFit="1" customWidth="1"/>
    <col min="397" max="405" width="8.88671875" bestFit="1" customWidth="1"/>
    <col min="406" max="406" width="8.44140625" bestFit="1" customWidth="1"/>
    <col min="407" max="414" width="8.88671875" bestFit="1" customWidth="1"/>
    <col min="415" max="415" width="8.44140625" bestFit="1" customWidth="1"/>
    <col min="416" max="416" width="8" bestFit="1" customWidth="1"/>
    <col min="417" max="424" width="8.44140625" bestFit="1" customWidth="1"/>
    <col min="425" max="425" width="8.88671875" bestFit="1" customWidth="1"/>
    <col min="426" max="426" width="8.44140625" bestFit="1" customWidth="1"/>
    <col min="427" max="435" width="8.88671875" bestFit="1" customWidth="1"/>
    <col min="436" max="436" width="8.44140625" bestFit="1" customWidth="1"/>
    <col min="437" max="445" width="8.88671875" bestFit="1" customWidth="1"/>
    <col min="446" max="446" width="8.44140625" bestFit="1" customWidth="1"/>
    <col min="447" max="455" width="8.88671875" bestFit="1" customWidth="1"/>
    <col min="456" max="456" width="8.44140625" bestFit="1" customWidth="1"/>
    <col min="457" max="465" width="8.88671875" bestFit="1" customWidth="1"/>
    <col min="466" max="466" width="8.44140625" bestFit="1" customWidth="1"/>
    <col min="467" max="475" width="8.88671875" bestFit="1" customWidth="1"/>
    <col min="476" max="476" width="8.44140625" bestFit="1" customWidth="1"/>
    <col min="477" max="485" width="8.88671875" bestFit="1" customWidth="1"/>
    <col min="486" max="486" width="8.44140625" bestFit="1" customWidth="1"/>
    <col min="487" max="495" width="8.88671875" bestFit="1" customWidth="1"/>
    <col min="496" max="496" width="8.44140625" bestFit="1" customWidth="1"/>
    <col min="497" max="505" width="8.88671875" bestFit="1" customWidth="1"/>
    <col min="506" max="506" width="8.44140625" bestFit="1" customWidth="1"/>
    <col min="507" max="514" width="8.88671875" bestFit="1" customWidth="1"/>
    <col min="515" max="515" width="8.44140625" bestFit="1" customWidth="1"/>
    <col min="516" max="516" width="8" bestFit="1" customWidth="1"/>
    <col min="517" max="524" width="8.44140625" bestFit="1" customWidth="1"/>
    <col min="525" max="525" width="8.88671875" bestFit="1" customWidth="1"/>
    <col min="526" max="526" width="8.44140625" bestFit="1" customWidth="1"/>
    <col min="527" max="535" width="8.88671875" bestFit="1" customWidth="1"/>
    <col min="536" max="536" width="8.44140625" bestFit="1" customWidth="1"/>
    <col min="537" max="545" width="8.88671875" bestFit="1" customWidth="1"/>
    <col min="546" max="546" width="8.44140625" bestFit="1" customWidth="1"/>
    <col min="547" max="555" width="8.88671875" bestFit="1" customWidth="1"/>
    <col min="556" max="556" width="8.44140625" bestFit="1" customWidth="1"/>
    <col min="557" max="565" width="8.88671875" bestFit="1" customWidth="1"/>
    <col min="566" max="566" width="8.44140625" bestFit="1" customWidth="1"/>
    <col min="567" max="575" width="8.88671875" bestFit="1" customWidth="1"/>
    <col min="576" max="576" width="8.44140625" bestFit="1" customWidth="1"/>
    <col min="577" max="585" width="8.88671875" bestFit="1" customWidth="1"/>
    <col min="586" max="586" width="8.44140625" bestFit="1" customWidth="1"/>
    <col min="587" max="595" width="8.88671875" bestFit="1" customWidth="1"/>
    <col min="596" max="596" width="8.44140625" bestFit="1" customWidth="1"/>
    <col min="597" max="605" width="8.88671875" bestFit="1" customWidth="1"/>
    <col min="606" max="606" width="8.44140625" bestFit="1" customWidth="1"/>
    <col min="607" max="614" width="8.88671875" bestFit="1" customWidth="1"/>
    <col min="615" max="615" width="8.44140625" bestFit="1" customWidth="1"/>
    <col min="616" max="616" width="8" bestFit="1" customWidth="1"/>
    <col min="617" max="624" width="8.44140625" bestFit="1" customWidth="1"/>
    <col min="625" max="625" width="8.88671875" bestFit="1" customWidth="1"/>
    <col min="626" max="626" width="8.44140625" bestFit="1" customWidth="1"/>
    <col min="627" max="635" width="8.88671875" bestFit="1" customWidth="1"/>
    <col min="636" max="636" width="8.44140625" bestFit="1" customWidth="1"/>
    <col min="637" max="645" width="8.88671875" bestFit="1" customWidth="1"/>
    <col min="646" max="646" width="8.44140625" bestFit="1" customWidth="1"/>
    <col min="647" max="655" width="8.88671875" bestFit="1" customWidth="1"/>
    <col min="656" max="656" width="8.44140625" bestFit="1" customWidth="1"/>
    <col min="657" max="665" width="8.88671875" bestFit="1" customWidth="1"/>
    <col min="666" max="666" width="8.44140625" bestFit="1" customWidth="1"/>
    <col min="667" max="675" width="8.88671875" bestFit="1" customWidth="1"/>
    <col min="676" max="676" width="8.44140625" bestFit="1" customWidth="1"/>
    <col min="677" max="685" width="8.88671875" bestFit="1" customWidth="1"/>
    <col min="686" max="686" width="8.44140625" bestFit="1" customWidth="1"/>
    <col min="687" max="695" width="8.88671875" bestFit="1" customWidth="1"/>
    <col min="696" max="696" width="8.44140625" bestFit="1" customWidth="1"/>
    <col min="697" max="705" width="8.88671875" bestFit="1" customWidth="1"/>
    <col min="706" max="706" width="8.44140625" bestFit="1" customWidth="1"/>
    <col min="707" max="714" width="8.88671875" bestFit="1" customWidth="1"/>
    <col min="715" max="715" width="8.44140625" bestFit="1" customWidth="1"/>
    <col min="716" max="716" width="8" bestFit="1" customWidth="1"/>
    <col min="717" max="724" width="8.44140625" bestFit="1" customWidth="1"/>
    <col min="725" max="725" width="8.88671875" bestFit="1" customWidth="1"/>
    <col min="726" max="726" width="8.44140625" bestFit="1" customWidth="1"/>
    <col min="727" max="735" width="8.88671875" bestFit="1" customWidth="1"/>
    <col min="736" max="736" width="8.44140625" bestFit="1" customWidth="1"/>
    <col min="737" max="745" width="8.88671875" bestFit="1" customWidth="1"/>
    <col min="746" max="746" width="8.44140625" bestFit="1" customWidth="1"/>
    <col min="747" max="755" width="8.88671875" bestFit="1" customWidth="1"/>
    <col min="756" max="756" width="8.44140625" bestFit="1" customWidth="1"/>
    <col min="757" max="765" width="8.88671875" bestFit="1" customWidth="1"/>
    <col min="766" max="766" width="8.44140625" bestFit="1" customWidth="1"/>
    <col min="767" max="775" width="8.88671875" bestFit="1" customWidth="1"/>
    <col min="776" max="776" width="8.44140625" bestFit="1" customWidth="1"/>
    <col min="777" max="785" width="8.88671875" bestFit="1" customWidth="1"/>
    <col min="786" max="786" width="8.44140625" bestFit="1" customWidth="1"/>
    <col min="787" max="795" width="8.88671875" bestFit="1" customWidth="1"/>
    <col min="796" max="796" width="8.44140625" bestFit="1" customWidth="1"/>
    <col min="797" max="805" width="8.88671875" bestFit="1" customWidth="1"/>
    <col min="806" max="806" width="8.44140625" bestFit="1" customWidth="1"/>
    <col min="807" max="814" width="8.88671875" bestFit="1" customWidth="1"/>
    <col min="815" max="815" width="8.44140625" bestFit="1" customWidth="1"/>
    <col min="816" max="816" width="8" bestFit="1" customWidth="1"/>
    <col min="817" max="824" width="8.44140625" bestFit="1" customWidth="1"/>
    <col min="825" max="825" width="8.88671875" bestFit="1" customWidth="1"/>
    <col min="826" max="826" width="8.44140625" bestFit="1" customWidth="1"/>
    <col min="827" max="835" width="8.88671875" bestFit="1" customWidth="1"/>
    <col min="836" max="836" width="8.44140625" bestFit="1" customWidth="1"/>
    <col min="837" max="845" width="8.88671875" bestFit="1" customWidth="1"/>
    <col min="846" max="846" width="8.44140625" bestFit="1" customWidth="1"/>
    <col min="847" max="855" width="8.88671875" bestFit="1" customWidth="1"/>
    <col min="856" max="856" width="8.44140625" bestFit="1" customWidth="1"/>
    <col min="857" max="865" width="8.88671875" bestFit="1" customWidth="1"/>
    <col min="866" max="866" width="8.44140625" bestFit="1" customWidth="1"/>
    <col min="867" max="875" width="8.88671875" bestFit="1" customWidth="1"/>
    <col min="876" max="876" width="8.44140625" bestFit="1" customWidth="1"/>
    <col min="877" max="885" width="8.88671875" bestFit="1" customWidth="1"/>
    <col min="886" max="886" width="8.44140625" bestFit="1" customWidth="1"/>
    <col min="887" max="895" width="8.88671875" bestFit="1" customWidth="1"/>
    <col min="896" max="896" width="8.44140625" bestFit="1" customWidth="1"/>
    <col min="897" max="905" width="8.88671875" bestFit="1" customWidth="1"/>
    <col min="906" max="906" width="8.44140625" bestFit="1" customWidth="1"/>
    <col min="907" max="914" width="8.88671875" bestFit="1" customWidth="1"/>
    <col min="915" max="915" width="8.44140625" bestFit="1" customWidth="1"/>
    <col min="916" max="916" width="8" bestFit="1" customWidth="1"/>
    <col min="917" max="924" width="8.44140625" bestFit="1" customWidth="1"/>
    <col min="925" max="925" width="8.88671875" bestFit="1" customWidth="1"/>
    <col min="926" max="926" width="8.44140625" bestFit="1" customWidth="1"/>
    <col min="927" max="935" width="8.88671875" bestFit="1" customWidth="1"/>
    <col min="936" max="936" width="8.44140625" bestFit="1" customWidth="1"/>
    <col min="937" max="945" width="8.88671875" bestFit="1" customWidth="1"/>
    <col min="946" max="946" width="8.44140625" bestFit="1" customWidth="1"/>
    <col min="947" max="955" width="8.88671875" bestFit="1" customWidth="1"/>
    <col min="956" max="956" width="8.44140625" bestFit="1" customWidth="1"/>
    <col min="957" max="965" width="8.88671875" bestFit="1" customWidth="1"/>
    <col min="966" max="966" width="8.44140625" bestFit="1" customWidth="1"/>
    <col min="967" max="975" width="8.88671875" bestFit="1" customWidth="1"/>
    <col min="976" max="976" width="8.44140625" bestFit="1" customWidth="1"/>
    <col min="977" max="985" width="8.88671875" bestFit="1" customWidth="1"/>
    <col min="986" max="986" width="8.44140625" bestFit="1" customWidth="1"/>
    <col min="987" max="995" width="8.88671875" bestFit="1" customWidth="1"/>
    <col min="996" max="996" width="8.44140625" bestFit="1" customWidth="1"/>
    <col min="997" max="1004" width="8.88671875" bestFit="1" customWidth="1"/>
    <col min="1005" max="1005" width="15.6640625" bestFit="1" customWidth="1"/>
    <col min="1006" max="1006" width="8.44140625" bestFit="1" customWidth="1"/>
    <col min="1007" max="1014" width="8.88671875" bestFit="1" customWidth="1"/>
    <col min="1015" max="1015" width="8.44140625" bestFit="1" customWidth="1"/>
    <col min="1016" max="1016" width="8" bestFit="1" customWidth="1"/>
    <col min="1017" max="1024" width="8.44140625" bestFit="1" customWidth="1"/>
    <col min="1025" max="1025" width="8.88671875" bestFit="1" customWidth="1"/>
    <col min="1026" max="1026" width="8.44140625" bestFit="1" customWidth="1"/>
    <col min="1027" max="1035" width="8.88671875" bestFit="1" customWidth="1"/>
    <col min="1036" max="1036" width="8.44140625" bestFit="1" customWidth="1"/>
    <col min="1037" max="1045" width="8.88671875" bestFit="1" customWidth="1"/>
    <col min="1046" max="1046" width="8.44140625" bestFit="1" customWidth="1"/>
    <col min="1047" max="1055" width="8.88671875" bestFit="1" customWidth="1"/>
    <col min="1056" max="1056" width="8.44140625" bestFit="1" customWidth="1"/>
    <col min="1057" max="1065" width="8.88671875" bestFit="1" customWidth="1"/>
    <col min="1066" max="1066" width="8.44140625" bestFit="1" customWidth="1"/>
    <col min="1067" max="1075" width="8.88671875" bestFit="1" customWidth="1"/>
    <col min="1076" max="1076" width="8.44140625" bestFit="1" customWidth="1"/>
    <col min="1077" max="1085" width="8.88671875" bestFit="1" customWidth="1"/>
    <col min="1086" max="1086" width="8.44140625" bestFit="1" customWidth="1"/>
    <col min="1087" max="1095" width="8.88671875" bestFit="1" customWidth="1"/>
    <col min="1096" max="1096" width="8.44140625" bestFit="1" customWidth="1"/>
    <col min="1097" max="1104" width="8.88671875" bestFit="1" customWidth="1"/>
    <col min="1105" max="1105" width="8.44140625" bestFit="1" customWidth="1"/>
    <col min="1106" max="1106" width="8" bestFit="1" customWidth="1"/>
    <col min="1107" max="1114" width="8.44140625" bestFit="1" customWidth="1"/>
    <col min="1115" max="1115" width="8" bestFit="1" customWidth="1"/>
    <col min="1116" max="1116" width="7.5546875" bestFit="1" customWidth="1"/>
    <col min="1117" max="1124" width="8" bestFit="1" customWidth="1"/>
    <col min="1125" max="1125" width="8.44140625" bestFit="1" customWidth="1"/>
    <col min="1126" max="1126" width="8" bestFit="1" customWidth="1"/>
    <col min="1127" max="1135" width="8.44140625" bestFit="1" customWidth="1"/>
    <col min="1136" max="1136" width="8" bestFit="1" customWidth="1"/>
    <col min="1137" max="1145" width="8.44140625" bestFit="1" customWidth="1"/>
    <col min="1146" max="1146" width="8" bestFit="1" customWidth="1"/>
    <col min="1147" max="1155" width="8.44140625" bestFit="1" customWidth="1"/>
    <col min="1156" max="1156" width="8" bestFit="1" customWidth="1"/>
    <col min="1157" max="1165" width="8.44140625" bestFit="1" customWidth="1"/>
    <col min="1166" max="1166" width="8" bestFit="1" customWidth="1"/>
    <col min="1167" max="1175" width="8.44140625" bestFit="1" customWidth="1"/>
    <col min="1176" max="1176" width="8" bestFit="1" customWidth="1"/>
    <col min="1177" max="1185" width="8.44140625" bestFit="1" customWidth="1"/>
    <col min="1186" max="1186" width="8" bestFit="1" customWidth="1"/>
    <col min="1187" max="1195" width="8.44140625" bestFit="1" customWidth="1"/>
    <col min="1196" max="1196" width="8" bestFit="1" customWidth="1"/>
    <col min="1197" max="1204" width="8.44140625" bestFit="1" customWidth="1"/>
    <col min="1205" max="1205" width="8.88671875" bestFit="1" customWidth="1"/>
    <col min="1206" max="1206" width="8.44140625" bestFit="1" customWidth="1"/>
    <col min="1207" max="1214" width="8.88671875" bestFit="1" customWidth="1"/>
    <col min="1215" max="1215" width="8.44140625" bestFit="1" customWidth="1"/>
    <col min="1216" max="1216" width="8" bestFit="1" customWidth="1"/>
    <col min="1217" max="1224" width="8.44140625" bestFit="1" customWidth="1"/>
    <col min="1225" max="1225" width="8.88671875" bestFit="1" customWidth="1"/>
    <col min="1226" max="1226" width="8.44140625" bestFit="1" customWidth="1"/>
    <col min="1227" max="1235" width="8.88671875" bestFit="1" customWidth="1"/>
    <col min="1236" max="1236" width="8.44140625" bestFit="1" customWidth="1"/>
    <col min="1237" max="1245" width="8.88671875" bestFit="1" customWidth="1"/>
    <col min="1246" max="1246" width="8.44140625" bestFit="1" customWidth="1"/>
    <col min="1247" max="1255" width="8.88671875" bestFit="1" customWidth="1"/>
    <col min="1256" max="1256" width="8.44140625" bestFit="1" customWidth="1"/>
    <col min="1257" max="1265" width="8.88671875" bestFit="1" customWidth="1"/>
    <col min="1266" max="1266" width="8.44140625" bestFit="1" customWidth="1"/>
    <col min="1267" max="1275" width="8.88671875" bestFit="1" customWidth="1"/>
    <col min="1276" max="1276" width="8.44140625" bestFit="1" customWidth="1"/>
    <col min="1277" max="1285" width="8.88671875" bestFit="1" customWidth="1"/>
    <col min="1286" max="1286" width="8.44140625" bestFit="1" customWidth="1"/>
    <col min="1287" max="1295" width="8.88671875" bestFit="1" customWidth="1"/>
    <col min="1296" max="1296" width="8.44140625" bestFit="1" customWidth="1"/>
    <col min="1297" max="1305" width="8.88671875" bestFit="1" customWidth="1"/>
    <col min="1306" max="1306" width="8.44140625" bestFit="1" customWidth="1"/>
    <col min="1307" max="1314" width="8.88671875" bestFit="1" customWidth="1"/>
    <col min="1315" max="1315" width="8.44140625" bestFit="1" customWidth="1"/>
    <col min="1316" max="1316" width="8" bestFit="1" customWidth="1"/>
    <col min="1317" max="1324" width="8.44140625" bestFit="1" customWidth="1"/>
    <col min="1325" max="1325" width="8.88671875" bestFit="1" customWidth="1"/>
    <col min="1326" max="1326" width="8.44140625" bestFit="1" customWidth="1"/>
    <col min="1327" max="1335" width="8.88671875" bestFit="1" customWidth="1"/>
    <col min="1336" max="1336" width="8.44140625" bestFit="1" customWidth="1"/>
    <col min="1337" max="1345" width="8.88671875" bestFit="1" customWidth="1"/>
    <col min="1346" max="1346" width="8.44140625" bestFit="1" customWidth="1"/>
    <col min="1347" max="1355" width="8.88671875" bestFit="1" customWidth="1"/>
    <col min="1356" max="1356" width="8.44140625" bestFit="1" customWidth="1"/>
    <col min="1357" max="1365" width="8.88671875" bestFit="1" customWidth="1"/>
    <col min="1366" max="1366" width="8.44140625" bestFit="1" customWidth="1"/>
    <col min="1367" max="1375" width="8.88671875" bestFit="1" customWidth="1"/>
    <col min="1376" max="1376" width="8.44140625" bestFit="1" customWidth="1"/>
    <col min="1377" max="1385" width="8.88671875" bestFit="1" customWidth="1"/>
    <col min="1386" max="1386" width="8.44140625" bestFit="1" customWidth="1"/>
    <col min="1387" max="1395" width="8.88671875" bestFit="1" customWidth="1"/>
    <col min="1396" max="1396" width="8.44140625" bestFit="1" customWidth="1"/>
    <col min="1397" max="1405" width="8.88671875" bestFit="1" customWidth="1"/>
    <col min="1406" max="1406" width="8.44140625" bestFit="1" customWidth="1"/>
    <col min="1407" max="1414" width="8.88671875" bestFit="1" customWidth="1"/>
    <col min="1415" max="1415" width="8.44140625" bestFit="1" customWidth="1"/>
    <col min="1416" max="1416" width="8" bestFit="1" customWidth="1"/>
    <col min="1417" max="1424" width="8.44140625" bestFit="1" customWidth="1"/>
    <col min="1425" max="1425" width="8.88671875" bestFit="1" customWidth="1"/>
    <col min="1426" max="1426" width="8.44140625" bestFit="1" customWidth="1"/>
    <col min="1427" max="1435" width="8.88671875" bestFit="1" customWidth="1"/>
    <col min="1436" max="1436" width="8.44140625" bestFit="1" customWidth="1"/>
    <col min="1437" max="1445" width="8.88671875" bestFit="1" customWidth="1"/>
    <col min="1446" max="1446" width="8.44140625" bestFit="1" customWidth="1"/>
    <col min="1447" max="1455" width="8.88671875" bestFit="1" customWidth="1"/>
    <col min="1456" max="1456" width="8.44140625" bestFit="1" customWidth="1"/>
    <col min="1457" max="1465" width="8.88671875" bestFit="1" customWidth="1"/>
    <col min="1466" max="1466" width="8.44140625" bestFit="1" customWidth="1"/>
    <col min="1467" max="1475" width="8.88671875" bestFit="1" customWidth="1"/>
    <col min="1476" max="1476" width="8.44140625" bestFit="1" customWidth="1"/>
    <col min="1477" max="1485" width="8.88671875" bestFit="1" customWidth="1"/>
    <col min="1486" max="1486" width="8.44140625" bestFit="1" customWidth="1"/>
    <col min="1487" max="1495" width="8.88671875" bestFit="1" customWidth="1"/>
    <col min="1496" max="1496" width="8.44140625" bestFit="1" customWidth="1"/>
    <col min="1497" max="1505" width="8.88671875" bestFit="1" customWidth="1"/>
    <col min="1506" max="1506" width="8.44140625" bestFit="1" customWidth="1"/>
    <col min="1507" max="1514" width="8.88671875" bestFit="1" customWidth="1"/>
    <col min="1515" max="1515" width="8.44140625" bestFit="1" customWidth="1"/>
    <col min="1516" max="1516" width="8" bestFit="1" customWidth="1"/>
    <col min="1517" max="1524" width="8.44140625" bestFit="1" customWidth="1"/>
    <col min="1525" max="1525" width="8.88671875" bestFit="1" customWidth="1"/>
    <col min="1526" max="1526" width="8.44140625" bestFit="1" customWidth="1"/>
    <col min="1527" max="1535" width="8.88671875" bestFit="1" customWidth="1"/>
    <col min="1536" max="1536" width="8.44140625" bestFit="1" customWidth="1"/>
    <col min="1537" max="1545" width="8.88671875" bestFit="1" customWidth="1"/>
    <col min="1546" max="1546" width="8.44140625" bestFit="1" customWidth="1"/>
    <col min="1547" max="1555" width="8.88671875" bestFit="1" customWidth="1"/>
    <col min="1556" max="1556" width="8.44140625" bestFit="1" customWidth="1"/>
    <col min="1557" max="1565" width="8.88671875" bestFit="1" customWidth="1"/>
    <col min="1566" max="1566" width="8.44140625" bestFit="1" customWidth="1"/>
    <col min="1567" max="1575" width="8.88671875" bestFit="1" customWidth="1"/>
    <col min="1576" max="1576" width="8.44140625" bestFit="1" customWidth="1"/>
    <col min="1577" max="1585" width="8.88671875" bestFit="1" customWidth="1"/>
    <col min="1586" max="1586" width="8.44140625" bestFit="1" customWidth="1"/>
    <col min="1587" max="1595" width="8.88671875" bestFit="1" customWidth="1"/>
    <col min="1596" max="1596" width="8.44140625" bestFit="1" customWidth="1"/>
    <col min="1597" max="1605" width="8.88671875" bestFit="1" customWidth="1"/>
    <col min="1606" max="1606" width="8.44140625" bestFit="1" customWidth="1"/>
    <col min="1607" max="1614" width="8.88671875" bestFit="1" customWidth="1"/>
    <col min="1615" max="1615" width="8.44140625" bestFit="1" customWidth="1"/>
    <col min="1616" max="1616" width="8" bestFit="1" customWidth="1"/>
    <col min="1617" max="1624" width="8.44140625" bestFit="1" customWidth="1"/>
    <col min="1625" max="1625" width="8.88671875" bestFit="1" customWidth="1"/>
    <col min="1626" max="1626" width="8.44140625" bestFit="1" customWidth="1"/>
    <col min="1627" max="1635" width="8.88671875" bestFit="1" customWidth="1"/>
    <col min="1636" max="1636" width="8.44140625" bestFit="1" customWidth="1"/>
    <col min="1637" max="1645" width="8.88671875" bestFit="1" customWidth="1"/>
    <col min="1646" max="1646" width="8.44140625" bestFit="1" customWidth="1"/>
    <col min="1647" max="1655" width="8.88671875" bestFit="1" customWidth="1"/>
    <col min="1656" max="1656" width="8.44140625" bestFit="1" customWidth="1"/>
    <col min="1657" max="1665" width="8.88671875" bestFit="1" customWidth="1"/>
    <col min="1666" max="1666" width="8.44140625" bestFit="1" customWidth="1"/>
    <col min="1667" max="1675" width="8.88671875" bestFit="1" customWidth="1"/>
    <col min="1676" max="1676" width="8.44140625" bestFit="1" customWidth="1"/>
    <col min="1677" max="1685" width="8.88671875" bestFit="1" customWidth="1"/>
    <col min="1686" max="1686" width="8.44140625" bestFit="1" customWidth="1"/>
    <col min="1687" max="1695" width="8.88671875" bestFit="1" customWidth="1"/>
    <col min="1696" max="1696" width="8.44140625" bestFit="1" customWidth="1"/>
    <col min="1697" max="1705" width="8.88671875" bestFit="1" customWidth="1"/>
    <col min="1706" max="1706" width="8.44140625" bestFit="1" customWidth="1"/>
    <col min="1707" max="1714" width="8.88671875" bestFit="1" customWidth="1"/>
    <col min="1715" max="1715" width="8.44140625" bestFit="1" customWidth="1"/>
    <col min="1716" max="1716" width="8" bestFit="1" customWidth="1"/>
    <col min="1717" max="1724" width="8.44140625" bestFit="1" customWidth="1"/>
    <col min="1725" max="1725" width="8.88671875" bestFit="1" customWidth="1"/>
    <col min="1726" max="1726" width="8.44140625" bestFit="1" customWidth="1"/>
    <col min="1727" max="1735" width="8.88671875" bestFit="1" customWidth="1"/>
    <col min="1736" max="1736" width="8.44140625" bestFit="1" customWidth="1"/>
    <col min="1737" max="1745" width="8.88671875" bestFit="1" customWidth="1"/>
    <col min="1746" max="1746" width="8.44140625" bestFit="1" customWidth="1"/>
    <col min="1747" max="1755" width="8.88671875" bestFit="1" customWidth="1"/>
    <col min="1756" max="1756" width="8.44140625" bestFit="1" customWidth="1"/>
    <col min="1757" max="1765" width="8.88671875" bestFit="1" customWidth="1"/>
    <col min="1766" max="1766" width="8.44140625" bestFit="1" customWidth="1"/>
    <col min="1767" max="1775" width="8.88671875" bestFit="1" customWidth="1"/>
    <col min="1776" max="1776" width="8.44140625" bestFit="1" customWidth="1"/>
    <col min="1777" max="1785" width="8.88671875" bestFit="1" customWidth="1"/>
    <col min="1786" max="1786" width="8.44140625" bestFit="1" customWidth="1"/>
    <col min="1787" max="1795" width="8.88671875" bestFit="1" customWidth="1"/>
    <col min="1796" max="1796" width="8.44140625" bestFit="1" customWidth="1"/>
    <col min="1797" max="1805" width="8.88671875" bestFit="1" customWidth="1"/>
    <col min="1806" max="1806" width="8.44140625" bestFit="1" customWidth="1"/>
    <col min="1807" max="1814" width="8.88671875" bestFit="1" customWidth="1"/>
    <col min="1815" max="1815" width="8.44140625" bestFit="1" customWidth="1"/>
    <col min="1816" max="1816" width="8" bestFit="1" customWidth="1"/>
    <col min="1817" max="1824" width="8.44140625" bestFit="1" customWidth="1"/>
    <col min="1825" max="1825" width="8.88671875" bestFit="1" customWidth="1"/>
    <col min="1826" max="1826" width="8.44140625" bestFit="1" customWidth="1"/>
    <col min="1827" max="1835" width="8.88671875" bestFit="1" customWidth="1"/>
    <col min="1836" max="1836" width="8.44140625" bestFit="1" customWidth="1"/>
    <col min="1837" max="1845" width="8.88671875" bestFit="1" customWidth="1"/>
    <col min="1846" max="1846" width="8.44140625" bestFit="1" customWidth="1"/>
    <col min="1847" max="1855" width="8.88671875" bestFit="1" customWidth="1"/>
    <col min="1856" max="1856" width="8.44140625" bestFit="1" customWidth="1"/>
    <col min="1857" max="1865" width="8.88671875" bestFit="1" customWidth="1"/>
    <col min="1866" max="1866" width="8.44140625" bestFit="1" customWidth="1"/>
    <col min="1867" max="1875" width="8.88671875" bestFit="1" customWidth="1"/>
    <col min="1876" max="1876" width="8.44140625" bestFit="1" customWidth="1"/>
    <col min="1877" max="1885" width="8.88671875" bestFit="1" customWidth="1"/>
    <col min="1886" max="1886" width="8.44140625" bestFit="1" customWidth="1"/>
    <col min="1887" max="1895" width="8.88671875" bestFit="1" customWidth="1"/>
    <col min="1896" max="1896" width="8.44140625" bestFit="1" customWidth="1"/>
    <col min="1897" max="1905" width="8.88671875" bestFit="1" customWidth="1"/>
    <col min="1906" max="1906" width="8.44140625" bestFit="1" customWidth="1"/>
    <col min="1907" max="1914" width="8.88671875" bestFit="1" customWidth="1"/>
    <col min="1915" max="1915" width="8.44140625" bestFit="1" customWidth="1"/>
    <col min="1916" max="1916" width="8" bestFit="1" customWidth="1"/>
    <col min="1917" max="1924" width="8.44140625" bestFit="1" customWidth="1"/>
    <col min="1925" max="1925" width="8.88671875" bestFit="1" customWidth="1"/>
    <col min="1926" max="1926" width="8.44140625" bestFit="1" customWidth="1"/>
    <col min="1927" max="1935" width="8.88671875" bestFit="1" customWidth="1"/>
    <col min="1936" max="1936" width="8.44140625" bestFit="1" customWidth="1"/>
    <col min="1937" max="1945" width="8.88671875" bestFit="1" customWidth="1"/>
    <col min="1946" max="1946" width="8.44140625" bestFit="1" customWidth="1"/>
    <col min="1947" max="1955" width="8.88671875" bestFit="1" customWidth="1"/>
    <col min="1956" max="1956" width="8.44140625" bestFit="1" customWidth="1"/>
    <col min="1957" max="1965" width="8.88671875" bestFit="1" customWidth="1"/>
    <col min="1966" max="1966" width="8.44140625" bestFit="1" customWidth="1"/>
    <col min="1967" max="1975" width="8.88671875" bestFit="1" customWidth="1"/>
    <col min="1976" max="1976" width="8.44140625" bestFit="1" customWidth="1"/>
    <col min="1977" max="1985" width="8.88671875" bestFit="1" customWidth="1"/>
    <col min="1986" max="1986" width="8.44140625" bestFit="1" customWidth="1"/>
    <col min="1987" max="1995" width="8.88671875" bestFit="1" customWidth="1"/>
    <col min="1996" max="1996" width="8.44140625" bestFit="1" customWidth="1"/>
    <col min="1997" max="2004" width="8.88671875" bestFit="1" customWidth="1"/>
    <col min="2005" max="2005" width="29.21875" bestFit="1" customWidth="1"/>
    <col min="2006" max="2006" width="8.44140625" bestFit="1" customWidth="1"/>
    <col min="2007" max="2014" width="8.88671875" bestFit="1" customWidth="1"/>
    <col min="2015" max="2015" width="8.44140625" bestFit="1" customWidth="1"/>
    <col min="2016" max="2016" width="8" bestFit="1" customWidth="1"/>
    <col min="2017" max="2024" width="8.44140625" bestFit="1" customWidth="1"/>
    <col min="2025" max="2025" width="8.88671875" bestFit="1" customWidth="1"/>
    <col min="2026" max="2026" width="8.44140625" bestFit="1" customWidth="1"/>
    <col min="2027" max="2035" width="8.88671875" bestFit="1" customWidth="1"/>
    <col min="2036" max="2036" width="8.44140625" bestFit="1" customWidth="1"/>
    <col min="2037" max="2045" width="8.88671875" bestFit="1" customWidth="1"/>
    <col min="2046" max="2046" width="8.44140625" bestFit="1" customWidth="1"/>
    <col min="2047" max="2055" width="8.88671875" bestFit="1" customWidth="1"/>
    <col min="2056" max="2056" width="8.44140625" bestFit="1" customWidth="1"/>
    <col min="2057" max="2065" width="8.88671875" bestFit="1" customWidth="1"/>
    <col min="2066" max="2066" width="8.44140625" bestFit="1" customWidth="1"/>
    <col min="2067" max="2075" width="8.88671875" bestFit="1" customWidth="1"/>
    <col min="2076" max="2076" width="8.44140625" bestFit="1" customWidth="1"/>
    <col min="2077" max="2085" width="8.88671875" bestFit="1" customWidth="1"/>
    <col min="2086" max="2086" width="8.44140625" bestFit="1" customWidth="1"/>
    <col min="2087" max="2095" width="8.88671875" bestFit="1" customWidth="1"/>
    <col min="2096" max="2096" width="8.44140625" bestFit="1" customWidth="1"/>
    <col min="2097" max="2104" width="8.88671875" bestFit="1" customWidth="1"/>
    <col min="2105" max="2105" width="8.44140625" bestFit="1" customWidth="1"/>
    <col min="2106" max="2106" width="8" bestFit="1" customWidth="1"/>
    <col min="2107" max="2114" width="8.44140625" bestFit="1" customWidth="1"/>
    <col min="2115" max="2115" width="8" bestFit="1" customWidth="1"/>
    <col min="2116" max="2116" width="7.5546875" bestFit="1" customWidth="1"/>
    <col min="2117" max="2124" width="8" bestFit="1" customWidth="1"/>
    <col min="2125" max="2125" width="8.44140625" bestFit="1" customWidth="1"/>
    <col min="2126" max="2126" width="8" bestFit="1" customWidth="1"/>
    <col min="2127" max="2135" width="8.44140625" bestFit="1" customWidth="1"/>
    <col min="2136" max="2136" width="8" bestFit="1" customWidth="1"/>
    <col min="2137" max="2145" width="8.44140625" bestFit="1" customWidth="1"/>
    <col min="2146" max="2146" width="8" bestFit="1" customWidth="1"/>
    <col min="2147" max="2155" width="8.44140625" bestFit="1" customWidth="1"/>
    <col min="2156" max="2156" width="8" bestFit="1" customWidth="1"/>
    <col min="2157" max="2165" width="8.44140625" bestFit="1" customWidth="1"/>
    <col min="2166" max="2166" width="8" bestFit="1" customWidth="1"/>
    <col min="2167" max="2175" width="8.44140625" bestFit="1" customWidth="1"/>
    <col min="2176" max="2176" width="8" bestFit="1" customWidth="1"/>
    <col min="2177" max="2185" width="8.44140625" bestFit="1" customWidth="1"/>
    <col min="2186" max="2186" width="8" bestFit="1" customWidth="1"/>
    <col min="2187" max="2195" width="8.44140625" bestFit="1" customWidth="1"/>
    <col min="2196" max="2196" width="8" bestFit="1" customWidth="1"/>
    <col min="2197" max="2204" width="8.44140625" bestFit="1" customWidth="1"/>
    <col min="2205" max="2205" width="8.88671875" bestFit="1" customWidth="1"/>
    <col min="2206" max="2206" width="8.44140625" bestFit="1" customWidth="1"/>
    <col min="2207" max="2214" width="8.88671875" bestFit="1" customWidth="1"/>
    <col min="2215" max="2215" width="8.44140625" bestFit="1" customWidth="1"/>
    <col min="2216" max="2216" width="8" bestFit="1" customWidth="1"/>
    <col min="2217" max="2224" width="8.44140625" bestFit="1" customWidth="1"/>
    <col min="2225" max="2225" width="8.88671875" bestFit="1" customWidth="1"/>
    <col min="2226" max="2226" width="8.44140625" bestFit="1" customWidth="1"/>
    <col min="2227" max="2235" width="8.88671875" bestFit="1" customWidth="1"/>
    <col min="2236" max="2236" width="8.44140625" bestFit="1" customWidth="1"/>
    <col min="2237" max="2245" width="8.88671875" bestFit="1" customWidth="1"/>
    <col min="2246" max="2246" width="8.44140625" bestFit="1" customWidth="1"/>
    <col min="2247" max="2255" width="8.88671875" bestFit="1" customWidth="1"/>
    <col min="2256" max="2256" width="8.44140625" bestFit="1" customWidth="1"/>
    <col min="2257" max="2265" width="8.88671875" bestFit="1" customWidth="1"/>
    <col min="2266" max="2266" width="8.44140625" bestFit="1" customWidth="1"/>
    <col min="2267" max="2275" width="8.88671875" bestFit="1" customWidth="1"/>
    <col min="2276" max="2276" width="8.44140625" bestFit="1" customWidth="1"/>
    <col min="2277" max="2285" width="8.88671875" bestFit="1" customWidth="1"/>
    <col min="2286" max="2286" width="8.44140625" bestFit="1" customWidth="1"/>
    <col min="2287" max="2295" width="8.88671875" bestFit="1" customWidth="1"/>
    <col min="2296" max="2296" width="8.44140625" bestFit="1" customWidth="1"/>
    <col min="2297" max="2305" width="8.88671875" bestFit="1" customWidth="1"/>
    <col min="2306" max="2306" width="8.44140625" bestFit="1" customWidth="1"/>
    <col min="2307" max="2314" width="8.88671875" bestFit="1" customWidth="1"/>
    <col min="2315" max="2315" width="8.44140625" bestFit="1" customWidth="1"/>
    <col min="2316" max="2316" width="8" bestFit="1" customWidth="1"/>
    <col min="2317" max="2324" width="8.44140625" bestFit="1" customWidth="1"/>
    <col min="2325" max="2325" width="8.88671875" bestFit="1" customWidth="1"/>
    <col min="2326" max="2326" width="8.44140625" bestFit="1" customWidth="1"/>
    <col min="2327" max="2335" width="8.88671875" bestFit="1" customWidth="1"/>
    <col min="2336" max="2336" width="8.44140625" bestFit="1" customWidth="1"/>
    <col min="2337" max="2345" width="8.88671875" bestFit="1" customWidth="1"/>
    <col min="2346" max="2346" width="8.44140625" bestFit="1" customWidth="1"/>
    <col min="2347" max="2355" width="8.88671875" bestFit="1" customWidth="1"/>
    <col min="2356" max="2356" width="8.44140625" bestFit="1" customWidth="1"/>
    <col min="2357" max="2365" width="8.88671875" bestFit="1" customWidth="1"/>
    <col min="2366" max="2366" width="8.44140625" bestFit="1" customWidth="1"/>
    <col min="2367" max="2375" width="8.88671875" bestFit="1" customWidth="1"/>
    <col min="2376" max="2376" width="8.44140625" bestFit="1" customWidth="1"/>
    <col min="2377" max="2385" width="8.88671875" bestFit="1" customWidth="1"/>
    <col min="2386" max="2386" width="8.44140625" bestFit="1" customWidth="1"/>
    <col min="2387" max="2395" width="8.88671875" bestFit="1" customWidth="1"/>
    <col min="2396" max="2396" width="8.44140625" bestFit="1" customWidth="1"/>
    <col min="2397" max="2405" width="8.88671875" bestFit="1" customWidth="1"/>
    <col min="2406" max="2406" width="8.44140625" bestFit="1" customWidth="1"/>
    <col min="2407" max="2414" width="8.88671875" bestFit="1" customWidth="1"/>
    <col min="2415" max="2415" width="8.44140625" bestFit="1" customWidth="1"/>
    <col min="2416" max="2416" width="8" bestFit="1" customWidth="1"/>
    <col min="2417" max="2424" width="8.44140625" bestFit="1" customWidth="1"/>
    <col min="2425" max="2425" width="8.88671875" bestFit="1" customWidth="1"/>
    <col min="2426" max="2426" width="8.44140625" bestFit="1" customWidth="1"/>
    <col min="2427" max="2435" width="8.88671875" bestFit="1" customWidth="1"/>
    <col min="2436" max="2436" width="8.44140625" bestFit="1" customWidth="1"/>
    <col min="2437" max="2445" width="8.88671875" bestFit="1" customWidth="1"/>
    <col min="2446" max="2446" width="8.44140625" bestFit="1" customWidth="1"/>
    <col min="2447" max="2455" width="8.88671875" bestFit="1" customWidth="1"/>
    <col min="2456" max="2456" width="8.44140625" bestFit="1" customWidth="1"/>
    <col min="2457" max="2465" width="8.88671875" bestFit="1" customWidth="1"/>
    <col min="2466" max="2466" width="8.44140625" bestFit="1" customWidth="1"/>
    <col min="2467" max="2475" width="8.88671875" bestFit="1" customWidth="1"/>
    <col min="2476" max="2476" width="8.44140625" bestFit="1" customWidth="1"/>
    <col min="2477" max="2485" width="8.88671875" bestFit="1" customWidth="1"/>
    <col min="2486" max="2486" width="8.44140625" bestFit="1" customWidth="1"/>
    <col min="2487" max="2495" width="8.88671875" bestFit="1" customWidth="1"/>
    <col min="2496" max="2496" width="8.44140625" bestFit="1" customWidth="1"/>
    <col min="2497" max="2505" width="8.88671875" bestFit="1" customWidth="1"/>
    <col min="2506" max="2506" width="8.44140625" bestFit="1" customWidth="1"/>
    <col min="2507" max="2514" width="8.88671875" bestFit="1" customWidth="1"/>
    <col min="2515" max="2515" width="8.44140625" bestFit="1" customWidth="1"/>
    <col min="2516" max="2516" width="8" bestFit="1" customWidth="1"/>
    <col min="2517" max="2524" width="8.44140625" bestFit="1" customWidth="1"/>
    <col min="2525" max="2525" width="8.88671875" bestFit="1" customWidth="1"/>
    <col min="2526" max="2526" width="8.44140625" bestFit="1" customWidth="1"/>
    <col min="2527" max="2535" width="8.88671875" bestFit="1" customWidth="1"/>
    <col min="2536" max="2536" width="8.44140625" bestFit="1" customWidth="1"/>
    <col min="2537" max="2545" width="8.88671875" bestFit="1" customWidth="1"/>
    <col min="2546" max="2546" width="8.44140625" bestFit="1" customWidth="1"/>
    <col min="2547" max="2555" width="8.88671875" bestFit="1" customWidth="1"/>
    <col min="2556" max="2556" width="8.44140625" bestFit="1" customWidth="1"/>
    <col min="2557" max="2565" width="8.88671875" bestFit="1" customWidth="1"/>
    <col min="2566" max="2566" width="8.44140625" bestFit="1" customWidth="1"/>
    <col min="2567" max="2575" width="8.88671875" bestFit="1" customWidth="1"/>
    <col min="2576" max="2576" width="8.44140625" bestFit="1" customWidth="1"/>
    <col min="2577" max="2585" width="8.88671875" bestFit="1" customWidth="1"/>
    <col min="2586" max="2586" width="8.44140625" bestFit="1" customWidth="1"/>
    <col min="2587" max="2595" width="8.88671875" bestFit="1" customWidth="1"/>
    <col min="2596" max="2596" width="8.44140625" bestFit="1" customWidth="1"/>
    <col min="2597" max="2605" width="8.88671875" bestFit="1" customWidth="1"/>
    <col min="2606" max="2606" width="8.44140625" bestFit="1" customWidth="1"/>
    <col min="2607" max="2614" width="8.88671875" bestFit="1" customWidth="1"/>
    <col min="2615" max="2615" width="8.44140625" bestFit="1" customWidth="1"/>
    <col min="2616" max="2616" width="8" bestFit="1" customWidth="1"/>
    <col min="2617" max="2624" width="8.44140625" bestFit="1" customWidth="1"/>
    <col min="2625" max="2625" width="8.88671875" bestFit="1" customWidth="1"/>
    <col min="2626" max="2626" width="8.44140625" bestFit="1" customWidth="1"/>
    <col min="2627" max="2635" width="8.88671875" bestFit="1" customWidth="1"/>
    <col min="2636" max="2636" width="8.44140625" bestFit="1" customWidth="1"/>
    <col min="2637" max="2645" width="8.88671875" bestFit="1" customWidth="1"/>
    <col min="2646" max="2646" width="8.44140625" bestFit="1" customWidth="1"/>
    <col min="2647" max="2655" width="8.88671875" bestFit="1" customWidth="1"/>
    <col min="2656" max="2656" width="8.44140625" bestFit="1" customWidth="1"/>
    <col min="2657" max="2665" width="8.88671875" bestFit="1" customWidth="1"/>
    <col min="2666" max="2666" width="8.44140625" bestFit="1" customWidth="1"/>
    <col min="2667" max="2675" width="8.88671875" bestFit="1" customWidth="1"/>
    <col min="2676" max="2676" width="8.44140625" bestFit="1" customWidth="1"/>
    <col min="2677" max="2685" width="8.88671875" bestFit="1" customWidth="1"/>
    <col min="2686" max="2686" width="8.44140625" bestFit="1" customWidth="1"/>
    <col min="2687" max="2695" width="8.88671875" bestFit="1" customWidth="1"/>
    <col min="2696" max="2696" width="8.44140625" bestFit="1" customWidth="1"/>
    <col min="2697" max="2705" width="8.88671875" bestFit="1" customWidth="1"/>
    <col min="2706" max="2706" width="8.44140625" bestFit="1" customWidth="1"/>
    <col min="2707" max="2714" width="8.88671875" bestFit="1" customWidth="1"/>
    <col min="2715" max="2715" width="8.44140625" bestFit="1" customWidth="1"/>
    <col min="2716" max="2716" width="8" bestFit="1" customWidth="1"/>
    <col min="2717" max="2724" width="8.44140625" bestFit="1" customWidth="1"/>
    <col min="2725" max="2725" width="8.88671875" bestFit="1" customWidth="1"/>
    <col min="2726" max="2726" width="8.44140625" bestFit="1" customWidth="1"/>
    <col min="2727" max="2735" width="8.88671875" bestFit="1" customWidth="1"/>
    <col min="2736" max="2736" width="8.44140625" bestFit="1" customWidth="1"/>
    <col min="2737" max="2745" width="8.88671875" bestFit="1" customWidth="1"/>
    <col min="2746" max="2746" width="8.44140625" bestFit="1" customWidth="1"/>
    <col min="2747" max="2755" width="8.88671875" bestFit="1" customWidth="1"/>
    <col min="2756" max="2756" width="8.44140625" bestFit="1" customWidth="1"/>
    <col min="2757" max="2765" width="8.88671875" bestFit="1" customWidth="1"/>
    <col min="2766" max="2766" width="8.44140625" bestFit="1" customWidth="1"/>
    <col min="2767" max="2775" width="8.88671875" bestFit="1" customWidth="1"/>
    <col min="2776" max="2776" width="8.44140625" bestFit="1" customWidth="1"/>
    <col min="2777" max="2785" width="8.88671875" bestFit="1" customWidth="1"/>
    <col min="2786" max="2786" width="8.44140625" bestFit="1" customWidth="1"/>
    <col min="2787" max="2795" width="8.88671875" bestFit="1" customWidth="1"/>
    <col min="2796" max="2796" width="8.44140625" bestFit="1" customWidth="1"/>
    <col min="2797" max="2805" width="8.88671875" bestFit="1" customWidth="1"/>
    <col min="2806" max="2806" width="8.44140625" bestFit="1" customWidth="1"/>
    <col min="2807" max="2814" width="8.88671875" bestFit="1" customWidth="1"/>
    <col min="2815" max="2815" width="8.44140625" bestFit="1" customWidth="1"/>
    <col min="2816" max="2816" width="8" bestFit="1" customWidth="1"/>
    <col min="2817" max="2824" width="8.44140625" bestFit="1" customWidth="1"/>
    <col min="2825" max="2825" width="8.88671875" bestFit="1" customWidth="1"/>
    <col min="2826" max="2826" width="8.44140625" bestFit="1" customWidth="1"/>
    <col min="2827" max="2835" width="8.88671875" bestFit="1" customWidth="1"/>
    <col min="2836" max="2836" width="8.44140625" bestFit="1" customWidth="1"/>
    <col min="2837" max="2845" width="8.88671875" bestFit="1" customWidth="1"/>
    <col min="2846" max="2846" width="8.44140625" bestFit="1" customWidth="1"/>
    <col min="2847" max="2855" width="8.88671875" bestFit="1" customWidth="1"/>
    <col min="2856" max="2856" width="8.44140625" bestFit="1" customWidth="1"/>
    <col min="2857" max="2865" width="8.88671875" bestFit="1" customWidth="1"/>
    <col min="2866" max="2866" width="8.44140625" bestFit="1" customWidth="1"/>
    <col min="2867" max="2875" width="8.88671875" bestFit="1" customWidth="1"/>
    <col min="2876" max="2876" width="8.44140625" bestFit="1" customWidth="1"/>
    <col min="2877" max="2885" width="8.88671875" bestFit="1" customWidth="1"/>
    <col min="2886" max="2886" width="8.44140625" bestFit="1" customWidth="1"/>
    <col min="2887" max="2895" width="8.88671875" bestFit="1" customWidth="1"/>
    <col min="2896" max="2896" width="8.44140625" bestFit="1" customWidth="1"/>
    <col min="2897" max="2905" width="8.88671875" bestFit="1" customWidth="1"/>
    <col min="2906" max="2906" width="8.44140625" bestFit="1" customWidth="1"/>
    <col min="2907" max="2914" width="8.88671875" bestFit="1" customWidth="1"/>
    <col min="2915" max="2915" width="8.44140625" bestFit="1" customWidth="1"/>
    <col min="2916" max="2916" width="8" bestFit="1" customWidth="1"/>
    <col min="2917" max="2924" width="8.44140625" bestFit="1" customWidth="1"/>
    <col min="2925" max="2925" width="8.88671875" bestFit="1" customWidth="1"/>
    <col min="2926" max="2926" width="8.44140625" bestFit="1" customWidth="1"/>
    <col min="2927" max="2935" width="8.88671875" bestFit="1" customWidth="1"/>
    <col min="2936" max="2936" width="8.44140625" bestFit="1" customWidth="1"/>
    <col min="2937" max="2945" width="8.88671875" bestFit="1" customWidth="1"/>
    <col min="2946" max="2946" width="8.44140625" bestFit="1" customWidth="1"/>
    <col min="2947" max="2955" width="8.88671875" bestFit="1" customWidth="1"/>
    <col min="2956" max="2956" width="8.44140625" bestFit="1" customWidth="1"/>
    <col min="2957" max="2965" width="8.88671875" bestFit="1" customWidth="1"/>
    <col min="2966" max="2966" width="8.44140625" bestFit="1" customWidth="1"/>
    <col min="2967" max="2975" width="8.88671875" bestFit="1" customWidth="1"/>
    <col min="2976" max="2976" width="8.44140625" bestFit="1" customWidth="1"/>
    <col min="2977" max="2985" width="8.88671875" bestFit="1" customWidth="1"/>
    <col min="2986" max="2986" width="8.44140625" bestFit="1" customWidth="1"/>
    <col min="2987" max="2995" width="8.88671875" bestFit="1" customWidth="1"/>
    <col min="2996" max="2996" width="8.44140625" bestFit="1" customWidth="1"/>
    <col min="2997" max="3004" width="8.88671875" bestFit="1" customWidth="1"/>
    <col min="3005" max="3005" width="41.5546875" bestFit="1" customWidth="1"/>
    <col min="3006" max="3006" width="36.21875" bestFit="1" customWidth="1"/>
    <col min="3007" max="3007" width="36" bestFit="1" customWidth="1"/>
  </cols>
  <sheetData>
    <row r="3" spans="1:10">
      <c r="A3" s="3" t="s">
        <v>1029</v>
      </c>
      <c r="B3" t="s">
        <v>1031</v>
      </c>
      <c r="C3" t="s">
        <v>1032</v>
      </c>
      <c r="D3" t="s">
        <v>1033</v>
      </c>
      <c r="E3" t="s">
        <v>1034</v>
      </c>
      <c r="F3" t="s">
        <v>1035</v>
      </c>
      <c r="G3" t="s">
        <v>1036</v>
      </c>
      <c r="H3" t="s">
        <v>1037</v>
      </c>
    </row>
    <row r="4" spans="1:10">
      <c r="A4" s="4" t="s">
        <v>14</v>
      </c>
      <c r="B4">
        <v>263</v>
      </c>
      <c r="C4">
        <v>212</v>
      </c>
      <c r="D4">
        <v>212</v>
      </c>
      <c r="E4">
        <v>212</v>
      </c>
      <c r="F4">
        <v>80.61</v>
      </c>
      <c r="G4">
        <v>80.61</v>
      </c>
      <c r="H4">
        <v>80.61</v>
      </c>
    </row>
    <row r="5" spans="1:10">
      <c r="A5" s="4" t="s">
        <v>32</v>
      </c>
      <c r="B5">
        <v>212</v>
      </c>
      <c r="C5">
        <v>173</v>
      </c>
      <c r="D5">
        <v>173</v>
      </c>
      <c r="E5">
        <v>173</v>
      </c>
      <c r="F5">
        <v>81.599999999999994</v>
      </c>
      <c r="G5">
        <v>81.599999999999994</v>
      </c>
      <c r="H5">
        <v>81.599999999999994</v>
      </c>
    </row>
    <row r="6" spans="1:10">
      <c r="A6" s="4" t="s">
        <v>19</v>
      </c>
      <c r="B6">
        <v>263</v>
      </c>
      <c r="C6">
        <v>212</v>
      </c>
      <c r="D6">
        <v>212</v>
      </c>
      <c r="E6">
        <v>212</v>
      </c>
      <c r="F6">
        <v>80.61</v>
      </c>
      <c r="G6">
        <v>80.61</v>
      </c>
      <c r="H6">
        <v>80.61</v>
      </c>
    </row>
    <row r="7" spans="1:10">
      <c r="A7" s="4" t="s">
        <v>21</v>
      </c>
      <c r="B7">
        <v>262</v>
      </c>
      <c r="C7">
        <v>215</v>
      </c>
      <c r="D7">
        <v>215</v>
      </c>
      <c r="E7">
        <v>215</v>
      </c>
      <c r="F7">
        <v>82.06</v>
      </c>
      <c r="G7">
        <v>82.06</v>
      </c>
      <c r="H7">
        <v>82.06</v>
      </c>
    </row>
    <row r="8" spans="1:10">
      <c r="A8" s="4" t="s">
        <v>1030</v>
      </c>
      <c r="B8">
        <v>1000</v>
      </c>
      <c r="C8">
        <v>812</v>
      </c>
      <c r="D8">
        <v>812</v>
      </c>
      <c r="E8">
        <v>812</v>
      </c>
      <c r="F8">
        <v>324.88</v>
      </c>
      <c r="G8">
        <v>324.88</v>
      </c>
      <c r="H8">
        <v>324.88</v>
      </c>
    </row>
    <row r="10" spans="1:10">
      <c r="J10" s="9"/>
    </row>
    <row r="24" spans="4:8">
      <c r="D24" s="3" t="s">
        <v>5</v>
      </c>
      <c r="E24" t="s">
        <v>1051</v>
      </c>
    </row>
    <row r="26" spans="4:8">
      <c r="D26" s="3" t="s">
        <v>1029</v>
      </c>
      <c r="E26" t="s">
        <v>1064</v>
      </c>
      <c r="F26" t="s">
        <v>1061</v>
      </c>
      <c r="G26" t="s">
        <v>1062</v>
      </c>
      <c r="H26" t="s">
        <v>1063</v>
      </c>
    </row>
    <row r="27" spans="4:8">
      <c r="D27" s="4" t="s">
        <v>14</v>
      </c>
      <c r="E27">
        <v>263</v>
      </c>
      <c r="F27">
        <v>212</v>
      </c>
      <c r="G27">
        <v>212</v>
      </c>
      <c r="H27">
        <v>212</v>
      </c>
    </row>
    <row r="28" spans="4:8">
      <c r="D28" s="4" t="s">
        <v>32</v>
      </c>
      <c r="E28">
        <v>212</v>
      </c>
      <c r="F28">
        <v>173</v>
      </c>
      <c r="G28">
        <v>173</v>
      </c>
      <c r="H28">
        <v>173</v>
      </c>
    </row>
    <row r="29" spans="4:8">
      <c r="D29" s="4" t="s">
        <v>19</v>
      </c>
      <c r="E29">
        <v>262</v>
      </c>
      <c r="F29">
        <v>212</v>
      </c>
      <c r="G29">
        <v>212</v>
      </c>
      <c r="H29">
        <v>212</v>
      </c>
    </row>
    <row r="30" spans="4:8">
      <c r="D30" s="4" t="s">
        <v>21</v>
      </c>
      <c r="E30">
        <v>262</v>
      </c>
      <c r="F30">
        <v>215</v>
      </c>
      <c r="G30">
        <v>215</v>
      </c>
      <c r="H30">
        <v>215</v>
      </c>
    </row>
    <row r="31" spans="4:8">
      <c r="D31" s="4" t="s">
        <v>1030</v>
      </c>
      <c r="E31">
        <v>999</v>
      </c>
      <c r="F31">
        <v>812</v>
      </c>
      <c r="G31">
        <v>812</v>
      </c>
      <c r="H31">
        <v>812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E0FCD-6CB2-4AC4-8C9C-95C493ED0EA3}">
  <dimension ref="A3:D12"/>
  <sheetViews>
    <sheetView workbookViewId="0">
      <selection activeCell="B3" sqref="B3"/>
    </sheetView>
  </sheetViews>
  <sheetFormatPr defaultRowHeight="14.4"/>
  <cols>
    <col min="1" max="1" width="13.6640625" customWidth="1"/>
    <col min="2" max="2" width="37.109375" customWidth="1"/>
    <col min="3" max="3" width="40.5546875" customWidth="1"/>
    <col min="4" max="4" width="37.44140625" customWidth="1"/>
  </cols>
  <sheetData>
    <row r="3" spans="1:4">
      <c r="A3" s="3" t="s">
        <v>1029</v>
      </c>
      <c r="B3" t="s">
        <v>1044</v>
      </c>
      <c r="C3" t="s">
        <v>1045</v>
      </c>
      <c r="D3" t="s">
        <v>1046</v>
      </c>
    </row>
    <row r="4" spans="1:4">
      <c r="A4" s="4" t="s">
        <v>14</v>
      </c>
      <c r="B4">
        <v>3.12</v>
      </c>
      <c r="C4">
        <v>3.03</v>
      </c>
      <c r="D4">
        <v>4.51</v>
      </c>
    </row>
    <row r="5" spans="1:4">
      <c r="A5" s="4" t="s">
        <v>32</v>
      </c>
      <c r="B5">
        <v>3.12</v>
      </c>
      <c r="C5">
        <v>3.2</v>
      </c>
      <c r="D5">
        <v>4.3899999999999997</v>
      </c>
    </row>
    <row r="6" spans="1:4">
      <c r="A6" s="4" t="s">
        <v>19</v>
      </c>
      <c r="B6">
        <v>3.03</v>
      </c>
      <c r="C6">
        <v>3.02</v>
      </c>
      <c r="D6">
        <v>4.28</v>
      </c>
    </row>
    <row r="7" spans="1:4">
      <c r="A7" s="4" t="s">
        <v>21</v>
      </c>
      <c r="B7">
        <v>2.98</v>
      </c>
      <c r="C7">
        <v>3.05</v>
      </c>
      <c r="D7">
        <v>4.63</v>
      </c>
    </row>
    <row r="8" spans="1:4">
      <c r="A8" s="4" t="s">
        <v>1030</v>
      </c>
      <c r="B8">
        <v>3.0625</v>
      </c>
      <c r="C8">
        <v>3.0750000000000002</v>
      </c>
      <c r="D8">
        <v>4.4524999999999997</v>
      </c>
    </row>
    <row r="12" spans="1:4">
      <c r="B12" s="21"/>
      <c r="C12" s="21"/>
    </row>
  </sheetData>
  <mergeCells count="1">
    <mergeCell ref="B12:C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0F57-D80E-4D7C-A1B0-5F6A410B8FE6}">
  <dimension ref="A1:B4"/>
  <sheetViews>
    <sheetView workbookViewId="0">
      <selection activeCell="F28" sqref="F28"/>
    </sheetView>
  </sheetViews>
  <sheetFormatPr defaultRowHeight="14.4"/>
  <cols>
    <col min="1" max="1" width="16.44140625" bestFit="1" customWidth="1"/>
    <col min="2" max="2" width="7.21875" bestFit="1" customWidth="1"/>
  </cols>
  <sheetData>
    <row r="1" spans="1:2">
      <c r="A1" s="3" t="s">
        <v>1048</v>
      </c>
      <c r="B1" t="s">
        <v>1050</v>
      </c>
    </row>
    <row r="3" spans="1:2">
      <c r="A3" t="s">
        <v>1049</v>
      </c>
    </row>
    <row r="4" spans="1:2">
      <c r="A4">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945E-E646-49DA-8E59-FEA6A688A8CE}">
  <dimension ref="A1:B4"/>
  <sheetViews>
    <sheetView workbookViewId="0">
      <selection activeCell="I24" sqref="I24"/>
    </sheetView>
  </sheetViews>
  <sheetFormatPr defaultRowHeight="14.4"/>
  <cols>
    <col min="1" max="1" width="27.44140625" bestFit="1" customWidth="1"/>
    <col min="2" max="2" width="7.109375" bestFit="1" customWidth="1"/>
  </cols>
  <sheetData>
    <row r="1" spans="1:2">
      <c r="A1" s="3" t="s">
        <v>1048</v>
      </c>
      <c r="B1" t="s">
        <v>1051</v>
      </c>
    </row>
    <row r="3" spans="1:2">
      <c r="A3" t="s">
        <v>1052</v>
      </c>
    </row>
    <row r="4" spans="1:2">
      <c r="A4" s="8">
        <v>4.8504801097393688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8C5AE-636F-4BCA-95DF-890D0CC39B33}">
  <dimension ref="A3:H9"/>
  <sheetViews>
    <sheetView zoomScale="79" zoomScaleNormal="79" workbookViewId="0">
      <selection activeCell="D14" sqref="D14"/>
    </sheetView>
  </sheetViews>
  <sheetFormatPr defaultRowHeight="14.4"/>
  <cols>
    <col min="1" max="1" width="22.33203125" customWidth="1"/>
    <col min="2" max="2" width="26.33203125" customWidth="1"/>
    <col min="3" max="3" width="21.33203125" customWidth="1"/>
    <col min="4" max="4" width="25" customWidth="1"/>
    <col min="5" max="5" width="6.5546875" customWidth="1"/>
    <col min="6" max="7" width="8.88671875" customWidth="1"/>
    <col min="8" max="8" width="16.5546875" customWidth="1"/>
    <col min="9" max="9" width="3" customWidth="1"/>
    <col min="10" max="12" width="3" bestFit="1" customWidth="1"/>
    <col min="13" max="16" width="4" bestFit="1" customWidth="1"/>
    <col min="17" max="17" width="10.77734375" bestFit="1" customWidth="1"/>
    <col min="18" max="18" width="4" bestFit="1" customWidth="1"/>
    <col min="19" max="19" width="9.109375" bestFit="1" customWidth="1"/>
    <col min="20" max="20" width="7.77734375" bestFit="1" customWidth="1"/>
    <col min="21" max="23" width="3" bestFit="1" customWidth="1"/>
    <col min="24" max="24" width="10.44140625" bestFit="1" customWidth="1"/>
    <col min="25" max="25" width="7.109375" bestFit="1" customWidth="1"/>
    <col min="26" max="28" width="3" bestFit="1" customWidth="1"/>
    <col min="29" max="29" width="9.77734375" bestFit="1" customWidth="1"/>
    <col min="30" max="30" width="10.77734375" bestFit="1" customWidth="1"/>
  </cols>
  <sheetData>
    <row r="3" spans="1:8">
      <c r="A3" s="3" t="s">
        <v>1038</v>
      </c>
      <c r="B3" s="3" t="s">
        <v>1055</v>
      </c>
    </row>
    <row r="4" spans="1:8">
      <c r="A4" s="3" t="s">
        <v>1029</v>
      </c>
      <c r="B4" t="s">
        <v>33</v>
      </c>
      <c r="C4" t="s">
        <v>63</v>
      </c>
      <c r="D4" t="s">
        <v>26</v>
      </c>
      <c r="E4" t="s">
        <v>17</v>
      </c>
      <c r="F4" t="s">
        <v>24</v>
      </c>
      <c r="G4" t="s">
        <v>101</v>
      </c>
      <c r="H4" t="s">
        <v>1030</v>
      </c>
    </row>
    <row r="5" spans="1:8">
      <c r="A5" s="4" t="s">
        <v>14</v>
      </c>
      <c r="B5">
        <v>13</v>
      </c>
      <c r="C5">
        <v>14</v>
      </c>
      <c r="D5">
        <v>13</v>
      </c>
      <c r="E5">
        <v>191</v>
      </c>
      <c r="F5">
        <v>22</v>
      </c>
      <c r="G5">
        <v>10</v>
      </c>
      <c r="H5">
        <v>263</v>
      </c>
    </row>
    <row r="6" spans="1:8">
      <c r="A6" s="4" t="s">
        <v>32</v>
      </c>
      <c r="B6">
        <v>15</v>
      </c>
      <c r="C6">
        <v>10</v>
      </c>
      <c r="D6">
        <v>8</v>
      </c>
      <c r="E6">
        <v>153</v>
      </c>
      <c r="F6">
        <v>8</v>
      </c>
      <c r="G6">
        <v>18</v>
      </c>
      <c r="H6">
        <v>212</v>
      </c>
    </row>
    <row r="7" spans="1:8">
      <c r="A7" s="4" t="s">
        <v>19</v>
      </c>
      <c r="B7">
        <v>14</v>
      </c>
      <c r="C7">
        <v>21</v>
      </c>
      <c r="D7">
        <v>13</v>
      </c>
      <c r="E7">
        <v>186</v>
      </c>
      <c r="F7">
        <v>13</v>
      </c>
      <c r="G7">
        <v>16</v>
      </c>
      <c r="H7">
        <v>263</v>
      </c>
    </row>
    <row r="8" spans="1:8">
      <c r="A8" s="4" t="s">
        <v>21</v>
      </c>
      <c r="B8">
        <v>9</v>
      </c>
      <c r="C8">
        <v>14</v>
      </c>
      <c r="D8">
        <v>9</v>
      </c>
      <c r="E8">
        <v>199</v>
      </c>
      <c r="F8">
        <v>14</v>
      </c>
      <c r="G8">
        <v>17</v>
      </c>
      <c r="H8">
        <v>262</v>
      </c>
    </row>
    <row r="9" spans="1:8">
      <c r="A9" s="4" t="s">
        <v>1030</v>
      </c>
      <c r="B9">
        <v>51</v>
      </c>
      <c r="C9">
        <v>59</v>
      </c>
      <c r="D9">
        <v>43</v>
      </c>
      <c r="E9">
        <v>729</v>
      </c>
      <c r="F9">
        <v>57</v>
      </c>
      <c r="G9">
        <v>61</v>
      </c>
      <c r="H9">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CCCE8-FF9F-4A15-A9B2-205B9E4E2DB3}">
  <dimension ref="A3:B7"/>
  <sheetViews>
    <sheetView workbookViewId="0">
      <selection activeCell="B7" sqref="A3:B7"/>
    </sheetView>
  </sheetViews>
  <sheetFormatPr defaultRowHeight="14.4"/>
  <cols>
    <col min="1" max="1" width="12.5546875" customWidth="1"/>
    <col min="2" max="2" width="12.33203125" customWidth="1"/>
  </cols>
  <sheetData>
    <row r="3" spans="1:2">
      <c r="A3" s="3" t="s">
        <v>1029</v>
      </c>
      <c r="B3" t="s">
        <v>1038</v>
      </c>
    </row>
    <row r="4" spans="1:2">
      <c r="A4" s="4" t="s">
        <v>22</v>
      </c>
      <c r="B4">
        <v>188</v>
      </c>
    </row>
    <row r="5" spans="1:2">
      <c r="A5" s="4" t="s">
        <v>30</v>
      </c>
      <c r="B5">
        <v>303</v>
      </c>
    </row>
    <row r="6" spans="1:2">
      <c r="A6" s="4" t="s">
        <v>15</v>
      </c>
      <c r="B6">
        <v>509</v>
      </c>
    </row>
    <row r="7" spans="1:2">
      <c r="A7" s="4" t="s">
        <v>1030</v>
      </c>
      <c r="B7">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8430-46E7-445B-85F2-5F6D8F631539}">
  <dimension ref="A3:F8"/>
  <sheetViews>
    <sheetView zoomScale="114" workbookViewId="0">
      <selection activeCell="F7" sqref="F7"/>
    </sheetView>
  </sheetViews>
  <sheetFormatPr defaultRowHeight="14.4"/>
  <cols>
    <col min="1" max="1" width="13.6640625" customWidth="1"/>
    <col min="2" max="2" width="10.44140625" customWidth="1"/>
    <col min="3" max="3" width="20.109375" customWidth="1"/>
    <col min="4" max="4" width="19.88671875" customWidth="1"/>
    <col min="5" max="5" width="18.21875" customWidth="1"/>
    <col min="6" max="6" width="42.44140625" customWidth="1"/>
    <col min="7" max="7" width="20.109375" customWidth="1"/>
  </cols>
  <sheetData>
    <row r="3" spans="1:6">
      <c r="A3" s="3" t="s">
        <v>1029</v>
      </c>
      <c r="B3" t="s">
        <v>1039</v>
      </c>
      <c r="C3" t="s">
        <v>1040</v>
      </c>
      <c r="D3" t="s">
        <v>1041</v>
      </c>
      <c r="E3" t="s">
        <v>1042</v>
      </c>
      <c r="F3" t="s">
        <v>1043</v>
      </c>
    </row>
    <row r="4" spans="1:6">
      <c r="A4" s="4" t="s">
        <v>14</v>
      </c>
      <c r="B4">
        <v>-58.12</v>
      </c>
      <c r="C4">
        <v>12.04</v>
      </c>
      <c r="D4">
        <v>70.16</v>
      </c>
      <c r="E4">
        <v>17.8</v>
      </c>
      <c r="F4">
        <v>191</v>
      </c>
    </row>
    <row r="5" spans="1:6">
      <c r="A5" s="4" t="s">
        <v>32</v>
      </c>
      <c r="B5">
        <v>-46.41</v>
      </c>
      <c r="C5">
        <v>18.3</v>
      </c>
      <c r="D5">
        <v>64.709999999999994</v>
      </c>
      <c r="E5">
        <v>16.989999999999998</v>
      </c>
      <c r="F5">
        <v>153</v>
      </c>
    </row>
    <row r="6" spans="1:6">
      <c r="A6" s="4" t="s">
        <v>19</v>
      </c>
      <c r="B6">
        <v>-50</v>
      </c>
      <c r="C6">
        <v>16.13</v>
      </c>
      <c r="D6">
        <v>66.13</v>
      </c>
      <c r="E6">
        <v>17.739999999999998</v>
      </c>
      <c r="F6">
        <v>186</v>
      </c>
    </row>
    <row r="7" spans="1:6">
      <c r="A7" s="4" t="s">
        <v>21</v>
      </c>
      <c r="B7">
        <v>-57.79</v>
      </c>
      <c r="C7">
        <v>11.56</v>
      </c>
      <c r="D7">
        <v>69.349999999999994</v>
      </c>
      <c r="E7">
        <v>19.100000000000001</v>
      </c>
      <c r="F7">
        <v>199</v>
      </c>
    </row>
    <row r="8" spans="1:6">
      <c r="A8" s="4" t="s">
        <v>1030</v>
      </c>
      <c r="B8">
        <v>-212.32</v>
      </c>
      <c r="C8">
        <v>58.03</v>
      </c>
      <c r="D8">
        <v>270.35000000000002</v>
      </c>
      <c r="E8">
        <v>71.63</v>
      </c>
      <c r="F8">
        <v>729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69097-BD88-46D3-BEF6-8D04693C2AF7}">
  <dimension ref="C2:BC91"/>
  <sheetViews>
    <sheetView topLeftCell="A60" zoomScale="159" zoomScaleNormal="25" workbookViewId="0">
      <selection activeCell="F67" sqref="F67"/>
    </sheetView>
  </sheetViews>
  <sheetFormatPr defaultRowHeight="14.4"/>
  <cols>
    <col min="3" max="3" width="14.33203125" bestFit="1" customWidth="1"/>
    <col min="4" max="4" width="16.77734375" bestFit="1" customWidth="1"/>
    <col min="5" max="5" width="14.33203125" bestFit="1" customWidth="1"/>
    <col min="6" max="6" width="16.77734375" bestFit="1" customWidth="1"/>
    <col min="7" max="7" width="23.109375" bestFit="1" customWidth="1"/>
    <col min="8" max="8" width="36.5546875" bestFit="1" customWidth="1"/>
    <col min="9" max="9" width="22.77734375" bestFit="1" customWidth="1"/>
    <col min="10" max="10" width="14.5546875" bestFit="1" customWidth="1"/>
    <col min="11" max="11" width="29" bestFit="1" customWidth="1"/>
    <col min="12" max="12" width="3.44140625" bestFit="1" customWidth="1"/>
    <col min="13" max="21" width="4.6640625" bestFit="1" customWidth="1"/>
    <col min="22" max="22" width="27.5546875" bestFit="1" customWidth="1"/>
    <col min="23" max="23" width="12.77734375" bestFit="1" customWidth="1"/>
    <col min="24" max="24" width="10.33203125" customWidth="1"/>
    <col min="25" max="41" width="10.33203125" bestFit="1" customWidth="1"/>
    <col min="42" max="42" width="10.77734375" bestFit="1" customWidth="1"/>
  </cols>
  <sheetData>
    <row r="2" spans="3:55">
      <c r="E2" s="21" t="s">
        <v>1068</v>
      </c>
      <c r="F2" s="21"/>
      <c r="G2" s="21"/>
      <c r="H2" s="21"/>
    </row>
    <row r="3" spans="3:55">
      <c r="C3" s="3" t="s">
        <v>1029</v>
      </c>
      <c r="D3" t="s">
        <v>1049</v>
      </c>
      <c r="E3" t="s">
        <v>1064</v>
      </c>
      <c r="F3" t="s">
        <v>1061</v>
      </c>
      <c r="G3" t="s">
        <v>1063</v>
      </c>
      <c r="H3" t="s">
        <v>1088</v>
      </c>
      <c r="I3" t="s">
        <v>1062</v>
      </c>
      <c r="J3" t="s">
        <v>1067</v>
      </c>
      <c r="K3" t="s">
        <v>1066</v>
      </c>
      <c r="L3" t="s">
        <v>1087</v>
      </c>
    </row>
    <row r="4" spans="3:55">
      <c r="C4" s="4" t="s">
        <v>14</v>
      </c>
      <c r="D4" s="29">
        <v>263</v>
      </c>
      <c r="E4" s="29">
        <v>263</v>
      </c>
      <c r="F4" s="29">
        <v>212</v>
      </c>
      <c r="G4" s="29">
        <v>212</v>
      </c>
      <c r="H4" s="8">
        <v>80.618570385391237</v>
      </c>
      <c r="I4" s="29">
        <v>212</v>
      </c>
      <c r="J4" s="8">
        <v>80.626489995637186</v>
      </c>
      <c r="K4" s="8">
        <v>80.618570385391237</v>
      </c>
      <c r="L4" s="29">
        <v>80.626489995637186</v>
      </c>
    </row>
    <row r="5" spans="3:55">
      <c r="C5" s="4" t="s">
        <v>32</v>
      </c>
      <c r="D5" s="29">
        <v>212</v>
      </c>
      <c r="E5" s="29">
        <v>212</v>
      </c>
      <c r="F5" s="29">
        <v>173</v>
      </c>
      <c r="G5" s="29">
        <v>173</v>
      </c>
      <c r="H5" s="8">
        <v>81.614516157347893</v>
      </c>
      <c r="I5" s="29">
        <v>173</v>
      </c>
      <c r="J5" s="8">
        <v>81.62230842193911</v>
      </c>
      <c r="K5" s="8">
        <v>81.614516157347893</v>
      </c>
      <c r="L5" s="29">
        <v>81.62230842193911</v>
      </c>
    </row>
    <row r="6" spans="3:55">
      <c r="C6" s="4" t="s">
        <v>19</v>
      </c>
      <c r="D6" s="29">
        <v>263</v>
      </c>
      <c r="E6" s="29">
        <v>262</v>
      </c>
      <c r="F6" s="29">
        <v>212</v>
      </c>
      <c r="G6" s="29">
        <v>212</v>
      </c>
      <c r="H6" s="8">
        <v>80.927428649989224</v>
      </c>
      <c r="I6" s="29">
        <v>212</v>
      </c>
      <c r="J6" s="8">
        <v>80.934971421783402</v>
      </c>
      <c r="K6" s="8">
        <v>80.927428649989224</v>
      </c>
      <c r="L6" s="29">
        <v>80.934971421783402</v>
      </c>
    </row>
    <row r="7" spans="3:55">
      <c r="C7" s="4" t="s">
        <v>21</v>
      </c>
      <c r="D7" s="29">
        <v>262</v>
      </c>
      <c r="E7" s="29">
        <v>262</v>
      </c>
      <c r="F7" s="29">
        <v>215</v>
      </c>
      <c r="G7" s="29">
        <v>215</v>
      </c>
      <c r="H7" s="8">
        <v>82.071752300118504</v>
      </c>
      <c r="I7" s="29">
        <v>215</v>
      </c>
      <c r="J7" s="8">
        <v>82.080017890225989</v>
      </c>
      <c r="K7" s="8">
        <v>82.071752300118504</v>
      </c>
      <c r="L7" s="29">
        <v>82.080017890225989</v>
      </c>
    </row>
    <row r="8" spans="3:55">
      <c r="C8" s="4" t="s">
        <v>1030</v>
      </c>
      <c r="D8" s="29">
        <v>1000</v>
      </c>
      <c r="E8" s="29">
        <v>999</v>
      </c>
      <c r="F8" s="29">
        <v>812</v>
      </c>
      <c r="G8" s="29">
        <v>812</v>
      </c>
      <c r="H8" s="8">
        <v>81.292034920086451</v>
      </c>
      <c r="I8" s="29">
        <v>812</v>
      </c>
      <c r="J8" s="8">
        <v>81.299919412168521</v>
      </c>
      <c r="K8" s="8">
        <v>81.292034920086451</v>
      </c>
      <c r="L8" s="29">
        <v>81.299919412168521</v>
      </c>
    </row>
    <row r="9" spans="3:55" ht="14.4" customHeight="1">
      <c r="L9" s="21"/>
      <c r="M9" s="21"/>
      <c r="AH9" s="19"/>
      <c r="AI9" s="19"/>
      <c r="AJ9" s="19"/>
      <c r="AK9" s="19"/>
      <c r="AL9" s="19"/>
      <c r="AM9" s="19"/>
      <c r="AN9" s="19"/>
      <c r="AO9" s="19"/>
      <c r="AP9" s="19"/>
      <c r="AQ9" s="19"/>
      <c r="AR9" s="19"/>
      <c r="AS9" s="19"/>
      <c r="AT9" s="19"/>
      <c r="AU9" s="19"/>
      <c r="AV9" s="19"/>
      <c r="AW9" s="19"/>
      <c r="AX9" s="19"/>
      <c r="AY9" s="19"/>
      <c r="AZ9" s="19"/>
      <c r="BA9" s="19"/>
      <c r="BB9" s="19"/>
      <c r="BC9" s="19"/>
    </row>
    <row r="10" spans="3:55" ht="14.4" customHeight="1">
      <c r="E10" s="3" t="s">
        <v>1048</v>
      </c>
      <c r="F10" t="s">
        <v>1051</v>
      </c>
      <c r="AH10" s="19"/>
      <c r="AI10" s="19"/>
      <c r="AJ10" s="19"/>
      <c r="AK10" s="19"/>
      <c r="AL10" s="19"/>
      <c r="AM10" s="19"/>
      <c r="AN10" s="19"/>
      <c r="AO10" s="19"/>
      <c r="AP10" s="19"/>
      <c r="AQ10" s="19"/>
      <c r="AR10" s="19"/>
      <c r="AS10" s="19"/>
      <c r="AT10" s="19"/>
      <c r="AU10" s="19"/>
      <c r="AV10" s="19"/>
      <c r="AW10" s="19"/>
      <c r="AX10" s="19"/>
      <c r="AY10" s="19"/>
      <c r="AZ10" s="19"/>
      <c r="BA10" s="19"/>
      <c r="BB10" s="19"/>
      <c r="BC10" s="19"/>
    </row>
    <row r="11" spans="3:55" ht="14.4" customHeight="1">
      <c r="E11" s="25" t="s">
        <v>1069</v>
      </c>
      <c r="F11" s="21"/>
      <c r="G11" s="21"/>
      <c r="H11" s="21"/>
      <c r="AH11" s="19"/>
      <c r="AI11" s="19"/>
      <c r="AJ11" s="19"/>
      <c r="AK11" s="19"/>
      <c r="AL11" s="19"/>
      <c r="AM11" s="19"/>
      <c r="AN11" s="19"/>
      <c r="AO11" s="19"/>
      <c r="AP11" s="19"/>
      <c r="AQ11" s="19"/>
      <c r="AR11" s="19"/>
      <c r="AS11" s="19"/>
      <c r="AT11" s="19"/>
      <c r="AU11" s="19"/>
      <c r="AV11" s="19"/>
      <c r="AW11" s="19"/>
      <c r="AX11" s="19"/>
      <c r="AY11" s="19"/>
      <c r="AZ11" s="19"/>
      <c r="BA11" s="19"/>
      <c r="BB11" s="19"/>
      <c r="BC11" s="19"/>
    </row>
    <row r="12" spans="3:55" ht="14.4" customHeight="1">
      <c r="E12" s="3" t="s">
        <v>1029</v>
      </c>
      <c r="F12" t="s">
        <v>1049</v>
      </c>
      <c r="AH12" s="19"/>
      <c r="AI12" s="19"/>
      <c r="AJ12" s="19"/>
      <c r="AK12" s="19"/>
      <c r="AL12" s="19"/>
      <c r="AM12" s="19"/>
      <c r="AN12" s="19"/>
      <c r="AO12" s="19"/>
      <c r="AP12" s="19"/>
      <c r="AQ12" s="19"/>
      <c r="AR12" s="19"/>
      <c r="AS12" s="19"/>
      <c r="AT12" s="19"/>
      <c r="AU12" s="19"/>
      <c r="AV12" s="19"/>
      <c r="AW12" s="19"/>
      <c r="AX12" s="19"/>
      <c r="AY12" s="19"/>
      <c r="AZ12" s="19"/>
      <c r="BA12" s="19"/>
      <c r="BB12" s="19"/>
      <c r="BC12" s="19"/>
    </row>
    <row r="13" spans="3:55" ht="14.4" customHeight="1">
      <c r="E13" s="4" t="s">
        <v>22</v>
      </c>
      <c r="F13" s="29">
        <v>188</v>
      </c>
      <c r="J13" s="21"/>
      <c r="K13" s="21"/>
      <c r="AH13" s="19"/>
      <c r="AI13" s="19"/>
      <c r="AJ13" s="19"/>
      <c r="AK13" s="19"/>
      <c r="AL13" s="19"/>
      <c r="AM13" s="19"/>
      <c r="AN13" s="19"/>
      <c r="AO13" s="19"/>
      <c r="AP13" s="19"/>
      <c r="AQ13" s="19"/>
      <c r="AR13" s="19"/>
      <c r="AS13" s="19"/>
      <c r="AT13" s="19"/>
      <c r="AU13" s="19"/>
      <c r="AV13" s="19"/>
      <c r="AW13" s="19"/>
      <c r="AX13" s="19"/>
      <c r="AY13" s="19"/>
      <c r="AZ13" s="19"/>
      <c r="BA13" s="19"/>
      <c r="BB13" s="19"/>
      <c r="BC13" s="19"/>
    </row>
    <row r="14" spans="3:55" ht="14.4" customHeight="1">
      <c r="E14" s="4" t="s">
        <v>30</v>
      </c>
      <c r="F14" s="29">
        <v>303</v>
      </c>
      <c r="U14" s="3" t="s">
        <v>1048</v>
      </c>
      <c r="V14" t="s">
        <v>1051</v>
      </c>
      <c r="AH14" s="19"/>
      <c r="AI14" s="19"/>
      <c r="AJ14" s="19"/>
      <c r="AK14" s="19"/>
      <c r="AL14" s="19"/>
      <c r="AM14" s="19"/>
      <c r="AN14" s="19"/>
      <c r="AO14" s="19"/>
      <c r="AP14" s="19"/>
      <c r="AQ14" s="19"/>
      <c r="AR14" s="19"/>
      <c r="AS14" s="19"/>
      <c r="AT14" s="19"/>
      <c r="AU14" s="19"/>
      <c r="AV14" s="19"/>
      <c r="AW14" s="19"/>
      <c r="AX14" s="19"/>
      <c r="AY14" s="19"/>
      <c r="AZ14" s="19"/>
      <c r="BA14" s="19"/>
      <c r="BB14" s="19"/>
      <c r="BC14" s="19"/>
    </row>
    <row r="15" spans="3:55" ht="14.4" customHeight="1">
      <c r="E15" s="4" t="s">
        <v>15</v>
      </c>
      <c r="F15" s="29">
        <v>509</v>
      </c>
      <c r="AH15" s="19"/>
      <c r="AI15" s="19"/>
      <c r="AJ15" s="19"/>
      <c r="AK15" s="19"/>
      <c r="AL15" s="19"/>
      <c r="AM15" s="19"/>
      <c r="AN15" s="19"/>
      <c r="AO15" s="19"/>
      <c r="AP15" s="19"/>
      <c r="AQ15" s="19"/>
      <c r="AR15" s="19"/>
      <c r="AS15" s="19"/>
      <c r="AT15" s="19"/>
      <c r="AU15" s="19"/>
      <c r="AV15" s="19"/>
      <c r="AW15" s="19"/>
      <c r="AX15" s="19"/>
      <c r="AY15" s="19"/>
      <c r="AZ15" s="19"/>
      <c r="BA15" s="19"/>
      <c r="BB15" s="19"/>
      <c r="BC15" s="19"/>
    </row>
    <row r="16" spans="3:55" ht="14.4" customHeight="1">
      <c r="E16" s="4" t="s">
        <v>1030</v>
      </c>
      <c r="F16" s="29">
        <v>1000</v>
      </c>
      <c r="U16" s="3" t="s">
        <v>1029</v>
      </c>
      <c r="V16" t="s">
        <v>1052</v>
      </c>
      <c r="AH16" s="19"/>
      <c r="AI16" s="19"/>
      <c r="AJ16" s="19"/>
      <c r="AK16" s="19"/>
      <c r="AL16" s="19"/>
      <c r="AM16" s="19"/>
      <c r="AN16" s="19"/>
      <c r="AO16" s="19"/>
      <c r="AP16" s="19"/>
      <c r="AQ16" s="19"/>
      <c r="AR16" s="19"/>
      <c r="AS16" s="19"/>
      <c r="AT16" s="19"/>
      <c r="AU16" s="19"/>
      <c r="AV16" s="19"/>
      <c r="AW16" s="19"/>
      <c r="AX16" s="19"/>
      <c r="AY16" s="19"/>
      <c r="AZ16" s="19"/>
      <c r="BA16" s="19"/>
      <c r="BB16" s="19"/>
      <c r="BC16" s="19"/>
    </row>
    <row r="17" spans="5:55" ht="14.4" customHeight="1">
      <c r="U17" s="4" t="s">
        <v>14</v>
      </c>
      <c r="V17" s="8">
        <v>4.670157068062827</v>
      </c>
      <c r="AH17" s="19"/>
      <c r="AI17" s="19"/>
      <c r="AJ17" s="19"/>
      <c r="AK17" s="19"/>
      <c r="AL17" s="19"/>
      <c r="AM17" s="19"/>
      <c r="AN17" s="19"/>
      <c r="AO17" s="19"/>
      <c r="AP17" s="19"/>
      <c r="AQ17" s="19"/>
      <c r="AR17" s="19"/>
      <c r="AS17" s="19"/>
      <c r="AT17" s="19"/>
      <c r="AU17" s="19"/>
      <c r="AV17" s="19"/>
      <c r="AW17" s="19"/>
      <c r="AX17" s="19"/>
      <c r="AY17" s="19"/>
      <c r="AZ17" s="19"/>
      <c r="BA17" s="19"/>
      <c r="BB17" s="19"/>
      <c r="BC17" s="19"/>
    </row>
    <row r="18" spans="5:55" ht="14.4" customHeight="1">
      <c r="U18" s="4" t="s">
        <v>32</v>
      </c>
      <c r="V18" s="8">
        <v>5.0130718954248366</v>
      </c>
      <c r="AH18" s="19"/>
      <c r="AI18" s="19"/>
      <c r="AJ18" s="19"/>
      <c r="AK18" s="19"/>
      <c r="AL18" s="19"/>
      <c r="AM18" s="19"/>
      <c r="AN18" s="19"/>
      <c r="AO18" s="19"/>
      <c r="AP18" s="19"/>
      <c r="AQ18" s="19"/>
      <c r="AR18" s="19"/>
      <c r="AS18" s="19"/>
      <c r="AT18" s="19"/>
      <c r="AU18" s="19"/>
      <c r="AV18" s="19"/>
      <c r="AW18" s="19"/>
      <c r="AX18" s="19"/>
      <c r="AY18" s="19"/>
      <c r="AZ18" s="19"/>
      <c r="BA18" s="19"/>
      <c r="BB18" s="19"/>
      <c r="BC18" s="19"/>
    </row>
    <row r="19" spans="5:55">
      <c r="U19" s="4" t="s">
        <v>19</v>
      </c>
      <c r="V19" s="8">
        <v>4.897849462365591</v>
      </c>
    </row>
    <row r="20" spans="5:55">
      <c r="U20" s="4" t="s">
        <v>21</v>
      </c>
      <c r="V20" s="8">
        <v>4.8542713567839195</v>
      </c>
      <c r="AO20" s="18"/>
      <c r="AP20" s="20"/>
      <c r="AQ20" s="20"/>
      <c r="AR20" s="20"/>
      <c r="AS20" s="20"/>
      <c r="AT20" s="20"/>
      <c r="AU20" s="20"/>
      <c r="AV20" s="20"/>
      <c r="AW20" s="20"/>
      <c r="AX20" s="20"/>
      <c r="AY20" s="20"/>
      <c r="AZ20" s="20"/>
      <c r="BA20" s="20"/>
    </row>
    <row r="21" spans="5:55">
      <c r="E21" s="25"/>
      <c r="F21" s="21"/>
      <c r="G21" s="21"/>
      <c r="H21" s="21"/>
      <c r="U21" s="4" t="s">
        <v>1030</v>
      </c>
      <c r="V21" s="8">
        <v>4.8504801097393688</v>
      </c>
      <c r="AO21" s="20"/>
      <c r="AP21" s="20"/>
      <c r="AQ21" s="20"/>
      <c r="AR21" s="20"/>
      <c r="AS21" s="20"/>
      <c r="AT21" s="20"/>
      <c r="AU21" s="20"/>
      <c r="AV21" s="20"/>
      <c r="AW21" s="20"/>
      <c r="AX21" s="20"/>
      <c r="AY21" s="20"/>
      <c r="AZ21" s="20"/>
      <c r="BA21" s="20"/>
    </row>
    <row r="22" spans="5:55">
      <c r="AO22" s="20"/>
      <c r="AP22" s="20"/>
      <c r="AQ22" s="20"/>
      <c r="AR22" s="20"/>
      <c r="AS22" s="20"/>
      <c r="AT22" s="20"/>
      <c r="AU22" s="20"/>
      <c r="AV22" s="20"/>
      <c r="AW22" s="20"/>
      <c r="AX22" s="20"/>
      <c r="AY22" s="20"/>
      <c r="AZ22" s="20"/>
      <c r="BA22" s="20"/>
    </row>
    <row r="23" spans="5:55">
      <c r="AO23" s="20"/>
      <c r="AP23" s="20"/>
      <c r="AQ23" s="20"/>
      <c r="AR23" s="20"/>
      <c r="AS23" s="20"/>
      <c r="AT23" s="20"/>
      <c r="AU23" s="20"/>
      <c r="AV23" s="20"/>
      <c r="AW23" s="20"/>
      <c r="AX23" s="20"/>
      <c r="AY23" s="20"/>
      <c r="AZ23" s="20"/>
      <c r="BA23" s="20"/>
    </row>
    <row r="25" spans="5:55">
      <c r="J25" s="21" t="s">
        <v>1074</v>
      </c>
      <c r="K25" s="21"/>
      <c r="L25" s="21"/>
      <c r="M25" s="21"/>
      <c r="N25" s="21"/>
    </row>
    <row r="26" spans="5:55">
      <c r="J26" s="3" t="s">
        <v>1029</v>
      </c>
      <c r="K26" t="s">
        <v>1073</v>
      </c>
    </row>
    <row r="27" spans="5:55">
      <c r="J27" s="4" t="s">
        <v>33</v>
      </c>
      <c r="K27" s="29">
        <v>51</v>
      </c>
    </row>
    <row r="28" spans="5:55">
      <c r="J28" s="4" t="s">
        <v>63</v>
      </c>
      <c r="K28" s="29">
        <v>59</v>
      </c>
    </row>
    <row r="29" spans="5:55">
      <c r="E29" s="3" t="s">
        <v>1048</v>
      </c>
      <c r="F29" t="s">
        <v>1050</v>
      </c>
      <c r="J29" s="4" t="s">
        <v>24</v>
      </c>
      <c r="K29" s="29">
        <v>57</v>
      </c>
    </row>
    <row r="30" spans="5:55">
      <c r="F30" s="26" t="s">
        <v>1071</v>
      </c>
      <c r="G30" s="27"/>
      <c r="J30" s="4" t="s">
        <v>1028</v>
      </c>
      <c r="K30" s="29">
        <v>43</v>
      </c>
    </row>
    <row r="31" spans="5:55">
      <c r="E31" s="3" t="s">
        <v>1029</v>
      </c>
      <c r="F31" t="s">
        <v>1049</v>
      </c>
      <c r="J31" s="4" t="s">
        <v>101</v>
      </c>
      <c r="K31" s="29">
        <v>61</v>
      </c>
    </row>
    <row r="32" spans="5:55">
      <c r="E32" s="4" t="s">
        <v>32</v>
      </c>
      <c r="F32" s="29">
        <v>4</v>
      </c>
      <c r="J32" s="4" t="s">
        <v>1030</v>
      </c>
      <c r="K32" s="29">
        <v>271</v>
      </c>
    </row>
    <row r="33" spans="4:14">
      <c r="E33" s="4" t="s">
        <v>19</v>
      </c>
      <c r="F33" s="29">
        <v>3</v>
      </c>
    </row>
    <row r="34" spans="4:14">
      <c r="E34" s="4" t="s">
        <v>21</v>
      </c>
      <c r="F34" s="29">
        <v>2</v>
      </c>
    </row>
    <row r="35" spans="4:14">
      <c r="E35" s="4" t="s">
        <v>1030</v>
      </c>
      <c r="F35" s="29">
        <v>9</v>
      </c>
    </row>
    <row r="36" spans="4:14">
      <c r="E36" s="11"/>
      <c r="J36" s="21" t="s">
        <v>1075</v>
      </c>
      <c r="K36" s="21"/>
    </row>
    <row r="37" spans="4:14">
      <c r="F37" s="21"/>
      <c r="G37" s="21"/>
      <c r="J37" s="3" t="s">
        <v>1064</v>
      </c>
      <c r="K37" s="3" t="s">
        <v>1055</v>
      </c>
    </row>
    <row r="38" spans="4:14">
      <c r="J38" s="3" t="s">
        <v>1029</v>
      </c>
      <c r="K38" t="s">
        <v>22</v>
      </c>
      <c r="L38" t="s">
        <v>30</v>
      </c>
      <c r="M38" t="s">
        <v>15</v>
      </c>
      <c r="N38" t="s">
        <v>1030</v>
      </c>
    </row>
    <row r="39" spans="4:14">
      <c r="J39" s="4" t="s">
        <v>14</v>
      </c>
      <c r="K39" s="29">
        <v>51</v>
      </c>
      <c r="L39" s="29">
        <v>80</v>
      </c>
      <c r="M39" s="29">
        <v>132</v>
      </c>
      <c r="N39" s="29">
        <v>263</v>
      </c>
    </row>
    <row r="40" spans="4:14">
      <c r="J40" s="4" t="s">
        <v>32</v>
      </c>
      <c r="K40" s="29">
        <v>39</v>
      </c>
      <c r="L40" s="29">
        <v>70</v>
      </c>
      <c r="M40" s="29">
        <v>103</v>
      </c>
      <c r="N40" s="29">
        <v>212</v>
      </c>
    </row>
    <row r="41" spans="4:14">
      <c r="J41" s="4" t="s">
        <v>19</v>
      </c>
      <c r="K41" s="29">
        <v>51</v>
      </c>
      <c r="L41" s="29">
        <v>70</v>
      </c>
      <c r="M41" s="29">
        <v>141</v>
      </c>
      <c r="N41" s="29">
        <v>262</v>
      </c>
    </row>
    <row r="42" spans="4:14">
      <c r="J42" s="4" t="s">
        <v>21</v>
      </c>
      <c r="K42" s="29">
        <v>47</v>
      </c>
      <c r="L42" s="29">
        <v>83</v>
      </c>
      <c r="M42" s="29">
        <v>132</v>
      </c>
      <c r="N42" s="29">
        <v>262</v>
      </c>
    </row>
    <row r="43" spans="4:14">
      <c r="J43" s="4" t="s">
        <v>1030</v>
      </c>
      <c r="K43" s="29">
        <v>188</v>
      </c>
      <c r="L43" s="29">
        <v>303</v>
      </c>
      <c r="M43" s="29">
        <v>508</v>
      </c>
      <c r="N43" s="29">
        <v>999</v>
      </c>
    </row>
    <row r="46" spans="4:14">
      <c r="D46" s="21" t="s">
        <v>1078</v>
      </c>
      <c r="E46" s="21"/>
    </row>
    <row r="47" spans="4:14">
      <c r="D47" t="s">
        <v>1060</v>
      </c>
      <c r="E47" t="s">
        <v>1080</v>
      </c>
    </row>
    <row r="48" spans="4:14">
      <c r="D48" s="13" t="s">
        <v>1081</v>
      </c>
      <c r="E48">
        <f>GETPIVOTDATA("Count of lead_date",$C$3)</f>
        <v>999</v>
      </c>
    </row>
    <row r="49" spans="4:21">
      <c r="D49" t="s">
        <v>1082</v>
      </c>
      <c r="E49">
        <f>GETPIVOTDATA("Count of pre-booking_date",$C$3)</f>
        <v>812</v>
      </c>
    </row>
    <row r="50" spans="4:21">
      <c r="D50" t="s">
        <v>1083</v>
      </c>
      <c r="E50">
        <f>GETPIVOTDATA("Count of booking_date",$C$3)</f>
        <v>812</v>
      </c>
      <c r="J50" s="3" t="s">
        <v>1029</v>
      </c>
      <c r="K50" t="s">
        <v>1072</v>
      </c>
    </row>
    <row r="51" spans="4:21">
      <c r="D51" t="s">
        <v>1084</v>
      </c>
      <c r="E51">
        <f>GETPIVOTDATA("Count of delivery_date",$C$3)</f>
        <v>812</v>
      </c>
      <c r="J51" s="4" t="s">
        <v>14</v>
      </c>
      <c r="K51" s="29">
        <v>892</v>
      </c>
    </row>
    <row r="52" spans="4:21">
      <c r="J52" s="4" t="s">
        <v>32</v>
      </c>
      <c r="K52" s="29">
        <v>767</v>
      </c>
    </row>
    <row r="53" spans="4:21">
      <c r="J53" s="4" t="s">
        <v>19</v>
      </c>
      <c r="K53" s="29">
        <v>911</v>
      </c>
    </row>
    <row r="54" spans="4:21">
      <c r="J54" s="4" t="s">
        <v>21</v>
      </c>
      <c r="K54" s="29">
        <v>966</v>
      </c>
    </row>
    <row r="55" spans="4:21">
      <c r="J55" s="4" t="s">
        <v>1030</v>
      </c>
      <c r="K55" s="29">
        <v>3536</v>
      </c>
    </row>
    <row r="59" spans="4:21">
      <c r="J59" s="3" t="s">
        <v>1072</v>
      </c>
      <c r="K59" s="3" t="s">
        <v>1055</v>
      </c>
    </row>
    <row r="60" spans="4:21">
      <c r="J60" s="3" t="s">
        <v>1029</v>
      </c>
      <c r="K60">
        <v>0</v>
      </c>
      <c r="L60">
        <v>1</v>
      </c>
      <c r="M60">
        <v>2</v>
      </c>
      <c r="N60">
        <v>3</v>
      </c>
      <c r="O60">
        <v>4</v>
      </c>
      <c r="P60">
        <v>5</v>
      </c>
      <c r="Q60">
        <v>6</v>
      </c>
      <c r="R60">
        <v>7</v>
      </c>
      <c r="S60">
        <v>8</v>
      </c>
      <c r="T60">
        <v>9</v>
      </c>
      <c r="U60">
        <v>10</v>
      </c>
    </row>
    <row r="61" spans="4:21">
      <c r="J61" s="4" t="s">
        <v>14</v>
      </c>
      <c r="K61" s="29">
        <v>0</v>
      </c>
      <c r="L61" s="29">
        <v>20</v>
      </c>
      <c r="M61" s="29">
        <v>52</v>
      </c>
      <c r="N61" s="29">
        <v>75</v>
      </c>
      <c r="O61" s="29">
        <v>68</v>
      </c>
      <c r="P61" s="29">
        <v>90</v>
      </c>
      <c r="Q61" s="29">
        <v>114</v>
      </c>
      <c r="R61" s="29">
        <v>98</v>
      </c>
      <c r="S61" s="29">
        <v>160</v>
      </c>
      <c r="T61" s="29">
        <v>135</v>
      </c>
      <c r="U61" s="29">
        <v>80</v>
      </c>
    </row>
    <row r="62" spans="4:21">
      <c r="J62" s="4" t="s">
        <v>32</v>
      </c>
      <c r="K62" s="29">
        <v>0</v>
      </c>
      <c r="L62" s="29">
        <v>18</v>
      </c>
      <c r="M62" s="29">
        <v>22</v>
      </c>
      <c r="N62" s="29">
        <v>48</v>
      </c>
      <c r="O62" s="29">
        <v>64</v>
      </c>
      <c r="P62" s="29">
        <v>65</v>
      </c>
      <c r="Q62" s="29">
        <v>96</v>
      </c>
      <c r="R62" s="29">
        <v>112</v>
      </c>
      <c r="S62" s="29">
        <v>80</v>
      </c>
      <c r="T62" s="29">
        <v>162</v>
      </c>
      <c r="U62" s="29">
        <v>100</v>
      </c>
    </row>
    <row r="63" spans="4:21">
      <c r="J63" s="4" t="s">
        <v>19</v>
      </c>
      <c r="K63" s="29">
        <v>0</v>
      </c>
      <c r="L63" s="29">
        <v>21</v>
      </c>
      <c r="M63" s="29">
        <v>42</v>
      </c>
      <c r="N63" s="29">
        <v>48</v>
      </c>
      <c r="O63" s="29">
        <v>92</v>
      </c>
      <c r="P63" s="29">
        <v>50</v>
      </c>
      <c r="Q63" s="29">
        <v>132</v>
      </c>
      <c r="R63" s="29">
        <v>133</v>
      </c>
      <c r="S63" s="29">
        <v>112</v>
      </c>
      <c r="T63" s="29">
        <v>171</v>
      </c>
      <c r="U63" s="29">
        <v>110</v>
      </c>
    </row>
    <row r="64" spans="4:21">
      <c r="D64" s="23" t="s">
        <v>1078</v>
      </c>
      <c r="E64" s="24"/>
      <c r="F64" s="24"/>
      <c r="J64" s="4" t="s">
        <v>21</v>
      </c>
      <c r="K64" s="29">
        <v>0</v>
      </c>
      <c r="L64" s="29">
        <v>17</v>
      </c>
      <c r="M64" s="29">
        <v>50</v>
      </c>
      <c r="N64" s="29">
        <v>60</v>
      </c>
      <c r="O64" s="29">
        <v>96</v>
      </c>
      <c r="P64" s="29">
        <v>105</v>
      </c>
      <c r="Q64" s="29">
        <v>138</v>
      </c>
      <c r="R64" s="29">
        <v>140</v>
      </c>
      <c r="S64" s="29">
        <v>144</v>
      </c>
      <c r="T64" s="29">
        <v>126</v>
      </c>
      <c r="U64" s="29">
        <v>90</v>
      </c>
    </row>
    <row r="65" spans="4:21">
      <c r="D65" s="11" t="s">
        <v>1060</v>
      </c>
      <c r="E65" s="11" t="s">
        <v>1079</v>
      </c>
      <c r="J65" s="4" t="s">
        <v>1030</v>
      </c>
      <c r="K65" s="29">
        <v>0</v>
      </c>
      <c r="L65" s="29">
        <v>76</v>
      </c>
      <c r="M65" s="29">
        <v>166</v>
      </c>
      <c r="N65" s="29">
        <v>231</v>
      </c>
      <c r="O65" s="29">
        <v>320</v>
      </c>
      <c r="P65" s="29">
        <v>310</v>
      </c>
      <c r="Q65" s="29">
        <v>480</v>
      </c>
      <c r="R65" s="29">
        <v>483</v>
      </c>
      <c r="S65" s="29">
        <v>496</v>
      </c>
      <c r="T65" s="29">
        <v>594</v>
      </c>
      <c r="U65" s="29">
        <v>380</v>
      </c>
    </row>
    <row r="66" spans="4:21">
      <c r="D66" t="s">
        <v>1056</v>
      </c>
      <c r="E66">
        <f>GETPIVOTDATA("Count of lead_date",$C$3)</f>
        <v>999</v>
      </c>
    </row>
    <row r="67" spans="4:21">
      <c r="D67" t="s">
        <v>1057</v>
      </c>
      <c r="E67">
        <f>GETPIVOTDATA("Count of delivery_date",$C$3)</f>
        <v>812</v>
      </c>
    </row>
    <row r="68" spans="4:21">
      <c r="D68" t="s">
        <v>1058</v>
      </c>
      <c r="E68">
        <f>(E67/E66) * 100</f>
        <v>81.281281281281281</v>
      </c>
    </row>
    <row r="69" spans="4:21">
      <c r="D69" t="s">
        <v>1059</v>
      </c>
      <c r="E69" s="17">
        <f>GETPIVOTDATA("Average of tat_booking_(days)",$I$84)</f>
        <v>3.0689655172413794</v>
      </c>
    </row>
    <row r="83" spans="9:12" ht="25.8">
      <c r="J83" s="22" t="s">
        <v>1054</v>
      </c>
      <c r="K83" s="21"/>
    </row>
    <row r="84" spans="9:12">
      <c r="J84" s="3" t="s">
        <v>1079</v>
      </c>
    </row>
    <row r="85" spans="9:12">
      <c r="I85" s="3" t="s">
        <v>1053</v>
      </c>
      <c r="J85" t="s">
        <v>1070</v>
      </c>
      <c r="K85" t="s">
        <v>1085</v>
      </c>
      <c r="L85" t="s">
        <v>1086</v>
      </c>
    </row>
    <row r="86" spans="9:12">
      <c r="I86" t="s">
        <v>14</v>
      </c>
      <c r="J86" s="8">
        <v>3.1179245283018866</v>
      </c>
      <c r="K86" s="8">
        <v>3.0330188679245285</v>
      </c>
      <c r="L86" s="8">
        <v>4.5141509433962268</v>
      </c>
    </row>
    <row r="87" spans="9:12">
      <c r="I87" t="s">
        <v>32</v>
      </c>
      <c r="J87" s="8">
        <v>3.1213872832369942</v>
      </c>
      <c r="K87" s="8">
        <v>3.2023121387283235</v>
      </c>
      <c r="L87" s="8">
        <v>4.3872832369942198</v>
      </c>
    </row>
    <row r="88" spans="9:12">
      <c r="I88" t="s">
        <v>19</v>
      </c>
      <c r="J88" s="8">
        <v>3.028436018957346</v>
      </c>
      <c r="K88" s="8">
        <v>3.0188679245283021</v>
      </c>
      <c r="L88" s="8">
        <v>4.283018867924528</v>
      </c>
    </row>
    <row r="89" spans="9:12">
      <c r="I89" t="s">
        <v>21</v>
      </c>
      <c r="J89" s="8">
        <v>2.9767441860465116</v>
      </c>
      <c r="K89" s="8">
        <v>3.0465116279069768</v>
      </c>
      <c r="L89" s="8">
        <v>4.6279069767441863</v>
      </c>
    </row>
    <row r="90" spans="9:12">
      <c r="I90" t="s">
        <v>1065</v>
      </c>
      <c r="J90" s="8"/>
      <c r="K90" s="8"/>
      <c r="L90" s="8"/>
    </row>
    <row r="91" spans="9:12">
      <c r="I91" t="s">
        <v>1030</v>
      </c>
      <c r="J91" s="8">
        <v>3.0579531442663379</v>
      </c>
      <c r="K91" s="8">
        <v>3.0689655172413794</v>
      </c>
      <c r="L91" s="8">
        <v>4.4568965517241379</v>
      </c>
    </row>
  </sheetData>
  <mergeCells count="12">
    <mergeCell ref="J83:K83"/>
    <mergeCell ref="J36:K36"/>
    <mergeCell ref="D64:F64"/>
    <mergeCell ref="E2:H2"/>
    <mergeCell ref="E11:H11"/>
    <mergeCell ref="E21:H21"/>
    <mergeCell ref="F30:G30"/>
    <mergeCell ref="J13:K13"/>
    <mergeCell ref="J25:N25"/>
    <mergeCell ref="D46:E46"/>
    <mergeCell ref="F37:G37"/>
    <mergeCell ref="L9:M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C6F0-98F1-4B88-995F-017EBB7556C9}">
  <dimension ref="B3:N4"/>
  <sheetViews>
    <sheetView zoomScale="85" zoomScaleNormal="85" workbookViewId="0">
      <selection activeCell="K9" sqref="K9"/>
    </sheetView>
  </sheetViews>
  <sheetFormatPr defaultRowHeight="14.4"/>
  <sheetData>
    <row r="3" spans="2:14">
      <c r="B3" s="28" t="s">
        <v>1089</v>
      </c>
      <c r="C3" s="21"/>
      <c r="D3" s="21"/>
      <c r="E3" s="21"/>
      <c r="F3" s="21"/>
      <c r="G3" s="21"/>
      <c r="H3" s="21"/>
      <c r="I3" s="21"/>
      <c r="J3" s="21"/>
      <c r="K3" s="21"/>
      <c r="L3" s="21"/>
      <c r="M3" s="21"/>
      <c r="N3" s="21"/>
    </row>
    <row r="4" spans="2:14">
      <c r="B4" s="21"/>
      <c r="C4" s="21"/>
      <c r="D4" s="21"/>
      <c r="E4" s="21"/>
      <c r="F4" s="21"/>
      <c r="G4" s="21"/>
      <c r="H4" s="21"/>
      <c r="I4" s="21"/>
      <c r="J4" s="21"/>
      <c r="K4" s="21"/>
      <c r="L4" s="21"/>
      <c r="M4" s="21"/>
      <c r="N4" s="21"/>
    </row>
  </sheetData>
  <mergeCells count="1">
    <mergeCell ref="B3:N4"/>
  </mergeCells>
  <hyperlinks>
    <hyperlink ref="B3" r:id="rId1" xr:uid="{6CAE2C85-30F1-4417-A191-8C94A8EB3FE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0CAE-1B33-41D9-B661-AA6688735746}">
  <dimension ref="X12"/>
  <sheetViews>
    <sheetView showGridLines="0" tabSelected="1" topLeftCell="A3" zoomScale="69" zoomScaleNormal="100" workbookViewId="0">
      <selection activeCell="L41" sqref="L41"/>
    </sheetView>
  </sheetViews>
  <sheetFormatPr defaultRowHeight="14.4"/>
  <cols>
    <col min="1" max="16384" width="8.88671875" style="10"/>
  </cols>
  <sheetData>
    <row r="12" spans="24:24">
      <c r="X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opLeftCell="A13" zoomScale="57" zoomScaleNormal="85" workbookViewId="0">
      <selection activeCell="F26" sqref="F26"/>
    </sheetView>
  </sheetViews>
  <sheetFormatPr defaultRowHeight="14.4"/>
  <cols>
    <col min="1" max="1" width="9" customWidth="1"/>
    <col min="2" max="2" width="28.44140625" customWidth="1"/>
    <col min="3" max="3" width="36.33203125" customWidth="1"/>
    <col min="4" max="4" width="35.21875" style="5" customWidth="1"/>
    <col min="5" max="5" width="37.33203125" style="5" customWidth="1"/>
    <col min="6" max="6" width="26.6640625" style="5" customWidth="1"/>
    <col min="7" max="7" width="37.77734375" style="5" customWidth="1"/>
    <col min="8" max="8" width="29.21875" customWidth="1"/>
    <col min="9" max="9" width="33.33203125" customWidth="1"/>
    <col min="10" max="10" width="40.44140625" style="5" customWidth="1"/>
    <col min="11" max="11" width="40.6640625" style="16" customWidth="1"/>
    <col min="12" max="12" width="46.6640625" customWidth="1"/>
    <col min="13" max="13" width="63.44140625" style="5" customWidth="1"/>
    <col min="14" max="14" width="72.21875" customWidth="1"/>
    <col min="15" max="15" width="50.88671875" style="5" customWidth="1"/>
    <col min="16" max="16" width="39.88671875" customWidth="1"/>
    <col min="17" max="17" width="77.21875" customWidth="1"/>
    <col min="18" max="18" width="17.44140625" customWidth="1"/>
  </cols>
  <sheetData>
    <row r="1" spans="1:18">
      <c r="A1" s="1" t="s">
        <v>0</v>
      </c>
      <c r="B1" s="2" t="s">
        <v>1053</v>
      </c>
      <c r="C1" s="1" t="s">
        <v>1</v>
      </c>
      <c r="D1" s="6" t="s">
        <v>2</v>
      </c>
      <c r="E1" s="6" t="s">
        <v>3</v>
      </c>
      <c r="F1" s="6" t="s">
        <v>4</v>
      </c>
      <c r="G1" s="6" t="s">
        <v>5</v>
      </c>
      <c r="H1" s="1" t="s">
        <v>6</v>
      </c>
      <c r="I1" s="2" t="s">
        <v>7</v>
      </c>
      <c r="J1" s="6" t="s">
        <v>8</v>
      </c>
      <c r="K1" s="14" t="s">
        <v>9</v>
      </c>
      <c r="L1" s="1" t="s">
        <v>10</v>
      </c>
      <c r="M1" s="6" t="s">
        <v>11</v>
      </c>
      <c r="N1" s="1" t="s">
        <v>12</v>
      </c>
      <c r="O1" s="7" t="s">
        <v>1047</v>
      </c>
      <c r="P1" s="2" t="s">
        <v>1048</v>
      </c>
      <c r="Q1" s="2" t="s">
        <v>1076</v>
      </c>
      <c r="R1" s="2" t="s">
        <v>1077</v>
      </c>
    </row>
    <row r="2" spans="1:18">
      <c r="A2" t="s">
        <v>13</v>
      </c>
      <c r="B2" t="s">
        <v>14</v>
      </c>
      <c r="C2" t="s">
        <v>15</v>
      </c>
      <c r="D2" s="5">
        <v>45951</v>
      </c>
      <c r="E2" s="5">
        <v>45955</v>
      </c>
      <c r="F2" s="5">
        <v>45959</v>
      </c>
      <c r="G2" s="5">
        <v>45964</v>
      </c>
      <c r="H2" t="s">
        <v>16</v>
      </c>
      <c r="I2" t="s">
        <v>17</v>
      </c>
      <c r="J2" s="5">
        <v>45989</v>
      </c>
      <c r="K2" s="15">
        <f t="shared" ref="K2:K8" si="0">IF(OR(D2="",E2=""),"",INT(E2-D2))</f>
        <v>4</v>
      </c>
      <c r="L2">
        <f>IF(OR(E2="", F2=""), "", INT(F2 - E2))</f>
        <v>4</v>
      </c>
      <c r="M2">
        <f>IF(OR(F2="", G2=""), "", INT(G2 - F2))</f>
        <v>5</v>
      </c>
      <c r="N2">
        <v>2</v>
      </c>
      <c r="O2">
        <f>DATEDIF(Table1[[#This Row],[lead_date]], Table1[[#This Row],[delivery_date]], "d")</f>
        <v>13</v>
      </c>
      <c r="P2" t="str">
        <f>IF(AND(Table1[[#This Row],[customer_rating]]&gt;=8, Table1[[#This Row],[Tat_day]]&lt;=7, Table1[[#This Row],[lead_type]]="Hot"), "High", "Normal")</f>
        <v>Normal</v>
      </c>
      <c r="Q2" s="5" t="str">
        <f>IF(Table1[[#This Row],[customer_rating]]&gt;=9,"Promoter",IF(Table1[[#This Row],[customer_rating]]&gt;=7,"Passive","Detractor"))</f>
        <v>Detractor</v>
      </c>
      <c r="R2" s="12"/>
    </row>
    <row r="3" spans="1:18">
      <c r="A3" t="s">
        <v>18</v>
      </c>
      <c r="B3" t="s">
        <v>19</v>
      </c>
      <c r="C3" t="s">
        <v>15</v>
      </c>
      <c r="D3" s="5">
        <v>45941</v>
      </c>
      <c r="E3" s="5">
        <v>45944</v>
      </c>
      <c r="F3" s="5">
        <v>45949</v>
      </c>
      <c r="G3" s="5">
        <v>45956</v>
      </c>
      <c r="H3" t="s">
        <v>16</v>
      </c>
      <c r="I3" t="s">
        <v>17</v>
      </c>
      <c r="J3" s="5">
        <v>45983</v>
      </c>
      <c r="K3" s="15">
        <f t="shared" si="0"/>
        <v>3</v>
      </c>
      <c r="L3">
        <f t="shared" ref="L3:L66" si="1">IF(OR(E3="", F3=""), "", INT(F3 - E3))</f>
        <v>5</v>
      </c>
      <c r="M3">
        <f t="shared" ref="M3:M66" si="2">IF(OR(F3="", G3=""), "", INT(G3 - F3))</f>
        <v>7</v>
      </c>
      <c r="N3">
        <v>8</v>
      </c>
      <c r="O3">
        <f>DATEDIF(Table1[[#This Row],[lead_date]], Table1[[#This Row],[delivery_date]], "d")</f>
        <v>15</v>
      </c>
      <c r="P3" s="5" t="str">
        <f>IF(AND(Table1[[#This Row],[customer_rating]]&gt;=8, Table1[[#This Row],[Tat_day]]&lt;=7, Table1[[#This Row],[lead_type]]="Hot"), "High", "Normal")</f>
        <v>Normal</v>
      </c>
      <c r="Q3" s="5" t="str">
        <f>IF(Table1[[#This Row],[customer_rating]]&gt;=9,"Promoter",IF(Table1[[#This Row],[customer_rating]]&gt;=7,"Passive","Detractor"))</f>
        <v>Passive</v>
      </c>
      <c r="R3" s="5"/>
    </row>
    <row r="4" spans="1:18">
      <c r="A4" t="s">
        <v>20</v>
      </c>
      <c r="B4" t="s">
        <v>21</v>
      </c>
      <c r="C4" t="s">
        <v>22</v>
      </c>
      <c r="D4" s="5">
        <v>45931</v>
      </c>
      <c r="H4" t="s">
        <v>23</v>
      </c>
      <c r="I4" t="s">
        <v>24</v>
      </c>
      <c r="K4" s="15" t="str">
        <f t="shared" si="0"/>
        <v/>
      </c>
      <c r="L4" t="str">
        <f t="shared" si="1"/>
        <v/>
      </c>
      <c r="M4" t="str">
        <f t="shared" si="2"/>
        <v/>
      </c>
      <c r="O4"/>
      <c r="P4" s="5" t="str">
        <f>IF(AND(Table1[[#This Row],[customer_rating]]&gt;=8, Table1[[#This Row],[Tat_day]]&lt;=7, Table1[[#This Row],[lead_type]]="Hot"), "High", "Normal")</f>
        <v>Normal</v>
      </c>
      <c r="Q4" s="5" t="str">
        <f>IF(Table1[[#This Row],[customer_rating]]&gt;=9,"Promoter",IF(Table1[[#This Row],[customer_rating]]&gt;=7,"Passive","Detractor"))</f>
        <v>Detractor</v>
      </c>
      <c r="R4" s="5"/>
    </row>
    <row r="5" spans="1:18">
      <c r="A5" t="s">
        <v>25</v>
      </c>
      <c r="B5" t="s">
        <v>14</v>
      </c>
      <c r="C5" t="s">
        <v>22</v>
      </c>
      <c r="D5" s="5">
        <v>45958</v>
      </c>
      <c r="H5" t="s">
        <v>23</v>
      </c>
      <c r="I5" t="s">
        <v>1028</v>
      </c>
      <c r="K5" s="15" t="str">
        <f t="shared" si="0"/>
        <v/>
      </c>
      <c r="L5" t="str">
        <f t="shared" si="1"/>
        <v/>
      </c>
      <c r="M5" t="str">
        <f t="shared" si="2"/>
        <v/>
      </c>
      <c r="O5"/>
      <c r="P5" s="5" t="str">
        <f>IF(AND(Table1[[#This Row],[customer_rating]]&gt;=8, Table1[[#This Row],[Tat_day]]&lt;=7, Table1[[#This Row],[lead_type]]="Hot"), "High", "Normal")</f>
        <v>Normal</v>
      </c>
      <c r="Q5" s="5" t="str">
        <f>IF(Table1[[#This Row],[customer_rating]]&gt;=9,"Promoter",IF(Table1[[#This Row],[customer_rating]]&gt;=7,"Passive","Detractor"))</f>
        <v>Detractor</v>
      </c>
      <c r="R5" s="5"/>
    </row>
    <row r="6" spans="1:18">
      <c r="A6" t="s">
        <v>27</v>
      </c>
      <c r="B6" t="s">
        <v>19</v>
      </c>
      <c r="C6" t="s">
        <v>15</v>
      </c>
      <c r="D6" s="5">
        <v>45944</v>
      </c>
      <c r="E6" s="5">
        <v>45948</v>
      </c>
      <c r="F6" s="5">
        <v>45951</v>
      </c>
      <c r="G6" s="5">
        <v>45954</v>
      </c>
      <c r="H6" t="s">
        <v>16</v>
      </c>
      <c r="I6" t="s">
        <v>17</v>
      </c>
      <c r="J6" s="5">
        <v>45973</v>
      </c>
      <c r="K6" s="15">
        <f t="shared" si="0"/>
        <v>4</v>
      </c>
      <c r="L6">
        <f t="shared" si="1"/>
        <v>3</v>
      </c>
      <c r="M6">
        <f t="shared" si="2"/>
        <v>3</v>
      </c>
      <c r="N6">
        <v>8</v>
      </c>
      <c r="O6">
        <f>DATEDIF(Table1[[#This Row],[lead_date]], Table1[[#This Row],[delivery_date]], "d")</f>
        <v>10</v>
      </c>
      <c r="P6" s="5" t="str">
        <f>IF(AND(Table1[[#This Row],[customer_rating]]&gt;=8, Table1[[#This Row],[Tat_day]]&lt;=7, Table1[[#This Row],[lead_type]]="Hot"), "High", "Normal")</f>
        <v>Normal</v>
      </c>
      <c r="Q6" s="5" t="str">
        <f>IF(Table1[[#This Row],[customer_rating]]&gt;=9,"Promoter",IF(Table1[[#This Row],[customer_rating]]&gt;=7,"Passive","Detractor"))</f>
        <v>Passive</v>
      </c>
      <c r="R6" s="5"/>
    </row>
    <row r="7" spans="1:18">
      <c r="A7" t="s">
        <v>28</v>
      </c>
      <c r="B7" t="s">
        <v>19</v>
      </c>
      <c r="C7" t="s">
        <v>15</v>
      </c>
      <c r="D7" s="5">
        <v>45957</v>
      </c>
      <c r="E7" s="5">
        <v>45961</v>
      </c>
      <c r="F7" s="5">
        <v>45965</v>
      </c>
      <c r="G7" s="5">
        <v>45968</v>
      </c>
      <c r="H7" t="s">
        <v>16</v>
      </c>
      <c r="I7" t="s">
        <v>17</v>
      </c>
      <c r="J7" s="5">
        <v>45983</v>
      </c>
      <c r="K7" s="15">
        <f t="shared" si="0"/>
        <v>4</v>
      </c>
      <c r="L7">
        <f t="shared" si="1"/>
        <v>4</v>
      </c>
      <c r="M7">
        <f t="shared" si="2"/>
        <v>3</v>
      </c>
      <c r="N7">
        <v>9</v>
      </c>
      <c r="O7">
        <f>DATEDIF(Table1[[#This Row],[lead_date]], Table1[[#This Row],[delivery_date]], "d")</f>
        <v>11</v>
      </c>
      <c r="P7" s="5" t="str">
        <f>IF(AND(Table1[[#This Row],[customer_rating]]&gt;=8, Table1[[#This Row],[Tat_day]]&lt;=7, Table1[[#This Row],[lead_type]]="Hot"), "High", "Normal")</f>
        <v>Normal</v>
      </c>
      <c r="Q7" s="5" t="str">
        <f>IF(Table1[[#This Row],[customer_rating]]&gt;=9,"Promoter",IF(Table1[[#This Row],[customer_rating]]&gt;=7,"Passive","Detractor"))</f>
        <v>Promoter</v>
      </c>
      <c r="R7" s="5"/>
    </row>
    <row r="8" spans="1:18">
      <c r="A8" t="s">
        <v>29</v>
      </c>
      <c r="B8" t="s">
        <v>21</v>
      </c>
      <c r="C8" t="s">
        <v>30</v>
      </c>
      <c r="D8" s="5">
        <v>45946</v>
      </c>
      <c r="E8" s="5">
        <v>45950</v>
      </c>
      <c r="F8" s="5">
        <v>45951</v>
      </c>
      <c r="G8" s="5">
        <v>45958</v>
      </c>
      <c r="H8" t="s">
        <v>16</v>
      </c>
      <c r="I8" t="s">
        <v>17</v>
      </c>
      <c r="J8" s="5">
        <v>45983</v>
      </c>
      <c r="K8" s="15">
        <f t="shared" si="0"/>
        <v>4</v>
      </c>
      <c r="L8">
        <f t="shared" si="1"/>
        <v>1</v>
      </c>
      <c r="M8">
        <f t="shared" si="2"/>
        <v>7</v>
      </c>
      <c r="N8">
        <v>10</v>
      </c>
      <c r="O8">
        <f>DATEDIF(Table1[[#This Row],[lead_date]], Table1[[#This Row],[delivery_date]], "d")</f>
        <v>12</v>
      </c>
      <c r="P8" s="5" t="str">
        <f>IF(AND(Table1[[#This Row],[customer_rating]]&gt;=8, Table1[[#This Row],[Tat_day]]&lt;=7, Table1[[#This Row],[lead_type]]="Hot"), "High", "Normal")</f>
        <v>Normal</v>
      </c>
      <c r="Q8" s="5" t="str">
        <f>IF(Table1[[#This Row],[customer_rating]]&gt;=9,"Promoter",IF(Table1[[#This Row],[customer_rating]]&gt;=7,"Passive","Detractor"))</f>
        <v>Promoter</v>
      </c>
      <c r="R8" s="5"/>
    </row>
    <row r="9" spans="1:18">
      <c r="A9" t="s">
        <v>31</v>
      </c>
      <c r="B9" t="s">
        <v>32</v>
      </c>
      <c r="C9" t="s">
        <v>15</v>
      </c>
      <c r="D9" s="5">
        <v>45934</v>
      </c>
      <c r="E9" s="5">
        <v>45935</v>
      </c>
      <c r="F9" s="5">
        <v>45938</v>
      </c>
      <c r="G9" s="5">
        <v>45945</v>
      </c>
      <c r="H9" t="s">
        <v>23</v>
      </c>
      <c r="I9" t="s">
        <v>33</v>
      </c>
      <c r="K9" s="15">
        <f t="shared" ref="K9:K72" si="3">IF(OR(D9="",E9=""),"",INT(E9-D9))</f>
        <v>1</v>
      </c>
      <c r="L9">
        <f t="shared" si="1"/>
        <v>3</v>
      </c>
      <c r="M9">
        <f t="shared" si="2"/>
        <v>7</v>
      </c>
      <c r="O9">
        <f>DATEDIF(Table1[[#This Row],[lead_date]], Table1[[#This Row],[delivery_date]], "d")</f>
        <v>11</v>
      </c>
      <c r="P9" s="5" t="str">
        <f>IF(AND(Table1[[#This Row],[customer_rating]]&gt;=8, Table1[[#This Row],[Tat_day]]&lt;=7, Table1[[#This Row],[lead_type]]="Hot"), "High", "Normal")</f>
        <v>Normal</v>
      </c>
      <c r="Q9" s="5" t="str">
        <f>IF(Table1[[#This Row],[customer_rating]]&gt;=9,"Promoter",IF(Table1[[#This Row],[customer_rating]]&gt;=7,"Passive","Detractor"))</f>
        <v>Detractor</v>
      </c>
      <c r="R9" s="5"/>
    </row>
    <row r="10" spans="1:18">
      <c r="A10" t="s">
        <v>34</v>
      </c>
      <c r="B10" t="s">
        <v>14</v>
      </c>
      <c r="C10" t="s">
        <v>30</v>
      </c>
      <c r="D10" s="5">
        <v>45944</v>
      </c>
      <c r="E10" s="5">
        <v>45947</v>
      </c>
      <c r="F10" s="5">
        <v>45950</v>
      </c>
      <c r="G10" s="5">
        <v>45955</v>
      </c>
      <c r="H10" t="s">
        <v>16</v>
      </c>
      <c r="I10" t="s">
        <v>17</v>
      </c>
      <c r="J10" s="5">
        <v>45966</v>
      </c>
      <c r="K10" s="15">
        <f t="shared" si="3"/>
        <v>3</v>
      </c>
      <c r="L10">
        <f t="shared" si="1"/>
        <v>3</v>
      </c>
      <c r="M10">
        <f t="shared" si="2"/>
        <v>5</v>
      </c>
      <c r="N10">
        <v>8</v>
      </c>
      <c r="O10">
        <f>DATEDIF(Table1[[#This Row],[lead_date]], Table1[[#This Row],[delivery_date]], "d")</f>
        <v>11</v>
      </c>
      <c r="P10" s="5" t="str">
        <f>IF(AND(Table1[[#This Row],[customer_rating]]&gt;=8, Table1[[#This Row],[Tat_day]]&lt;=7, Table1[[#This Row],[lead_type]]="Hot"), "High", "Normal")</f>
        <v>Normal</v>
      </c>
      <c r="Q10" s="5" t="str">
        <f>IF(Table1[[#This Row],[customer_rating]]&gt;=9,"Promoter",IF(Table1[[#This Row],[customer_rating]]&gt;=7,"Passive","Detractor"))</f>
        <v>Passive</v>
      </c>
      <c r="R10" s="5"/>
    </row>
    <row r="11" spans="1:18">
      <c r="A11" t="s">
        <v>35</v>
      </c>
      <c r="B11" t="s">
        <v>21</v>
      </c>
      <c r="C11" t="s">
        <v>15</v>
      </c>
      <c r="D11" s="5">
        <v>45961</v>
      </c>
      <c r="E11" s="5">
        <v>45965</v>
      </c>
      <c r="F11" s="5">
        <v>45966</v>
      </c>
      <c r="G11" s="5">
        <v>45971</v>
      </c>
      <c r="H11" t="s">
        <v>16</v>
      </c>
      <c r="I11" t="s">
        <v>17</v>
      </c>
      <c r="J11" s="5">
        <v>45983</v>
      </c>
      <c r="K11" s="15">
        <f t="shared" si="3"/>
        <v>4</v>
      </c>
      <c r="L11">
        <f t="shared" si="1"/>
        <v>1</v>
      </c>
      <c r="M11">
        <f t="shared" si="2"/>
        <v>5</v>
      </c>
      <c r="N11">
        <v>6</v>
      </c>
      <c r="O11">
        <f>DATEDIF(Table1[[#This Row],[lead_date]], Table1[[#This Row],[delivery_date]], "d")</f>
        <v>10</v>
      </c>
      <c r="P11" s="5" t="str">
        <f>IF(AND(Table1[[#This Row],[customer_rating]]&gt;=8, Table1[[#This Row],[Tat_day]]&lt;=7, Table1[[#This Row],[lead_type]]="Hot"), "High", "Normal")</f>
        <v>Normal</v>
      </c>
      <c r="Q11" s="5" t="str">
        <f>IF(Table1[[#This Row],[customer_rating]]&gt;=9,"Promoter",IF(Table1[[#This Row],[customer_rating]]&gt;=7,"Passive","Detractor"))</f>
        <v>Detractor</v>
      </c>
      <c r="R11" s="5"/>
    </row>
    <row r="12" spans="1:18">
      <c r="A12" t="s">
        <v>36</v>
      </c>
      <c r="B12" t="s">
        <v>14</v>
      </c>
      <c r="C12" t="s">
        <v>22</v>
      </c>
      <c r="D12" s="5">
        <v>45942</v>
      </c>
      <c r="H12" t="s">
        <v>23</v>
      </c>
      <c r="I12" t="s">
        <v>24</v>
      </c>
      <c r="K12" s="15" t="str">
        <f t="shared" si="3"/>
        <v/>
      </c>
      <c r="L12" t="str">
        <f t="shared" si="1"/>
        <v/>
      </c>
      <c r="M12" t="str">
        <f t="shared" si="2"/>
        <v/>
      </c>
      <c r="O12"/>
      <c r="P12" s="5" t="str">
        <f>IF(AND(Table1[[#This Row],[customer_rating]]&gt;=8, Table1[[#This Row],[Tat_day]]&lt;=7, Table1[[#This Row],[lead_type]]="Hot"), "High", "Normal")</f>
        <v>Normal</v>
      </c>
      <c r="Q12" s="5" t="str">
        <f>IF(Table1[[#This Row],[customer_rating]]&gt;=9,"Promoter",IF(Table1[[#This Row],[customer_rating]]&gt;=7,"Passive","Detractor"))</f>
        <v>Detractor</v>
      </c>
      <c r="R12" s="5"/>
    </row>
    <row r="13" spans="1:18">
      <c r="A13" t="s">
        <v>37</v>
      </c>
      <c r="B13" t="s">
        <v>19</v>
      </c>
      <c r="C13" t="s">
        <v>15</v>
      </c>
      <c r="D13" s="5">
        <v>45951</v>
      </c>
      <c r="E13" s="5">
        <v>45954</v>
      </c>
      <c r="F13" s="5">
        <v>45958</v>
      </c>
      <c r="G13" s="5">
        <v>45960</v>
      </c>
      <c r="H13" t="s">
        <v>16</v>
      </c>
      <c r="I13" t="s">
        <v>17</v>
      </c>
      <c r="J13" s="5">
        <v>45971</v>
      </c>
      <c r="K13" s="15">
        <f t="shared" si="3"/>
        <v>3</v>
      </c>
      <c r="L13">
        <f t="shared" si="1"/>
        <v>4</v>
      </c>
      <c r="M13">
        <f t="shared" si="2"/>
        <v>2</v>
      </c>
      <c r="N13">
        <v>0</v>
      </c>
      <c r="O13">
        <f>DATEDIF(Table1[[#This Row],[lead_date]], Table1[[#This Row],[delivery_date]], "d")</f>
        <v>9</v>
      </c>
      <c r="P13" s="5" t="str">
        <f>IF(AND(Table1[[#This Row],[customer_rating]]&gt;=8, Table1[[#This Row],[Tat_day]]&lt;=7, Table1[[#This Row],[lead_type]]="Hot"), "High", "Normal")</f>
        <v>Normal</v>
      </c>
      <c r="Q13" s="5" t="str">
        <f>IF(Table1[[#This Row],[customer_rating]]&gt;=9,"Promoter",IF(Table1[[#This Row],[customer_rating]]&gt;=7,"Passive","Detractor"))</f>
        <v>Detractor</v>
      </c>
      <c r="R13" s="5"/>
    </row>
    <row r="14" spans="1:18">
      <c r="A14" t="s">
        <v>38</v>
      </c>
      <c r="B14" t="s">
        <v>19</v>
      </c>
      <c r="C14" t="s">
        <v>15</v>
      </c>
      <c r="E14" s="5">
        <v>45962</v>
      </c>
      <c r="F14" s="5">
        <v>45967</v>
      </c>
      <c r="G14" s="5">
        <v>45974</v>
      </c>
      <c r="H14" t="s">
        <v>16</v>
      </c>
      <c r="I14" t="s">
        <v>17</v>
      </c>
      <c r="J14" s="5">
        <v>45991</v>
      </c>
      <c r="K14" s="15" t="str">
        <f t="shared" si="3"/>
        <v/>
      </c>
      <c r="L14">
        <f t="shared" si="1"/>
        <v>5</v>
      </c>
      <c r="M14">
        <f t="shared" si="2"/>
        <v>7</v>
      </c>
      <c r="N14">
        <v>10</v>
      </c>
      <c r="O14">
        <f>DATEDIF(Table1[[#This Row],[lead_date]], Table1[[#This Row],[delivery_date]], "d")</f>
        <v>45974</v>
      </c>
      <c r="P14" s="5" t="str">
        <f>IF(AND(Table1[[#This Row],[customer_rating]]&gt;=8, Table1[[#This Row],[Tat_day]]&lt;=7, Table1[[#This Row],[lead_type]]="Hot"), "High", "Normal")</f>
        <v>Normal</v>
      </c>
      <c r="Q14" s="5" t="str">
        <f>IF(Table1[[#This Row],[customer_rating]]&gt;=9,"Promoter",IF(Table1[[#This Row],[customer_rating]]&gt;=7,"Passive","Detractor"))</f>
        <v>Promoter</v>
      </c>
      <c r="R14" s="5"/>
    </row>
    <row r="15" spans="1:18">
      <c r="A15" t="s">
        <v>39</v>
      </c>
      <c r="B15" t="s">
        <v>32</v>
      </c>
      <c r="C15" t="s">
        <v>15</v>
      </c>
      <c r="D15" s="5">
        <v>45957</v>
      </c>
      <c r="E15" s="5">
        <v>45960</v>
      </c>
      <c r="F15" s="5">
        <v>45963</v>
      </c>
      <c r="G15" s="5">
        <v>45969</v>
      </c>
      <c r="H15" t="s">
        <v>16</v>
      </c>
      <c r="I15" t="s">
        <v>17</v>
      </c>
      <c r="J15" s="5">
        <v>45998</v>
      </c>
      <c r="K15" s="15">
        <f t="shared" si="3"/>
        <v>3</v>
      </c>
      <c r="L15">
        <f t="shared" si="1"/>
        <v>3</v>
      </c>
      <c r="M15">
        <f t="shared" si="2"/>
        <v>6</v>
      </c>
      <c r="N15">
        <v>2</v>
      </c>
      <c r="O15">
        <f>DATEDIF(Table1[[#This Row],[lead_date]], Table1[[#This Row],[delivery_date]], "d")</f>
        <v>12</v>
      </c>
      <c r="P15" s="5" t="str">
        <f>IF(AND(Table1[[#This Row],[customer_rating]]&gt;=8, Table1[[#This Row],[Tat_day]]&lt;=7, Table1[[#This Row],[lead_type]]="Hot"), "High", "Normal")</f>
        <v>Normal</v>
      </c>
      <c r="Q15" s="5" t="str">
        <f>IF(Table1[[#This Row],[customer_rating]]&gt;=9,"Promoter",IF(Table1[[#This Row],[customer_rating]]&gt;=7,"Passive","Detractor"))</f>
        <v>Detractor</v>
      </c>
      <c r="R15" s="5"/>
    </row>
    <row r="16" spans="1:18">
      <c r="A16" t="s">
        <v>40</v>
      </c>
      <c r="B16" t="s">
        <v>19</v>
      </c>
      <c r="C16" t="s">
        <v>30</v>
      </c>
      <c r="D16" s="5">
        <v>45945</v>
      </c>
      <c r="E16" s="5">
        <v>45947</v>
      </c>
      <c r="F16" s="5">
        <v>45948</v>
      </c>
      <c r="G16" s="5">
        <v>45951</v>
      </c>
      <c r="H16" t="s">
        <v>23</v>
      </c>
      <c r="I16" t="s">
        <v>33</v>
      </c>
      <c r="K16" s="15">
        <f t="shared" si="3"/>
        <v>2</v>
      </c>
      <c r="L16">
        <f t="shared" si="1"/>
        <v>1</v>
      </c>
      <c r="M16">
        <f t="shared" si="2"/>
        <v>3</v>
      </c>
      <c r="O16">
        <f>DATEDIF(Table1[[#This Row],[lead_date]], Table1[[#This Row],[delivery_date]], "d")</f>
        <v>6</v>
      </c>
      <c r="P16" s="5" t="str">
        <f>IF(AND(Table1[[#This Row],[customer_rating]]&gt;=8, Table1[[#This Row],[Tat_day]]&lt;=7, Table1[[#This Row],[lead_type]]="Hot"), "High", "Normal")</f>
        <v>Normal</v>
      </c>
      <c r="Q16" s="5" t="str">
        <f>IF(Table1[[#This Row],[customer_rating]]&gt;=9,"Promoter",IF(Table1[[#This Row],[customer_rating]]&gt;=7,"Passive","Detractor"))</f>
        <v>Detractor</v>
      </c>
      <c r="R16" s="5"/>
    </row>
    <row r="17" spans="1:18">
      <c r="A17" t="s">
        <v>41</v>
      </c>
      <c r="B17" t="s">
        <v>19</v>
      </c>
      <c r="C17" t="s">
        <v>15</v>
      </c>
      <c r="D17" s="5">
        <v>45953</v>
      </c>
      <c r="E17" s="5">
        <v>45957</v>
      </c>
      <c r="F17" s="5">
        <v>45962</v>
      </c>
      <c r="G17" s="5">
        <v>45967</v>
      </c>
      <c r="H17" t="s">
        <v>16</v>
      </c>
      <c r="I17" t="s">
        <v>17</v>
      </c>
      <c r="J17" s="5">
        <v>45984</v>
      </c>
      <c r="K17" s="15">
        <f t="shared" si="3"/>
        <v>4</v>
      </c>
      <c r="L17">
        <f t="shared" si="1"/>
        <v>5</v>
      </c>
      <c r="M17">
        <f t="shared" si="2"/>
        <v>5</v>
      </c>
      <c r="N17">
        <v>8</v>
      </c>
      <c r="O17">
        <f>DATEDIF(Table1[[#This Row],[lead_date]], Table1[[#This Row],[delivery_date]], "d")</f>
        <v>14</v>
      </c>
      <c r="P17" s="5" t="str">
        <f>IF(AND(Table1[[#This Row],[customer_rating]]&gt;=8, Table1[[#This Row],[Tat_day]]&lt;=7, Table1[[#This Row],[lead_type]]="Hot"), "High", "Normal")</f>
        <v>Normal</v>
      </c>
      <c r="Q17" s="5" t="str">
        <f>IF(Table1[[#This Row],[customer_rating]]&gt;=9,"Promoter",IF(Table1[[#This Row],[customer_rating]]&gt;=7,"Passive","Detractor"))</f>
        <v>Passive</v>
      </c>
      <c r="R17" s="5"/>
    </row>
    <row r="18" spans="1:18">
      <c r="A18" t="s">
        <v>42</v>
      </c>
      <c r="B18" t="s">
        <v>21</v>
      </c>
      <c r="C18" t="s">
        <v>30</v>
      </c>
      <c r="D18" s="5">
        <v>45935</v>
      </c>
      <c r="E18" s="5">
        <v>45936</v>
      </c>
      <c r="F18" s="5">
        <v>45940</v>
      </c>
      <c r="G18" s="5">
        <v>45946</v>
      </c>
      <c r="H18" t="s">
        <v>16</v>
      </c>
      <c r="I18" t="s">
        <v>17</v>
      </c>
      <c r="J18" s="5">
        <v>45956</v>
      </c>
      <c r="K18" s="15">
        <f t="shared" si="3"/>
        <v>1</v>
      </c>
      <c r="L18">
        <f t="shared" si="1"/>
        <v>4</v>
      </c>
      <c r="M18">
        <f t="shared" si="2"/>
        <v>6</v>
      </c>
      <c r="N18">
        <v>2</v>
      </c>
      <c r="O18">
        <f>DATEDIF(Table1[[#This Row],[lead_date]], Table1[[#This Row],[delivery_date]], "d")</f>
        <v>11</v>
      </c>
      <c r="P18" s="5" t="str">
        <f>IF(AND(Table1[[#This Row],[customer_rating]]&gt;=8, Table1[[#This Row],[Tat_day]]&lt;=7, Table1[[#This Row],[lead_type]]="Hot"), "High", "Normal")</f>
        <v>Normal</v>
      </c>
      <c r="Q18" s="5" t="str">
        <f>IF(Table1[[#This Row],[customer_rating]]&gt;=9,"Promoter",IF(Table1[[#This Row],[customer_rating]]&gt;=7,"Passive","Detractor"))</f>
        <v>Detractor</v>
      </c>
      <c r="R18" s="5"/>
    </row>
    <row r="19" spans="1:18">
      <c r="A19" t="s">
        <v>43</v>
      </c>
      <c r="B19" t="s">
        <v>14</v>
      </c>
      <c r="C19" t="s">
        <v>30</v>
      </c>
      <c r="D19" s="5">
        <v>45944</v>
      </c>
      <c r="E19" s="5">
        <v>45945</v>
      </c>
      <c r="F19" s="5">
        <v>45948</v>
      </c>
      <c r="G19" s="5">
        <v>45953</v>
      </c>
      <c r="H19" t="s">
        <v>16</v>
      </c>
      <c r="I19" t="s">
        <v>17</v>
      </c>
      <c r="J19" s="5">
        <v>45979</v>
      </c>
      <c r="K19" s="15">
        <f t="shared" si="3"/>
        <v>1</v>
      </c>
      <c r="L19">
        <f t="shared" si="1"/>
        <v>3</v>
      </c>
      <c r="M19">
        <f t="shared" si="2"/>
        <v>5</v>
      </c>
      <c r="N19">
        <v>0</v>
      </c>
      <c r="O19">
        <f>DATEDIF(Table1[[#This Row],[lead_date]], Table1[[#This Row],[delivery_date]], "d")</f>
        <v>9</v>
      </c>
      <c r="P19" s="5" t="str">
        <f>IF(AND(Table1[[#This Row],[customer_rating]]&gt;=8, Table1[[#This Row],[Tat_day]]&lt;=7, Table1[[#This Row],[lead_type]]="Hot"), "High", "Normal")</f>
        <v>Normal</v>
      </c>
      <c r="Q19" s="5" t="str">
        <f>IF(Table1[[#This Row],[customer_rating]]&gt;=9,"Promoter",IF(Table1[[#This Row],[customer_rating]]&gt;=7,"Passive","Detractor"))</f>
        <v>Detractor</v>
      </c>
      <c r="R19" s="5"/>
    </row>
    <row r="20" spans="1:18">
      <c r="A20" t="s">
        <v>44</v>
      </c>
      <c r="B20" t="s">
        <v>14</v>
      </c>
      <c r="C20" t="s">
        <v>15</v>
      </c>
      <c r="D20" s="5">
        <v>45936</v>
      </c>
      <c r="E20" s="5">
        <v>45937</v>
      </c>
      <c r="F20" s="5">
        <v>45942</v>
      </c>
      <c r="G20" s="5">
        <v>45947</v>
      </c>
      <c r="H20" t="s">
        <v>16</v>
      </c>
      <c r="I20" t="s">
        <v>17</v>
      </c>
      <c r="J20" s="5">
        <v>45972</v>
      </c>
      <c r="K20" s="15">
        <f t="shared" si="3"/>
        <v>1</v>
      </c>
      <c r="L20">
        <f t="shared" si="1"/>
        <v>5</v>
      </c>
      <c r="M20">
        <f t="shared" si="2"/>
        <v>5</v>
      </c>
      <c r="N20">
        <v>5</v>
      </c>
      <c r="O20">
        <f>DATEDIF(Table1[[#This Row],[lead_date]], Table1[[#This Row],[delivery_date]], "d")</f>
        <v>11</v>
      </c>
      <c r="P20" s="5" t="str">
        <f>IF(AND(Table1[[#This Row],[customer_rating]]&gt;=8, Table1[[#This Row],[Tat_day]]&lt;=7, Table1[[#This Row],[lead_type]]="Hot"), "High", "Normal")</f>
        <v>Normal</v>
      </c>
      <c r="Q20" s="5" t="str">
        <f>IF(Table1[[#This Row],[customer_rating]]&gt;=9,"Promoter",IF(Table1[[#This Row],[customer_rating]]&gt;=7,"Passive","Detractor"))</f>
        <v>Detractor</v>
      </c>
      <c r="R20" s="5"/>
    </row>
    <row r="21" spans="1:18">
      <c r="A21" t="s">
        <v>45</v>
      </c>
      <c r="B21" t="s">
        <v>21</v>
      </c>
      <c r="C21" t="s">
        <v>15</v>
      </c>
      <c r="D21" s="5">
        <v>45954</v>
      </c>
      <c r="E21" s="5">
        <v>45955</v>
      </c>
      <c r="F21" s="5">
        <v>45960</v>
      </c>
      <c r="G21" s="5">
        <v>45962</v>
      </c>
      <c r="H21" t="s">
        <v>16</v>
      </c>
      <c r="I21" t="s">
        <v>17</v>
      </c>
      <c r="J21" s="5">
        <v>45972</v>
      </c>
      <c r="K21" s="15">
        <f t="shared" si="3"/>
        <v>1</v>
      </c>
      <c r="L21">
        <f t="shared" si="1"/>
        <v>5</v>
      </c>
      <c r="M21">
        <f t="shared" si="2"/>
        <v>2</v>
      </c>
      <c r="N21">
        <v>4</v>
      </c>
      <c r="O21">
        <f>DATEDIF(Table1[[#This Row],[lead_date]], Table1[[#This Row],[delivery_date]], "d")</f>
        <v>8</v>
      </c>
      <c r="P21" s="5" t="str">
        <f>IF(AND(Table1[[#This Row],[customer_rating]]&gt;=8, Table1[[#This Row],[Tat_day]]&lt;=7, Table1[[#This Row],[lead_type]]="Hot"), "High", "Normal")</f>
        <v>Normal</v>
      </c>
      <c r="Q21" s="5" t="str">
        <f>IF(Table1[[#This Row],[customer_rating]]&gt;=9,"Promoter",IF(Table1[[#This Row],[customer_rating]]&gt;=7,"Passive","Detractor"))</f>
        <v>Detractor</v>
      </c>
      <c r="R21" s="5"/>
    </row>
    <row r="22" spans="1:18">
      <c r="A22" t="s">
        <v>46</v>
      </c>
      <c r="B22" t="s">
        <v>32</v>
      </c>
      <c r="C22" t="s">
        <v>15</v>
      </c>
      <c r="D22" s="5">
        <v>45947</v>
      </c>
      <c r="E22" s="5">
        <v>45951</v>
      </c>
      <c r="F22" s="5">
        <v>45953</v>
      </c>
      <c r="G22" s="5">
        <v>45960</v>
      </c>
      <c r="H22" t="s">
        <v>16</v>
      </c>
      <c r="I22" t="s">
        <v>17</v>
      </c>
      <c r="J22" s="5">
        <v>45980</v>
      </c>
      <c r="K22" s="15">
        <f t="shared" si="3"/>
        <v>4</v>
      </c>
      <c r="L22">
        <f t="shared" si="1"/>
        <v>2</v>
      </c>
      <c r="M22">
        <f t="shared" si="2"/>
        <v>7</v>
      </c>
      <c r="N22">
        <v>6</v>
      </c>
      <c r="O22">
        <f>DATEDIF(Table1[[#This Row],[lead_date]], Table1[[#This Row],[delivery_date]], "d")</f>
        <v>13</v>
      </c>
      <c r="P22" s="5" t="str">
        <f>IF(AND(Table1[[#This Row],[customer_rating]]&gt;=8, Table1[[#This Row],[Tat_day]]&lt;=7, Table1[[#This Row],[lead_type]]="Hot"), "High", "Normal")</f>
        <v>Normal</v>
      </c>
      <c r="Q22" s="5" t="str">
        <f>IF(Table1[[#This Row],[customer_rating]]&gt;=9,"Promoter",IF(Table1[[#This Row],[customer_rating]]&gt;=7,"Passive","Detractor"))</f>
        <v>Detractor</v>
      </c>
      <c r="R22" s="5"/>
    </row>
    <row r="23" spans="1:18">
      <c r="A23" t="s">
        <v>47</v>
      </c>
      <c r="B23" t="s">
        <v>14</v>
      </c>
      <c r="C23" t="s">
        <v>30</v>
      </c>
      <c r="D23" s="5">
        <v>45961</v>
      </c>
      <c r="E23" s="5">
        <v>45962</v>
      </c>
      <c r="F23" s="5">
        <v>45963</v>
      </c>
      <c r="G23" s="5">
        <v>45966</v>
      </c>
      <c r="H23" t="s">
        <v>16</v>
      </c>
      <c r="I23" t="s">
        <v>17</v>
      </c>
      <c r="J23" s="5">
        <v>45995</v>
      </c>
      <c r="K23" s="15">
        <f t="shared" si="3"/>
        <v>1</v>
      </c>
      <c r="L23">
        <f t="shared" si="1"/>
        <v>1</v>
      </c>
      <c r="M23">
        <f t="shared" si="2"/>
        <v>3</v>
      </c>
      <c r="N23">
        <v>3</v>
      </c>
      <c r="O23">
        <f>DATEDIF(Table1[[#This Row],[lead_date]], Table1[[#This Row],[delivery_date]], "d")</f>
        <v>5</v>
      </c>
      <c r="P23" s="5" t="str">
        <f>IF(AND(Table1[[#This Row],[customer_rating]]&gt;=8, Table1[[#This Row],[Tat_day]]&lt;=7, Table1[[#This Row],[lead_type]]="Hot"), "High", "Normal")</f>
        <v>Normal</v>
      </c>
      <c r="Q23" s="5" t="str">
        <f>IF(Table1[[#This Row],[customer_rating]]&gt;=9,"Promoter",IF(Table1[[#This Row],[customer_rating]]&gt;=7,"Passive","Detractor"))</f>
        <v>Detractor</v>
      </c>
      <c r="R23" s="5"/>
    </row>
    <row r="24" spans="1:18">
      <c r="A24" t="s">
        <v>48</v>
      </c>
      <c r="B24" t="s">
        <v>19</v>
      </c>
      <c r="C24" t="s">
        <v>15</v>
      </c>
      <c r="D24" s="5">
        <v>45951</v>
      </c>
      <c r="E24" s="5">
        <v>45954</v>
      </c>
      <c r="F24" s="5">
        <v>45959</v>
      </c>
      <c r="G24" s="5">
        <v>45962</v>
      </c>
      <c r="H24" t="s">
        <v>16</v>
      </c>
      <c r="I24" t="s">
        <v>17</v>
      </c>
      <c r="J24" s="5">
        <v>45978</v>
      </c>
      <c r="K24" s="15">
        <f t="shared" si="3"/>
        <v>3</v>
      </c>
      <c r="L24">
        <f t="shared" si="1"/>
        <v>5</v>
      </c>
      <c r="M24">
        <f t="shared" si="2"/>
        <v>3</v>
      </c>
      <c r="N24">
        <v>8</v>
      </c>
      <c r="O24">
        <f>DATEDIF(Table1[[#This Row],[lead_date]], Table1[[#This Row],[delivery_date]], "d")</f>
        <v>11</v>
      </c>
      <c r="P24" s="5" t="str">
        <f>IF(AND(Table1[[#This Row],[customer_rating]]&gt;=8, Table1[[#This Row],[Tat_day]]&lt;=7, Table1[[#This Row],[lead_type]]="Hot"), "High", "Normal")</f>
        <v>Normal</v>
      </c>
      <c r="Q24" s="5" t="str">
        <f>IF(Table1[[#This Row],[customer_rating]]&gt;=9,"Promoter",IF(Table1[[#This Row],[customer_rating]]&gt;=7,"Passive","Detractor"))</f>
        <v>Passive</v>
      </c>
      <c r="R24" s="5"/>
    </row>
    <row r="25" spans="1:18">
      <c r="A25" t="s">
        <v>49</v>
      </c>
      <c r="B25" t="s">
        <v>14</v>
      </c>
      <c r="C25" t="s">
        <v>15</v>
      </c>
      <c r="D25" s="5">
        <v>45939</v>
      </c>
      <c r="E25" s="5">
        <v>45941</v>
      </c>
      <c r="F25" s="5">
        <v>45945</v>
      </c>
      <c r="G25" s="5">
        <v>45949</v>
      </c>
      <c r="H25" t="s">
        <v>16</v>
      </c>
      <c r="I25" t="s">
        <v>17</v>
      </c>
      <c r="J25" s="5">
        <v>45963</v>
      </c>
      <c r="K25" s="15">
        <f t="shared" si="3"/>
        <v>2</v>
      </c>
      <c r="L25">
        <f t="shared" si="1"/>
        <v>4</v>
      </c>
      <c r="M25">
        <f t="shared" si="2"/>
        <v>4</v>
      </c>
      <c r="N25">
        <v>3</v>
      </c>
      <c r="O25">
        <f>DATEDIF(Table1[[#This Row],[lead_date]], Table1[[#This Row],[delivery_date]], "d")</f>
        <v>10</v>
      </c>
      <c r="P25" s="5" t="str">
        <f>IF(AND(Table1[[#This Row],[customer_rating]]&gt;=8, Table1[[#This Row],[Tat_day]]&lt;=7, Table1[[#This Row],[lead_type]]="Hot"), "High", "Normal")</f>
        <v>Normal</v>
      </c>
      <c r="Q25" s="5" t="str">
        <f>IF(Table1[[#This Row],[customer_rating]]&gt;=9,"Promoter",IF(Table1[[#This Row],[customer_rating]]&gt;=7,"Passive","Detractor"))</f>
        <v>Detractor</v>
      </c>
      <c r="R25" s="5"/>
    </row>
    <row r="26" spans="1:18">
      <c r="A26" t="s">
        <v>50</v>
      </c>
      <c r="B26" t="s">
        <v>19</v>
      </c>
      <c r="C26" t="s">
        <v>15</v>
      </c>
      <c r="D26" s="5">
        <v>45950</v>
      </c>
      <c r="E26" s="5">
        <v>45955</v>
      </c>
      <c r="F26" s="5">
        <v>45957</v>
      </c>
      <c r="G26" s="5">
        <v>45964</v>
      </c>
      <c r="H26" t="s">
        <v>16</v>
      </c>
      <c r="I26" t="s">
        <v>17</v>
      </c>
      <c r="J26" s="5">
        <v>45984</v>
      </c>
      <c r="K26" s="15">
        <f t="shared" si="3"/>
        <v>5</v>
      </c>
      <c r="L26">
        <f t="shared" si="1"/>
        <v>2</v>
      </c>
      <c r="M26">
        <f t="shared" si="2"/>
        <v>7</v>
      </c>
      <c r="N26">
        <v>1</v>
      </c>
      <c r="O26">
        <f>DATEDIF(Table1[[#This Row],[lead_date]], Table1[[#This Row],[delivery_date]], "d")</f>
        <v>14</v>
      </c>
      <c r="P26" s="5" t="str">
        <f>IF(AND(Table1[[#This Row],[customer_rating]]&gt;=8, Table1[[#This Row],[Tat_day]]&lt;=7, Table1[[#This Row],[lead_type]]="Hot"), "High", "Normal")</f>
        <v>Normal</v>
      </c>
      <c r="Q26" s="5" t="str">
        <f>IF(Table1[[#This Row],[customer_rating]]&gt;=9,"Promoter",IF(Table1[[#This Row],[customer_rating]]&gt;=7,"Passive","Detractor"))</f>
        <v>Detractor</v>
      </c>
      <c r="R26" s="5"/>
    </row>
    <row r="27" spans="1:18">
      <c r="A27" t="s">
        <v>51</v>
      </c>
      <c r="B27" t="s">
        <v>32</v>
      </c>
      <c r="C27" t="s">
        <v>15</v>
      </c>
      <c r="D27" s="5">
        <v>45956</v>
      </c>
      <c r="E27" s="5">
        <v>45957</v>
      </c>
      <c r="F27" s="5">
        <v>45962</v>
      </c>
      <c r="G27" s="5">
        <v>45964</v>
      </c>
      <c r="H27" t="s">
        <v>16</v>
      </c>
      <c r="I27" t="s">
        <v>17</v>
      </c>
      <c r="J27" s="5">
        <v>45979</v>
      </c>
      <c r="K27" s="15">
        <f t="shared" si="3"/>
        <v>1</v>
      </c>
      <c r="L27">
        <f t="shared" si="1"/>
        <v>5</v>
      </c>
      <c r="M27">
        <f t="shared" si="2"/>
        <v>2</v>
      </c>
      <c r="N27">
        <v>4</v>
      </c>
      <c r="O27">
        <f>DATEDIF(Table1[[#This Row],[lead_date]], Table1[[#This Row],[delivery_date]], "d")</f>
        <v>8</v>
      </c>
      <c r="P27" s="5" t="str">
        <f>IF(AND(Table1[[#This Row],[customer_rating]]&gt;=8, Table1[[#This Row],[Tat_day]]&lt;=7, Table1[[#This Row],[lead_type]]="Hot"), "High", "Normal")</f>
        <v>Normal</v>
      </c>
      <c r="Q27" s="5" t="str">
        <f>IF(Table1[[#This Row],[customer_rating]]&gt;=9,"Promoter",IF(Table1[[#This Row],[customer_rating]]&gt;=7,"Passive","Detractor"))</f>
        <v>Detractor</v>
      </c>
      <c r="R27" s="5"/>
    </row>
    <row r="28" spans="1:18">
      <c r="A28" t="s">
        <v>52</v>
      </c>
      <c r="B28" t="s">
        <v>21</v>
      </c>
      <c r="C28" t="s">
        <v>15</v>
      </c>
      <c r="D28" s="5">
        <v>45960</v>
      </c>
      <c r="E28" s="5">
        <v>45965</v>
      </c>
      <c r="F28" s="5">
        <v>45970</v>
      </c>
      <c r="G28" s="5">
        <v>45976</v>
      </c>
      <c r="H28" t="s">
        <v>16</v>
      </c>
      <c r="I28" t="s">
        <v>17</v>
      </c>
      <c r="J28" s="5">
        <v>45996</v>
      </c>
      <c r="K28" s="15">
        <f t="shared" si="3"/>
        <v>5</v>
      </c>
      <c r="L28">
        <f t="shared" si="1"/>
        <v>5</v>
      </c>
      <c r="M28">
        <f t="shared" si="2"/>
        <v>6</v>
      </c>
      <c r="N28">
        <v>1</v>
      </c>
      <c r="O28">
        <f>DATEDIF(Table1[[#This Row],[lead_date]], Table1[[#This Row],[delivery_date]], "d")</f>
        <v>16</v>
      </c>
      <c r="P28" s="5" t="str">
        <f>IF(AND(Table1[[#This Row],[customer_rating]]&gt;=8, Table1[[#This Row],[Tat_day]]&lt;=7, Table1[[#This Row],[lead_type]]="Hot"), "High", "Normal")</f>
        <v>Normal</v>
      </c>
      <c r="Q28" s="5" t="str">
        <f>IF(Table1[[#This Row],[customer_rating]]&gt;=9,"Promoter",IF(Table1[[#This Row],[customer_rating]]&gt;=7,"Passive","Detractor"))</f>
        <v>Detractor</v>
      </c>
      <c r="R28" s="5"/>
    </row>
    <row r="29" spans="1:18">
      <c r="A29" t="s">
        <v>53</v>
      </c>
      <c r="B29" t="s">
        <v>14</v>
      </c>
      <c r="C29" t="s">
        <v>15</v>
      </c>
      <c r="D29" s="5">
        <v>45948</v>
      </c>
      <c r="E29" s="5">
        <v>45953</v>
      </c>
      <c r="F29" s="5">
        <v>45957</v>
      </c>
      <c r="G29" s="5">
        <v>45959</v>
      </c>
      <c r="H29" t="s">
        <v>16</v>
      </c>
      <c r="I29" t="s">
        <v>17</v>
      </c>
      <c r="J29" s="5">
        <v>45970</v>
      </c>
      <c r="K29" s="15">
        <f t="shared" si="3"/>
        <v>5</v>
      </c>
      <c r="L29">
        <f t="shared" si="1"/>
        <v>4</v>
      </c>
      <c r="M29">
        <f t="shared" si="2"/>
        <v>2</v>
      </c>
      <c r="N29">
        <v>3</v>
      </c>
      <c r="O29">
        <f>DATEDIF(Table1[[#This Row],[lead_date]], Table1[[#This Row],[delivery_date]], "d")</f>
        <v>11</v>
      </c>
      <c r="P29" s="5" t="str">
        <f>IF(AND(Table1[[#This Row],[customer_rating]]&gt;=8, Table1[[#This Row],[Tat_day]]&lt;=7, Table1[[#This Row],[lead_type]]="Hot"), "High", "Normal")</f>
        <v>Normal</v>
      </c>
      <c r="Q29" s="5" t="str">
        <f>IF(Table1[[#This Row],[customer_rating]]&gt;=9,"Promoter",IF(Table1[[#This Row],[customer_rating]]&gt;=7,"Passive","Detractor"))</f>
        <v>Detractor</v>
      </c>
      <c r="R29" s="5"/>
    </row>
    <row r="30" spans="1:18">
      <c r="A30" t="s">
        <v>54</v>
      </c>
      <c r="B30" t="s">
        <v>21</v>
      </c>
      <c r="C30" t="s">
        <v>15</v>
      </c>
      <c r="D30" s="5">
        <v>45955</v>
      </c>
      <c r="E30" s="5">
        <v>45960</v>
      </c>
      <c r="F30" s="5">
        <v>45962</v>
      </c>
      <c r="G30" s="5">
        <v>45968</v>
      </c>
      <c r="H30" t="s">
        <v>16</v>
      </c>
      <c r="I30" t="s">
        <v>17</v>
      </c>
      <c r="J30" s="5">
        <v>45978</v>
      </c>
      <c r="K30" s="15">
        <f t="shared" si="3"/>
        <v>5</v>
      </c>
      <c r="L30">
        <f t="shared" si="1"/>
        <v>2</v>
      </c>
      <c r="M30">
        <f t="shared" si="2"/>
        <v>6</v>
      </c>
      <c r="N30">
        <v>3</v>
      </c>
      <c r="O30">
        <f>DATEDIF(Table1[[#This Row],[lead_date]], Table1[[#This Row],[delivery_date]], "d")</f>
        <v>13</v>
      </c>
      <c r="P30" s="5" t="str">
        <f>IF(AND(Table1[[#This Row],[customer_rating]]&gt;=8, Table1[[#This Row],[Tat_day]]&lt;=7, Table1[[#This Row],[lead_type]]="Hot"), "High", "Normal")</f>
        <v>Normal</v>
      </c>
      <c r="Q30" s="5" t="str">
        <f>IF(Table1[[#This Row],[customer_rating]]&gt;=9,"Promoter",IF(Table1[[#This Row],[customer_rating]]&gt;=7,"Passive","Detractor"))</f>
        <v>Detractor</v>
      </c>
      <c r="R30" s="5"/>
    </row>
    <row r="31" spans="1:18">
      <c r="A31" t="s">
        <v>55</v>
      </c>
      <c r="B31" t="s">
        <v>14</v>
      </c>
      <c r="C31" t="s">
        <v>22</v>
      </c>
      <c r="D31" s="5">
        <v>45946</v>
      </c>
      <c r="H31" t="s">
        <v>23</v>
      </c>
      <c r="I31" t="s">
        <v>33</v>
      </c>
      <c r="K31" s="15" t="str">
        <f t="shared" si="3"/>
        <v/>
      </c>
      <c r="L31" t="str">
        <f t="shared" si="1"/>
        <v/>
      </c>
      <c r="M31" t="str">
        <f t="shared" si="2"/>
        <v/>
      </c>
      <c r="O31"/>
      <c r="P31" s="5" t="str">
        <f>IF(AND(Table1[[#This Row],[customer_rating]]&gt;=8, Table1[[#This Row],[Tat_day]]&lt;=7, Table1[[#This Row],[lead_type]]="Hot"), "High", "Normal")</f>
        <v>Normal</v>
      </c>
      <c r="Q31" s="5" t="str">
        <f>IF(Table1[[#This Row],[customer_rating]]&gt;=9,"Promoter",IF(Table1[[#This Row],[customer_rating]]&gt;=7,"Passive","Detractor"))</f>
        <v>Detractor</v>
      </c>
      <c r="R31" s="5"/>
    </row>
    <row r="32" spans="1:18">
      <c r="A32" t="s">
        <v>56</v>
      </c>
      <c r="B32" t="s">
        <v>19</v>
      </c>
      <c r="C32" t="s">
        <v>15</v>
      </c>
      <c r="D32" s="5">
        <v>45945</v>
      </c>
      <c r="E32" s="5">
        <v>45948</v>
      </c>
      <c r="F32" s="5">
        <v>45950</v>
      </c>
      <c r="G32" s="5">
        <v>45953</v>
      </c>
      <c r="H32" t="s">
        <v>16</v>
      </c>
      <c r="I32" t="s">
        <v>17</v>
      </c>
      <c r="J32" s="5">
        <v>45967</v>
      </c>
      <c r="K32" s="15">
        <f t="shared" si="3"/>
        <v>3</v>
      </c>
      <c r="L32">
        <f t="shared" si="1"/>
        <v>2</v>
      </c>
      <c r="M32">
        <f t="shared" si="2"/>
        <v>3</v>
      </c>
      <c r="N32">
        <v>3</v>
      </c>
      <c r="O32">
        <f>DATEDIF(Table1[[#This Row],[lead_date]], Table1[[#This Row],[delivery_date]], "d")</f>
        <v>8</v>
      </c>
      <c r="P32" s="5" t="str">
        <f>IF(AND(Table1[[#This Row],[customer_rating]]&gt;=8, Table1[[#This Row],[Tat_day]]&lt;=7, Table1[[#This Row],[lead_type]]="Hot"), "High", "Normal")</f>
        <v>Normal</v>
      </c>
      <c r="Q32" s="5" t="str">
        <f>IF(Table1[[#This Row],[customer_rating]]&gt;=9,"Promoter",IF(Table1[[#This Row],[customer_rating]]&gt;=7,"Passive","Detractor"))</f>
        <v>Detractor</v>
      </c>
      <c r="R32" s="5"/>
    </row>
    <row r="33" spans="1:18">
      <c r="A33" t="s">
        <v>57</v>
      </c>
      <c r="B33" t="s">
        <v>21</v>
      </c>
      <c r="C33" t="s">
        <v>15</v>
      </c>
      <c r="D33" s="5">
        <v>45944</v>
      </c>
      <c r="E33" s="5">
        <v>45945</v>
      </c>
      <c r="F33" s="5">
        <v>45946</v>
      </c>
      <c r="G33" s="5">
        <v>45950</v>
      </c>
      <c r="H33" t="s">
        <v>16</v>
      </c>
      <c r="I33" t="s">
        <v>17</v>
      </c>
      <c r="J33" s="5">
        <v>45978</v>
      </c>
      <c r="K33" s="15">
        <f t="shared" si="3"/>
        <v>1</v>
      </c>
      <c r="L33">
        <f t="shared" si="1"/>
        <v>1</v>
      </c>
      <c r="M33">
        <f t="shared" si="2"/>
        <v>4</v>
      </c>
      <c r="N33">
        <v>5</v>
      </c>
      <c r="O33">
        <f>DATEDIF(Table1[[#This Row],[lead_date]], Table1[[#This Row],[delivery_date]], "d")</f>
        <v>6</v>
      </c>
      <c r="P33" s="5" t="str">
        <f>IF(AND(Table1[[#This Row],[customer_rating]]&gt;=8, Table1[[#This Row],[Tat_day]]&lt;=7, Table1[[#This Row],[lead_type]]="Hot"), "High", "Normal")</f>
        <v>Normal</v>
      </c>
      <c r="Q33" s="5" t="str">
        <f>IF(Table1[[#This Row],[customer_rating]]&gt;=9,"Promoter",IF(Table1[[#This Row],[customer_rating]]&gt;=7,"Passive","Detractor"))</f>
        <v>Detractor</v>
      </c>
      <c r="R33" s="5"/>
    </row>
    <row r="34" spans="1:18">
      <c r="A34" t="s">
        <v>58</v>
      </c>
      <c r="B34" t="s">
        <v>14</v>
      </c>
      <c r="C34" t="s">
        <v>15</v>
      </c>
      <c r="D34" s="5">
        <v>45957</v>
      </c>
      <c r="E34" s="5">
        <v>45961</v>
      </c>
      <c r="F34" s="5">
        <v>45966</v>
      </c>
      <c r="G34" s="5">
        <v>45970</v>
      </c>
      <c r="H34" t="s">
        <v>16</v>
      </c>
      <c r="I34" t="s">
        <v>17</v>
      </c>
      <c r="J34" s="5">
        <v>45984</v>
      </c>
      <c r="K34" s="15">
        <f t="shared" si="3"/>
        <v>4</v>
      </c>
      <c r="L34">
        <f t="shared" si="1"/>
        <v>5</v>
      </c>
      <c r="M34">
        <f t="shared" si="2"/>
        <v>4</v>
      </c>
      <c r="N34">
        <v>3</v>
      </c>
      <c r="O34">
        <f>DATEDIF(Table1[[#This Row],[lead_date]], Table1[[#This Row],[delivery_date]], "d")</f>
        <v>13</v>
      </c>
      <c r="P34" s="5" t="str">
        <f>IF(AND(Table1[[#This Row],[customer_rating]]&gt;=8, Table1[[#This Row],[Tat_day]]&lt;=7, Table1[[#This Row],[lead_type]]="Hot"), "High", "Normal")</f>
        <v>Normal</v>
      </c>
      <c r="Q34" s="5" t="str">
        <f>IF(Table1[[#This Row],[customer_rating]]&gt;=9,"Promoter",IF(Table1[[#This Row],[customer_rating]]&gt;=7,"Passive","Detractor"))</f>
        <v>Detractor</v>
      </c>
      <c r="R34" s="5"/>
    </row>
    <row r="35" spans="1:18">
      <c r="A35" t="s">
        <v>59</v>
      </c>
      <c r="B35" t="s">
        <v>19</v>
      </c>
      <c r="C35" t="s">
        <v>15</v>
      </c>
      <c r="D35" s="5">
        <v>45954</v>
      </c>
      <c r="E35" s="5">
        <v>45957</v>
      </c>
      <c r="F35" s="5">
        <v>45958</v>
      </c>
      <c r="G35" s="5">
        <v>45961</v>
      </c>
      <c r="H35" t="s">
        <v>16</v>
      </c>
      <c r="I35" t="s">
        <v>17</v>
      </c>
      <c r="J35" s="5">
        <v>45974</v>
      </c>
      <c r="K35" s="15">
        <f t="shared" si="3"/>
        <v>3</v>
      </c>
      <c r="L35">
        <f t="shared" si="1"/>
        <v>1</v>
      </c>
      <c r="M35">
        <f t="shared" si="2"/>
        <v>3</v>
      </c>
      <c r="N35">
        <v>3</v>
      </c>
      <c r="O35">
        <f>DATEDIF(Table1[[#This Row],[lead_date]], Table1[[#This Row],[delivery_date]], "d")</f>
        <v>7</v>
      </c>
      <c r="P35" s="5" t="str">
        <f>IF(AND(Table1[[#This Row],[customer_rating]]&gt;=8, Table1[[#This Row],[Tat_day]]&lt;=7, Table1[[#This Row],[lead_type]]="Hot"), "High", "Normal")</f>
        <v>Normal</v>
      </c>
      <c r="Q35" s="5" t="str">
        <f>IF(Table1[[#This Row],[customer_rating]]&gt;=9,"Promoter",IF(Table1[[#This Row],[customer_rating]]&gt;=7,"Passive","Detractor"))</f>
        <v>Detractor</v>
      </c>
      <c r="R35" s="5"/>
    </row>
    <row r="36" spans="1:18">
      <c r="A36" t="s">
        <v>60</v>
      </c>
      <c r="B36" t="s">
        <v>21</v>
      </c>
      <c r="C36" t="s">
        <v>22</v>
      </c>
      <c r="D36" s="5">
        <v>45949</v>
      </c>
      <c r="H36" t="s">
        <v>23</v>
      </c>
      <c r="I36" t="s">
        <v>1028</v>
      </c>
      <c r="K36" s="15" t="str">
        <f t="shared" si="3"/>
        <v/>
      </c>
      <c r="L36" t="str">
        <f t="shared" si="1"/>
        <v/>
      </c>
      <c r="M36" t="str">
        <f t="shared" si="2"/>
        <v/>
      </c>
      <c r="O36"/>
      <c r="P36" s="5" t="str">
        <f>IF(AND(Table1[[#This Row],[customer_rating]]&gt;=8, Table1[[#This Row],[Tat_day]]&lt;=7, Table1[[#This Row],[lead_type]]="Hot"), "High", "Normal")</f>
        <v>Normal</v>
      </c>
      <c r="Q36" s="5" t="str">
        <f>IF(Table1[[#This Row],[customer_rating]]&gt;=9,"Promoter",IF(Table1[[#This Row],[customer_rating]]&gt;=7,"Passive","Detractor"))</f>
        <v>Detractor</v>
      </c>
      <c r="R36" s="5"/>
    </row>
    <row r="37" spans="1:18">
      <c r="A37" t="s">
        <v>61</v>
      </c>
      <c r="B37" t="s">
        <v>21</v>
      </c>
      <c r="C37" t="s">
        <v>15</v>
      </c>
      <c r="D37" s="5">
        <v>45939</v>
      </c>
      <c r="E37" s="5">
        <v>45943</v>
      </c>
      <c r="F37" s="5">
        <v>45945</v>
      </c>
      <c r="G37" s="5">
        <v>45950</v>
      </c>
      <c r="H37" t="s">
        <v>16</v>
      </c>
      <c r="I37" t="s">
        <v>17</v>
      </c>
      <c r="J37" s="5">
        <v>45976</v>
      </c>
      <c r="K37" s="15">
        <f t="shared" si="3"/>
        <v>4</v>
      </c>
      <c r="L37">
        <f t="shared" si="1"/>
        <v>2</v>
      </c>
      <c r="M37">
        <f t="shared" si="2"/>
        <v>5</v>
      </c>
      <c r="N37">
        <v>9</v>
      </c>
      <c r="O37">
        <f>DATEDIF(Table1[[#This Row],[lead_date]], Table1[[#This Row],[delivery_date]], "d")</f>
        <v>11</v>
      </c>
      <c r="P37" s="5" t="str">
        <f>IF(AND(Table1[[#This Row],[customer_rating]]&gt;=8, Table1[[#This Row],[Tat_day]]&lt;=7, Table1[[#This Row],[lead_type]]="Hot"), "High", "Normal")</f>
        <v>Normal</v>
      </c>
      <c r="Q37" s="5" t="str">
        <f>IF(Table1[[#This Row],[customer_rating]]&gt;=9,"Promoter",IF(Table1[[#This Row],[customer_rating]]&gt;=7,"Passive","Detractor"))</f>
        <v>Promoter</v>
      </c>
      <c r="R37" s="5"/>
    </row>
    <row r="38" spans="1:18">
      <c r="A38" t="s">
        <v>62</v>
      </c>
      <c r="B38" t="s">
        <v>14</v>
      </c>
      <c r="C38" t="s">
        <v>15</v>
      </c>
      <c r="D38" s="5">
        <v>45941</v>
      </c>
      <c r="E38" s="5">
        <v>45942</v>
      </c>
      <c r="F38" s="5">
        <v>45943</v>
      </c>
      <c r="G38" s="5">
        <v>45945</v>
      </c>
      <c r="H38" t="s">
        <v>23</v>
      </c>
      <c r="I38" t="s">
        <v>63</v>
      </c>
      <c r="K38" s="15">
        <f t="shared" si="3"/>
        <v>1</v>
      </c>
      <c r="L38">
        <f t="shared" si="1"/>
        <v>1</v>
      </c>
      <c r="M38">
        <f t="shared" si="2"/>
        <v>2</v>
      </c>
      <c r="O38">
        <f>DATEDIF(Table1[[#This Row],[lead_date]], Table1[[#This Row],[delivery_date]], "d")</f>
        <v>4</v>
      </c>
      <c r="P38" s="5" t="str">
        <f>IF(AND(Table1[[#This Row],[customer_rating]]&gt;=8, Table1[[#This Row],[Tat_day]]&lt;=7, Table1[[#This Row],[lead_type]]="Hot"), "High", "Normal")</f>
        <v>Normal</v>
      </c>
      <c r="Q38" s="5" t="str">
        <f>IF(Table1[[#This Row],[customer_rating]]&gt;=9,"Promoter",IF(Table1[[#This Row],[customer_rating]]&gt;=7,"Passive","Detractor"))</f>
        <v>Detractor</v>
      </c>
      <c r="R38" s="5"/>
    </row>
    <row r="39" spans="1:18">
      <c r="A39" t="s">
        <v>64</v>
      </c>
      <c r="B39" t="s">
        <v>14</v>
      </c>
      <c r="C39" t="s">
        <v>15</v>
      </c>
      <c r="D39" s="5">
        <v>45958</v>
      </c>
      <c r="E39" s="5">
        <v>45961</v>
      </c>
      <c r="F39" s="5">
        <v>45965</v>
      </c>
      <c r="G39" s="5">
        <v>45969</v>
      </c>
      <c r="H39" t="s">
        <v>16</v>
      </c>
      <c r="I39" t="s">
        <v>17</v>
      </c>
      <c r="J39" s="5">
        <v>45990</v>
      </c>
      <c r="K39" s="15">
        <f t="shared" si="3"/>
        <v>3</v>
      </c>
      <c r="L39">
        <f t="shared" si="1"/>
        <v>4</v>
      </c>
      <c r="M39">
        <f t="shared" si="2"/>
        <v>4</v>
      </c>
      <c r="N39">
        <v>2</v>
      </c>
      <c r="O39">
        <f>DATEDIF(Table1[[#This Row],[lead_date]], Table1[[#This Row],[delivery_date]], "d")</f>
        <v>11</v>
      </c>
      <c r="P39" s="5" t="str">
        <f>IF(AND(Table1[[#This Row],[customer_rating]]&gt;=8, Table1[[#This Row],[Tat_day]]&lt;=7, Table1[[#This Row],[lead_type]]="Hot"), "High", "Normal")</f>
        <v>Normal</v>
      </c>
      <c r="Q39" s="5" t="str">
        <f>IF(Table1[[#This Row],[customer_rating]]&gt;=9,"Promoter",IF(Table1[[#This Row],[customer_rating]]&gt;=7,"Passive","Detractor"))</f>
        <v>Detractor</v>
      </c>
      <c r="R39" s="5"/>
    </row>
    <row r="40" spans="1:18">
      <c r="A40" t="s">
        <v>65</v>
      </c>
      <c r="B40" t="s">
        <v>14</v>
      </c>
      <c r="C40" t="s">
        <v>15</v>
      </c>
      <c r="D40" s="5">
        <v>45938</v>
      </c>
      <c r="E40" s="5">
        <v>45943</v>
      </c>
      <c r="F40" s="5">
        <v>45946</v>
      </c>
      <c r="G40" s="5">
        <v>45953</v>
      </c>
      <c r="H40" t="s">
        <v>16</v>
      </c>
      <c r="I40" t="s">
        <v>17</v>
      </c>
      <c r="J40" s="5">
        <v>45965</v>
      </c>
      <c r="K40" s="15">
        <f t="shared" si="3"/>
        <v>5</v>
      </c>
      <c r="L40">
        <f t="shared" si="1"/>
        <v>3</v>
      </c>
      <c r="M40">
        <f t="shared" si="2"/>
        <v>7</v>
      </c>
      <c r="N40">
        <v>9</v>
      </c>
      <c r="O40">
        <f>DATEDIF(Table1[[#This Row],[lead_date]], Table1[[#This Row],[delivery_date]], "d")</f>
        <v>15</v>
      </c>
      <c r="P40" s="5" t="str">
        <f>IF(AND(Table1[[#This Row],[customer_rating]]&gt;=8, Table1[[#This Row],[Tat_day]]&lt;=7, Table1[[#This Row],[lead_type]]="Hot"), "High", "Normal")</f>
        <v>Normal</v>
      </c>
      <c r="Q40" s="5" t="str">
        <f>IF(Table1[[#This Row],[customer_rating]]&gt;=9,"Promoter",IF(Table1[[#This Row],[customer_rating]]&gt;=7,"Passive","Detractor"))</f>
        <v>Promoter</v>
      </c>
      <c r="R40" s="5"/>
    </row>
    <row r="41" spans="1:18">
      <c r="A41" t="s">
        <v>66</v>
      </c>
      <c r="B41" t="s">
        <v>19</v>
      </c>
      <c r="C41" t="s">
        <v>15</v>
      </c>
      <c r="D41" s="5">
        <v>45957</v>
      </c>
      <c r="E41" s="5">
        <v>45960</v>
      </c>
      <c r="F41" s="5">
        <v>45964</v>
      </c>
      <c r="G41" s="5">
        <v>45969</v>
      </c>
      <c r="H41" t="s">
        <v>23</v>
      </c>
      <c r="I41" t="s">
        <v>24</v>
      </c>
      <c r="K41" s="15">
        <f t="shared" si="3"/>
        <v>3</v>
      </c>
      <c r="L41">
        <f t="shared" si="1"/>
        <v>4</v>
      </c>
      <c r="M41">
        <f t="shared" si="2"/>
        <v>5</v>
      </c>
      <c r="O41">
        <f>DATEDIF(Table1[[#This Row],[lead_date]], Table1[[#This Row],[delivery_date]], "d")</f>
        <v>12</v>
      </c>
      <c r="P41" s="5" t="str">
        <f>IF(AND(Table1[[#This Row],[customer_rating]]&gt;=8, Table1[[#This Row],[Tat_day]]&lt;=7, Table1[[#This Row],[lead_type]]="Hot"), "High", "Normal")</f>
        <v>Normal</v>
      </c>
      <c r="Q41" s="5" t="str">
        <f>IF(Table1[[#This Row],[customer_rating]]&gt;=9,"Promoter",IF(Table1[[#This Row],[customer_rating]]&gt;=7,"Passive","Detractor"))</f>
        <v>Detractor</v>
      </c>
      <c r="R41" s="5"/>
    </row>
    <row r="42" spans="1:18">
      <c r="A42" t="s">
        <v>67</v>
      </c>
      <c r="B42" t="s">
        <v>14</v>
      </c>
      <c r="C42" t="s">
        <v>22</v>
      </c>
      <c r="D42" s="5">
        <v>45960</v>
      </c>
      <c r="H42" t="s">
        <v>23</v>
      </c>
      <c r="I42" t="s">
        <v>1028</v>
      </c>
      <c r="K42" s="15" t="str">
        <f t="shared" si="3"/>
        <v/>
      </c>
      <c r="L42" t="str">
        <f t="shared" si="1"/>
        <v/>
      </c>
      <c r="M42" t="str">
        <f t="shared" si="2"/>
        <v/>
      </c>
      <c r="O42"/>
      <c r="P42" s="5" t="str">
        <f>IF(AND(Table1[[#This Row],[customer_rating]]&gt;=8, Table1[[#This Row],[Tat_day]]&lt;=7, Table1[[#This Row],[lead_type]]="Hot"), "High", "Normal")</f>
        <v>Normal</v>
      </c>
      <c r="Q42" s="5" t="str">
        <f>IF(Table1[[#This Row],[customer_rating]]&gt;=9,"Promoter",IF(Table1[[#This Row],[customer_rating]]&gt;=7,"Passive","Detractor"))</f>
        <v>Detractor</v>
      </c>
      <c r="R42" s="5"/>
    </row>
    <row r="43" spans="1:18">
      <c r="A43" t="s">
        <v>68</v>
      </c>
      <c r="B43" t="s">
        <v>21</v>
      </c>
      <c r="C43" t="s">
        <v>15</v>
      </c>
      <c r="D43" s="5">
        <v>45933</v>
      </c>
      <c r="E43" s="5">
        <v>45936</v>
      </c>
      <c r="F43" s="5">
        <v>45938</v>
      </c>
      <c r="G43" s="5">
        <v>45944</v>
      </c>
      <c r="H43" t="s">
        <v>16</v>
      </c>
      <c r="I43" t="s">
        <v>17</v>
      </c>
      <c r="J43" s="5">
        <v>45965</v>
      </c>
      <c r="K43" s="15">
        <f t="shared" si="3"/>
        <v>3</v>
      </c>
      <c r="L43">
        <f t="shared" si="1"/>
        <v>2</v>
      </c>
      <c r="M43">
        <f t="shared" si="2"/>
        <v>6</v>
      </c>
      <c r="N43">
        <v>6</v>
      </c>
      <c r="O43">
        <f>DATEDIF(Table1[[#This Row],[lead_date]], Table1[[#This Row],[delivery_date]], "d")</f>
        <v>11</v>
      </c>
      <c r="P43" s="5" t="str">
        <f>IF(AND(Table1[[#This Row],[customer_rating]]&gt;=8, Table1[[#This Row],[Tat_day]]&lt;=7, Table1[[#This Row],[lead_type]]="Hot"), "High", "Normal")</f>
        <v>Normal</v>
      </c>
      <c r="Q43" s="5" t="str">
        <f>IF(Table1[[#This Row],[customer_rating]]&gt;=9,"Promoter",IF(Table1[[#This Row],[customer_rating]]&gt;=7,"Passive","Detractor"))</f>
        <v>Detractor</v>
      </c>
      <c r="R43" s="5"/>
    </row>
    <row r="44" spans="1:18">
      <c r="A44" t="s">
        <v>69</v>
      </c>
      <c r="B44" t="s">
        <v>21</v>
      </c>
      <c r="C44" t="s">
        <v>15</v>
      </c>
      <c r="D44" s="5">
        <v>45939</v>
      </c>
      <c r="E44" s="5">
        <v>45940</v>
      </c>
      <c r="F44" s="5">
        <v>45944</v>
      </c>
      <c r="G44" s="5">
        <v>45951</v>
      </c>
      <c r="H44" t="s">
        <v>16</v>
      </c>
      <c r="I44" t="s">
        <v>17</v>
      </c>
      <c r="J44" s="5">
        <v>45973</v>
      </c>
      <c r="K44" s="15">
        <f t="shared" si="3"/>
        <v>1</v>
      </c>
      <c r="L44">
        <f t="shared" si="1"/>
        <v>4</v>
      </c>
      <c r="M44">
        <f t="shared" si="2"/>
        <v>7</v>
      </c>
      <c r="N44">
        <v>7</v>
      </c>
      <c r="O44">
        <f>DATEDIF(Table1[[#This Row],[lead_date]], Table1[[#This Row],[delivery_date]], "d")</f>
        <v>12</v>
      </c>
      <c r="P44" s="5" t="str">
        <f>IF(AND(Table1[[#This Row],[customer_rating]]&gt;=8, Table1[[#This Row],[Tat_day]]&lt;=7, Table1[[#This Row],[lead_type]]="Hot"), "High", "Normal")</f>
        <v>Normal</v>
      </c>
      <c r="Q44" s="5" t="str">
        <f>IF(Table1[[#This Row],[customer_rating]]&gt;=9,"Promoter",IF(Table1[[#This Row],[customer_rating]]&gt;=7,"Passive","Detractor"))</f>
        <v>Passive</v>
      </c>
      <c r="R44" s="5"/>
    </row>
    <row r="45" spans="1:18">
      <c r="A45" t="s">
        <v>70</v>
      </c>
      <c r="B45" t="s">
        <v>14</v>
      </c>
      <c r="C45" t="s">
        <v>22</v>
      </c>
      <c r="D45" s="5">
        <v>45959</v>
      </c>
      <c r="H45" t="s">
        <v>23</v>
      </c>
      <c r="I45" t="s">
        <v>33</v>
      </c>
      <c r="K45" s="15" t="str">
        <f t="shared" si="3"/>
        <v/>
      </c>
      <c r="L45" t="str">
        <f t="shared" si="1"/>
        <v/>
      </c>
      <c r="M45" t="str">
        <f t="shared" si="2"/>
        <v/>
      </c>
      <c r="O45"/>
      <c r="P45" s="5" t="str">
        <f>IF(AND(Table1[[#This Row],[customer_rating]]&gt;=8, Table1[[#This Row],[Tat_day]]&lt;=7, Table1[[#This Row],[lead_type]]="Hot"), "High", "Normal")</f>
        <v>Normal</v>
      </c>
      <c r="Q45" s="5" t="str">
        <f>IF(Table1[[#This Row],[customer_rating]]&gt;=9,"Promoter",IF(Table1[[#This Row],[customer_rating]]&gt;=7,"Passive","Detractor"))</f>
        <v>Detractor</v>
      </c>
      <c r="R45" s="5"/>
    </row>
    <row r="46" spans="1:18">
      <c r="A46" t="s">
        <v>71</v>
      </c>
      <c r="B46" t="s">
        <v>14</v>
      </c>
      <c r="C46" t="s">
        <v>30</v>
      </c>
      <c r="D46" s="5">
        <v>45945</v>
      </c>
      <c r="E46" s="5">
        <v>45950</v>
      </c>
      <c r="F46" s="5">
        <v>45952</v>
      </c>
      <c r="G46" s="5">
        <v>45956</v>
      </c>
      <c r="H46" t="s">
        <v>16</v>
      </c>
      <c r="I46" t="s">
        <v>17</v>
      </c>
      <c r="J46" s="5">
        <v>45984</v>
      </c>
      <c r="K46" s="15">
        <f t="shared" si="3"/>
        <v>5</v>
      </c>
      <c r="L46">
        <f t="shared" si="1"/>
        <v>2</v>
      </c>
      <c r="M46">
        <f t="shared" si="2"/>
        <v>4</v>
      </c>
      <c r="N46">
        <v>8</v>
      </c>
      <c r="O46">
        <f>DATEDIF(Table1[[#This Row],[lead_date]], Table1[[#This Row],[delivery_date]], "d")</f>
        <v>11</v>
      </c>
      <c r="P46" s="5" t="str">
        <f>IF(AND(Table1[[#This Row],[customer_rating]]&gt;=8, Table1[[#This Row],[Tat_day]]&lt;=7, Table1[[#This Row],[lead_type]]="Hot"), "High", "Normal")</f>
        <v>Normal</v>
      </c>
      <c r="Q46" s="5" t="str">
        <f>IF(Table1[[#This Row],[customer_rating]]&gt;=9,"Promoter",IF(Table1[[#This Row],[customer_rating]]&gt;=7,"Passive","Detractor"))</f>
        <v>Passive</v>
      </c>
      <c r="R46" s="5"/>
    </row>
    <row r="47" spans="1:18">
      <c r="A47" t="s">
        <v>72</v>
      </c>
      <c r="B47" t="s">
        <v>32</v>
      </c>
      <c r="C47" t="s">
        <v>30</v>
      </c>
      <c r="D47" s="5">
        <v>45938</v>
      </c>
      <c r="E47" s="5">
        <v>45943</v>
      </c>
      <c r="F47" s="5">
        <v>45947</v>
      </c>
      <c r="G47" s="5">
        <v>45953</v>
      </c>
      <c r="H47" t="s">
        <v>16</v>
      </c>
      <c r="I47" t="s">
        <v>17</v>
      </c>
      <c r="J47" s="5">
        <v>45966</v>
      </c>
      <c r="K47" s="15">
        <f t="shared" si="3"/>
        <v>5</v>
      </c>
      <c r="L47">
        <f t="shared" si="1"/>
        <v>4</v>
      </c>
      <c r="M47">
        <f t="shared" si="2"/>
        <v>6</v>
      </c>
      <c r="N47">
        <v>3</v>
      </c>
      <c r="O47">
        <f>DATEDIF(Table1[[#This Row],[lead_date]], Table1[[#This Row],[delivery_date]], "d")</f>
        <v>15</v>
      </c>
      <c r="P47" s="5" t="str">
        <f>IF(AND(Table1[[#This Row],[customer_rating]]&gt;=8, Table1[[#This Row],[Tat_day]]&lt;=7, Table1[[#This Row],[lead_type]]="Hot"), "High", "Normal")</f>
        <v>Normal</v>
      </c>
      <c r="Q47" s="5" t="str">
        <f>IF(Table1[[#This Row],[customer_rating]]&gt;=9,"Promoter",IF(Table1[[#This Row],[customer_rating]]&gt;=7,"Passive","Detractor"))</f>
        <v>Detractor</v>
      </c>
      <c r="R47" s="5"/>
    </row>
    <row r="48" spans="1:18">
      <c r="A48" t="s">
        <v>73</v>
      </c>
      <c r="B48" t="s">
        <v>21</v>
      </c>
      <c r="C48" t="s">
        <v>15</v>
      </c>
      <c r="D48" s="5">
        <v>45955</v>
      </c>
      <c r="E48" s="5">
        <v>45957</v>
      </c>
      <c r="F48" s="5">
        <v>45962</v>
      </c>
      <c r="G48" s="5">
        <v>45967</v>
      </c>
      <c r="H48" t="s">
        <v>16</v>
      </c>
      <c r="I48" t="s">
        <v>17</v>
      </c>
      <c r="J48" s="5">
        <v>45987</v>
      </c>
      <c r="K48" s="15">
        <f t="shared" si="3"/>
        <v>2</v>
      </c>
      <c r="L48">
        <f t="shared" si="1"/>
        <v>5</v>
      </c>
      <c r="M48">
        <f t="shared" si="2"/>
        <v>5</v>
      </c>
      <c r="N48">
        <v>5</v>
      </c>
      <c r="O48">
        <f>DATEDIF(Table1[[#This Row],[lead_date]], Table1[[#This Row],[delivery_date]], "d")</f>
        <v>12</v>
      </c>
      <c r="P48" s="5" t="str">
        <f>IF(AND(Table1[[#This Row],[customer_rating]]&gt;=8, Table1[[#This Row],[Tat_day]]&lt;=7, Table1[[#This Row],[lead_type]]="Hot"), "High", "Normal")</f>
        <v>Normal</v>
      </c>
      <c r="Q48" s="5" t="str">
        <f>IF(Table1[[#This Row],[customer_rating]]&gt;=9,"Promoter",IF(Table1[[#This Row],[customer_rating]]&gt;=7,"Passive","Detractor"))</f>
        <v>Detractor</v>
      </c>
      <c r="R48" s="5"/>
    </row>
    <row r="49" spans="1:18">
      <c r="A49" t="s">
        <v>74</v>
      </c>
      <c r="B49" t="s">
        <v>19</v>
      </c>
      <c r="C49" t="s">
        <v>22</v>
      </c>
      <c r="D49" s="5">
        <v>45945</v>
      </c>
      <c r="H49" t="s">
        <v>23</v>
      </c>
      <c r="I49" t="s">
        <v>1028</v>
      </c>
      <c r="K49" s="15" t="str">
        <f t="shared" si="3"/>
        <v/>
      </c>
      <c r="L49" t="str">
        <f t="shared" si="1"/>
        <v/>
      </c>
      <c r="M49" t="str">
        <f t="shared" si="2"/>
        <v/>
      </c>
      <c r="O49"/>
      <c r="P49" s="5" t="str">
        <f>IF(AND(Table1[[#This Row],[customer_rating]]&gt;=8, Table1[[#This Row],[Tat_day]]&lt;=7, Table1[[#This Row],[lead_type]]="Hot"), "High", "Normal")</f>
        <v>Normal</v>
      </c>
      <c r="Q49" s="5" t="str">
        <f>IF(Table1[[#This Row],[customer_rating]]&gt;=9,"Promoter",IF(Table1[[#This Row],[customer_rating]]&gt;=7,"Passive","Detractor"))</f>
        <v>Detractor</v>
      </c>
      <c r="R49" s="5"/>
    </row>
    <row r="50" spans="1:18">
      <c r="A50" t="s">
        <v>75</v>
      </c>
      <c r="B50" t="s">
        <v>32</v>
      </c>
      <c r="C50" t="s">
        <v>30</v>
      </c>
      <c r="D50" s="5">
        <v>45949</v>
      </c>
      <c r="E50" s="5">
        <v>45951</v>
      </c>
      <c r="F50" s="5">
        <v>45956</v>
      </c>
      <c r="G50" s="5">
        <v>45962</v>
      </c>
      <c r="H50" t="s">
        <v>16</v>
      </c>
      <c r="I50" t="s">
        <v>17</v>
      </c>
      <c r="J50" s="5">
        <v>45981</v>
      </c>
      <c r="K50" s="15">
        <f t="shared" si="3"/>
        <v>2</v>
      </c>
      <c r="L50">
        <f t="shared" si="1"/>
        <v>5</v>
      </c>
      <c r="M50">
        <f t="shared" si="2"/>
        <v>6</v>
      </c>
      <c r="N50">
        <v>0</v>
      </c>
      <c r="O50">
        <f>DATEDIF(Table1[[#This Row],[lead_date]], Table1[[#This Row],[delivery_date]], "d")</f>
        <v>13</v>
      </c>
      <c r="P50" s="5" t="str">
        <f>IF(AND(Table1[[#This Row],[customer_rating]]&gt;=8, Table1[[#This Row],[Tat_day]]&lt;=7, Table1[[#This Row],[lead_type]]="Hot"), "High", "Normal")</f>
        <v>Normal</v>
      </c>
      <c r="Q50" s="5" t="str">
        <f>IF(Table1[[#This Row],[customer_rating]]&gt;=9,"Promoter",IF(Table1[[#This Row],[customer_rating]]&gt;=7,"Passive","Detractor"))</f>
        <v>Detractor</v>
      </c>
      <c r="R50" s="5"/>
    </row>
    <row r="51" spans="1:18">
      <c r="A51" t="s">
        <v>76</v>
      </c>
      <c r="B51" t="s">
        <v>14</v>
      </c>
      <c r="C51" t="s">
        <v>30</v>
      </c>
      <c r="D51" s="5">
        <v>45950</v>
      </c>
      <c r="E51" s="5">
        <v>45954</v>
      </c>
      <c r="F51" s="5">
        <v>45958</v>
      </c>
      <c r="G51" s="5">
        <v>45963</v>
      </c>
      <c r="H51" t="s">
        <v>16</v>
      </c>
      <c r="I51" t="s">
        <v>17</v>
      </c>
      <c r="J51" s="5">
        <v>45983</v>
      </c>
      <c r="K51" s="15">
        <f t="shared" si="3"/>
        <v>4</v>
      </c>
      <c r="L51">
        <f t="shared" si="1"/>
        <v>4</v>
      </c>
      <c r="M51">
        <f t="shared" si="2"/>
        <v>5</v>
      </c>
      <c r="N51">
        <v>6</v>
      </c>
      <c r="O51">
        <f>DATEDIF(Table1[[#This Row],[lead_date]], Table1[[#This Row],[delivery_date]], "d")</f>
        <v>13</v>
      </c>
      <c r="P51" s="5" t="str">
        <f>IF(AND(Table1[[#This Row],[customer_rating]]&gt;=8, Table1[[#This Row],[Tat_day]]&lt;=7, Table1[[#This Row],[lead_type]]="Hot"), "High", "Normal")</f>
        <v>Normal</v>
      </c>
      <c r="Q51" s="5" t="str">
        <f>IF(Table1[[#This Row],[customer_rating]]&gt;=9,"Promoter",IF(Table1[[#This Row],[customer_rating]]&gt;=7,"Passive","Detractor"))</f>
        <v>Detractor</v>
      </c>
      <c r="R51" s="5"/>
    </row>
    <row r="52" spans="1:18">
      <c r="A52" t="s">
        <v>77</v>
      </c>
      <c r="B52" t="s">
        <v>14</v>
      </c>
      <c r="C52" t="s">
        <v>30</v>
      </c>
      <c r="D52" s="5">
        <v>45952</v>
      </c>
      <c r="E52" s="5">
        <v>45954</v>
      </c>
      <c r="F52" s="5">
        <v>45955</v>
      </c>
      <c r="G52" s="5">
        <v>45961</v>
      </c>
      <c r="H52" t="s">
        <v>16</v>
      </c>
      <c r="I52" t="s">
        <v>17</v>
      </c>
      <c r="J52" s="5">
        <v>45975</v>
      </c>
      <c r="K52" s="15">
        <f t="shared" si="3"/>
        <v>2</v>
      </c>
      <c r="L52">
        <f t="shared" si="1"/>
        <v>1</v>
      </c>
      <c r="M52">
        <f t="shared" si="2"/>
        <v>6</v>
      </c>
      <c r="N52">
        <v>6</v>
      </c>
      <c r="O52">
        <f>DATEDIF(Table1[[#This Row],[lead_date]], Table1[[#This Row],[delivery_date]], "d")</f>
        <v>9</v>
      </c>
      <c r="P52" s="5" t="str">
        <f>IF(AND(Table1[[#This Row],[customer_rating]]&gt;=8, Table1[[#This Row],[Tat_day]]&lt;=7, Table1[[#This Row],[lead_type]]="Hot"), "High", "Normal")</f>
        <v>Normal</v>
      </c>
      <c r="Q52" s="5" t="str">
        <f>IF(Table1[[#This Row],[customer_rating]]&gt;=9,"Promoter",IF(Table1[[#This Row],[customer_rating]]&gt;=7,"Passive","Detractor"))</f>
        <v>Detractor</v>
      </c>
      <c r="R52" s="5"/>
    </row>
    <row r="53" spans="1:18">
      <c r="A53" t="s">
        <v>78</v>
      </c>
      <c r="B53" t="s">
        <v>21</v>
      </c>
      <c r="C53" t="s">
        <v>30</v>
      </c>
      <c r="D53" s="5">
        <v>45943</v>
      </c>
      <c r="E53" s="5">
        <v>45944</v>
      </c>
      <c r="F53" s="5">
        <v>45946</v>
      </c>
      <c r="G53" s="5">
        <v>45948</v>
      </c>
      <c r="H53" t="s">
        <v>16</v>
      </c>
      <c r="I53" t="s">
        <v>17</v>
      </c>
      <c r="J53" s="5">
        <v>45963</v>
      </c>
      <c r="K53" s="15">
        <f t="shared" si="3"/>
        <v>1</v>
      </c>
      <c r="L53">
        <f t="shared" si="1"/>
        <v>2</v>
      </c>
      <c r="M53">
        <f t="shared" si="2"/>
        <v>2</v>
      </c>
      <c r="N53">
        <v>6</v>
      </c>
      <c r="O53">
        <f>DATEDIF(Table1[[#This Row],[lead_date]], Table1[[#This Row],[delivery_date]], "d")</f>
        <v>5</v>
      </c>
      <c r="P53" s="5" t="str">
        <f>IF(AND(Table1[[#This Row],[customer_rating]]&gt;=8, Table1[[#This Row],[Tat_day]]&lt;=7, Table1[[#This Row],[lead_type]]="Hot"), "High", "Normal")</f>
        <v>Normal</v>
      </c>
      <c r="Q53" s="5" t="str">
        <f>IF(Table1[[#This Row],[customer_rating]]&gt;=9,"Promoter",IF(Table1[[#This Row],[customer_rating]]&gt;=7,"Passive","Detractor"))</f>
        <v>Detractor</v>
      </c>
      <c r="R53" s="5"/>
    </row>
    <row r="54" spans="1:18">
      <c r="A54" t="s">
        <v>79</v>
      </c>
      <c r="B54" t="s">
        <v>14</v>
      </c>
      <c r="C54" t="s">
        <v>30</v>
      </c>
      <c r="D54" s="5">
        <v>45941</v>
      </c>
      <c r="E54" s="5">
        <v>45944</v>
      </c>
      <c r="F54" s="5">
        <v>45949</v>
      </c>
      <c r="G54" s="5">
        <v>45953</v>
      </c>
      <c r="H54" t="s">
        <v>16</v>
      </c>
      <c r="I54" t="s">
        <v>17</v>
      </c>
      <c r="J54" s="5">
        <v>45976</v>
      </c>
      <c r="K54" s="15">
        <f t="shared" si="3"/>
        <v>3</v>
      </c>
      <c r="L54">
        <f t="shared" si="1"/>
        <v>5</v>
      </c>
      <c r="M54">
        <f t="shared" si="2"/>
        <v>4</v>
      </c>
      <c r="N54">
        <v>4</v>
      </c>
      <c r="O54">
        <f>DATEDIF(Table1[[#This Row],[lead_date]], Table1[[#This Row],[delivery_date]], "d")</f>
        <v>12</v>
      </c>
      <c r="P54" s="5" t="str">
        <f>IF(AND(Table1[[#This Row],[customer_rating]]&gt;=8, Table1[[#This Row],[Tat_day]]&lt;=7, Table1[[#This Row],[lead_type]]="Hot"), "High", "Normal")</f>
        <v>Normal</v>
      </c>
      <c r="Q54" s="5" t="str">
        <f>IF(Table1[[#This Row],[customer_rating]]&gt;=9,"Promoter",IF(Table1[[#This Row],[customer_rating]]&gt;=7,"Passive","Detractor"))</f>
        <v>Detractor</v>
      </c>
      <c r="R54" s="5"/>
    </row>
    <row r="55" spans="1:18">
      <c r="A55" t="s">
        <v>80</v>
      </c>
      <c r="B55" t="s">
        <v>19</v>
      </c>
      <c r="C55" t="s">
        <v>15</v>
      </c>
      <c r="D55" s="5">
        <v>45931</v>
      </c>
      <c r="E55" s="5">
        <v>45936</v>
      </c>
      <c r="F55" s="5">
        <v>45938</v>
      </c>
      <c r="G55" s="5">
        <v>45942</v>
      </c>
      <c r="H55" t="s">
        <v>16</v>
      </c>
      <c r="I55" t="s">
        <v>17</v>
      </c>
      <c r="J55" s="5">
        <v>45972</v>
      </c>
      <c r="K55" s="15">
        <f t="shared" si="3"/>
        <v>5</v>
      </c>
      <c r="L55">
        <f t="shared" si="1"/>
        <v>2</v>
      </c>
      <c r="M55">
        <f t="shared" si="2"/>
        <v>4</v>
      </c>
      <c r="N55">
        <v>4</v>
      </c>
      <c r="O55">
        <f>DATEDIF(Table1[[#This Row],[lead_date]], Table1[[#This Row],[delivery_date]], "d")</f>
        <v>11</v>
      </c>
      <c r="P55" s="5" t="str">
        <f>IF(AND(Table1[[#This Row],[customer_rating]]&gt;=8, Table1[[#This Row],[Tat_day]]&lt;=7, Table1[[#This Row],[lead_type]]="Hot"), "High", "Normal")</f>
        <v>Normal</v>
      </c>
      <c r="Q55" s="5" t="str">
        <f>IF(Table1[[#This Row],[customer_rating]]&gt;=9,"Promoter",IF(Table1[[#This Row],[customer_rating]]&gt;=7,"Passive","Detractor"))</f>
        <v>Detractor</v>
      </c>
      <c r="R55" s="5"/>
    </row>
    <row r="56" spans="1:18">
      <c r="A56" t="s">
        <v>81</v>
      </c>
      <c r="B56" t="s">
        <v>21</v>
      </c>
      <c r="C56" t="s">
        <v>15</v>
      </c>
      <c r="D56" s="5">
        <v>45946</v>
      </c>
      <c r="E56" s="5">
        <v>45949</v>
      </c>
      <c r="F56" s="5">
        <v>45954</v>
      </c>
      <c r="G56" s="5">
        <v>45959</v>
      </c>
      <c r="H56" t="s">
        <v>16</v>
      </c>
      <c r="I56" t="s">
        <v>17</v>
      </c>
      <c r="J56" s="5">
        <v>45984</v>
      </c>
      <c r="K56" s="15">
        <f t="shared" si="3"/>
        <v>3</v>
      </c>
      <c r="L56">
        <f t="shared" si="1"/>
        <v>5</v>
      </c>
      <c r="M56">
        <f t="shared" si="2"/>
        <v>5</v>
      </c>
      <c r="N56">
        <v>8</v>
      </c>
      <c r="O56">
        <f>DATEDIF(Table1[[#This Row],[lead_date]], Table1[[#This Row],[delivery_date]], "d")</f>
        <v>13</v>
      </c>
      <c r="P56" s="5" t="str">
        <f>IF(AND(Table1[[#This Row],[customer_rating]]&gt;=8, Table1[[#This Row],[Tat_day]]&lt;=7, Table1[[#This Row],[lead_type]]="Hot"), "High", "Normal")</f>
        <v>Normal</v>
      </c>
      <c r="Q56" s="5" t="str">
        <f>IF(Table1[[#This Row],[customer_rating]]&gt;=9,"Promoter",IF(Table1[[#This Row],[customer_rating]]&gt;=7,"Passive","Detractor"))</f>
        <v>Passive</v>
      </c>
      <c r="R56" s="5"/>
    </row>
    <row r="57" spans="1:18">
      <c r="A57" t="s">
        <v>82</v>
      </c>
      <c r="B57" t="s">
        <v>14</v>
      </c>
      <c r="C57" t="s">
        <v>30</v>
      </c>
      <c r="D57" s="5">
        <v>45958</v>
      </c>
      <c r="E57" s="5">
        <v>45959</v>
      </c>
      <c r="F57" s="5">
        <v>45962</v>
      </c>
      <c r="G57" s="5">
        <v>45968</v>
      </c>
      <c r="H57" t="s">
        <v>16</v>
      </c>
      <c r="I57" t="s">
        <v>17</v>
      </c>
      <c r="J57" s="5">
        <v>45998</v>
      </c>
      <c r="K57" s="15">
        <f t="shared" si="3"/>
        <v>1</v>
      </c>
      <c r="L57">
        <f t="shared" si="1"/>
        <v>3</v>
      </c>
      <c r="M57">
        <f t="shared" si="2"/>
        <v>6</v>
      </c>
      <c r="N57">
        <v>3</v>
      </c>
      <c r="O57">
        <f>DATEDIF(Table1[[#This Row],[lead_date]], Table1[[#This Row],[delivery_date]], "d")</f>
        <v>10</v>
      </c>
      <c r="P57" s="5" t="str">
        <f>IF(AND(Table1[[#This Row],[customer_rating]]&gt;=8, Table1[[#This Row],[Tat_day]]&lt;=7, Table1[[#This Row],[lead_type]]="Hot"), "High", "Normal")</f>
        <v>Normal</v>
      </c>
      <c r="Q57" s="5" t="str">
        <f>IF(Table1[[#This Row],[customer_rating]]&gt;=9,"Promoter",IF(Table1[[#This Row],[customer_rating]]&gt;=7,"Passive","Detractor"))</f>
        <v>Detractor</v>
      </c>
      <c r="R57" s="5"/>
    </row>
    <row r="58" spans="1:18">
      <c r="A58" t="s">
        <v>83</v>
      </c>
      <c r="B58" t="s">
        <v>21</v>
      </c>
      <c r="C58" t="s">
        <v>15</v>
      </c>
      <c r="D58" s="5">
        <v>45941</v>
      </c>
      <c r="E58" s="5">
        <v>45944</v>
      </c>
      <c r="F58" s="5">
        <v>45948</v>
      </c>
      <c r="G58" s="5">
        <v>45951</v>
      </c>
      <c r="H58" t="s">
        <v>16</v>
      </c>
      <c r="I58" t="s">
        <v>17</v>
      </c>
      <c r="J58" s="5">
        <v>45971</v>
      </c>
      <c r="K58" s="15">
        <f t="shared" si="3"/>
        <v>3</v>
      </c>
      <c r="L58">
        <f t="shared" si="1"/>
        <v>4</v>
      </c>
      <c r="M58">
        <f t="shared" si="2"/>
        <v>3</v>
      </c>
      <c r="N58">
        <v>6</v>
      </c>
      <c r="O58">
        <f>DATEDIF(Table1[[#This Row],[lead_date]], Table1[[#This Row],[delivery_date]], "d")</f>
        <v>10</v>
      </c>
      <c r="P58" s="5" t="str">
        <f>IF(AND(Table1[[#This Row],[customer_rating]]&gt;=8, Table1[[#This Row],[Tat_day]]&lt;=7, Table1[[#This Row],[lead_type]]="Hot"), "High", "Normal")</f>
        <v>Normal</v>
      </c>
      <c r="Q58" s="5" t="str">
        <f>IF(Table1[[#This Row],[customer_rating]]&gt;=9,"Promoter",IF(Table1[[#This Row],[customer_rating]]&gt;=7,"Passive","Detractor"))</f>
        <v>Detractor</v>
      </c>
      <c r="R58" s="5"/>
    </row>
    <row r="59" spans="1:18">
      <c r="A59" t="s">
        <v>84</v>
      </c>
      <c r="B59" t="s">
        <v>14</v>
      </c>
      <c r="C59" t="s">
        <v>30</v>
      </c>
      <c r="D59" s="5">
        <v>45936</v>
      </c>
      <c r="E59" s="5">
        <v>45941</v>
      </c>
      <c r="F59" s="5">
        <v>45946</v>
      </c>
      <c r="G59" s="5">
        <v>45953</v>
      </c>
      <c r="H59" t="s">
        <v>16</v>
      </c>
      <c r="I59" t="s">
        <v>17</v>
      </c>
      <c r="J59" s="5">
        <v>45968</v>
      </c>
      <c r="K59" s="15">
        <f t="shared" si="3"/>
        <v>5</v>
      </c>
      <c r="L59">
        <f t="shared" si="1"/>
        <v>5</v>
      </c>
      <c r="M59">
        <f t="shared" si="2"/>
        <v>7</v>
      </c>
      <c r="N59">
        <v>1</v>
      </c>
      <c r="O59">
        <f>DATEDIF(Table1[[#This Row],[lead_date]], Table1[[#This Row],[delivery_date]], "d")</f>
        <v>17</v>
      </c>
      <c r="P59" s="5" t="str">
        <f>IF(AND(Table1[[#This Row],[customer_rating]]&gt;=8, Table1[[#This Row],[Tat_day]]&lt;=7, Table1[[#This Row],[lead_type]]="Hot"), "High", "Normal")</f>
        <v>Normal</v>
      </c>
      <c r="Q59" s="5" t="str">
        <f>IF(Table1[[#This Row],[customer_rating]]&gt;=9,"Promoter",IF(Table1[[#This Row],[customer_rating]]&gt;=7,"Passive","Detractor"))</f>
        <v>Detractor</v>
      </c>
      <c r="R59" s="5"/>
    </row>
    <row r="60" spans="1:18">
      <c r="A60" t="s">
        <v>85</v>
      </c>
      <c r="B60" t="s">
        <v>14</v>
      </c>
      <c r="C60" t="s">
        <v>15</v>
      </c>
      <c r="D60" s="5">
        <v>45946</v>
      </c>
      <c r="E60" s="5">
        <v>45948</v>
      </c>
      <c r="F60" s="5">
        <v>45952</v>
      </c>
      <c r="G60" s="5">
        <v>45959</v>
      </c>
      <c r="H60" t="s">
        <v>23</v>
      </c>
      <c r="I60" t="s">
        <v>63</v>
      </c>
      <c r="K60" s="15">
        <f t="shared" si="3"/>
        <v>2</v>
      </c>
      <c r="L60">
        <f t="shared" si="1"/>
        <v>4</v>
      </c>
      <c r="M60">
        <f t="shared" si="2"/>
        <v>7</v>
      </c>
      <c r="O60">
        <f>DATEDIF(Table1[[#This Row],[lead_date]], Table1[[#This Row],[delivery_date]], "d")</f>
        <v>13</v>
      </c>
      <c r="P60" s="5" t="str">
        <f>IF(AND(Table1[[#This Row],[customer_rating]]&gt;=8, Table1[[#This Row],[Tat_day]]&lt;=7, Table1[[#This Row],[lead_type]]="Hot"), "High", "Normal")</f>
        <v>Normal</v>
      </c>
      <c r="Q60" s="5" t="str">
        <f>IF(Table1[[#This Row],[customer_rating]]&gt;=9,"Promoter",IF(Table1[[#This Row],[customer_rating]]&gt;=7,"Passive","Detractor"))</f>
        <v>Detractor</v>
      </c>
      <c r="R60" s="5"/>
    </row>
    <row r="61" spans="1:18">
      <c r="A61" t="s">
        <v>86</v>
      </c>
      <c r="B61" t="s">
        <v>14</v>
      </c>
      <c r="C61" t="s">
        <v>15</v>
      </c>
      <c r="D61" s="5">
        <v>45937</v>
      </c>
      <c r="E61" s="5">
        <v>45941</v>
      </c>
      <c r="F61" s="5">
        <v>45944</v>
      </c>
      <c r="G61" s="5">
        <v>45948</v>
      </c>
      <c r="H61" t="s">
        <v>16</v>
      </c>
      <c r="I61" t="s">
        <v>17</v>
      </c>
      <c r="J61" s="5">
        <v>45975</v>
      </c>
      <c r="K61" s="15">
        <f t="shared" si="3"/>
        <v>4</v>
      </c>
      <c r="L61">
        <f t="shared" si="1"/>
        <v>3</v>
      </c>
      <c r="M61">
        <f t="shared" si="2"/>
        <v>4</v>
      </c>
      <c r="N61">
        <v>2</v>
      </c>
      <c r="O61">
        <f>DATEDIF(Table1[[#This Row],[lead_date]], Table1[[#This Row],[delivery_date]], "d")</f>
        <v>11</v>
      </c>
      <c r="P61" s="5" t="str">
        <f>IF(AND(Table1[[#This Row],[customer_rating]]&gt;=8, Table1[[#This Row],[Tat_day]]&lt;=7, Table1[[#This Row],[lead_type]]="Hot"), "High", "Normal")</f>
        <v>Normal</v>
      </c>
      <c r="Q61" s="5" t="str">
        <f>IF(Table1[[#This Row],[customer_rating]]&gt;=9,"Promoter",IF(Table1[[#This Row],[customer_rating]]&gt;=7,"Passive","Detractor"))</f>
        <v>Detractor</v>
      </c>
      <c r="R61" s="5"/>
    </row>
    <row r="62" spans="1:18">
      <c r="A62" t="s">
        <v>87</v>
      </c>
      <c r="B62" t="s">
        <v>19</v>
      </c>
      <c r="C62" t="s">
        <v>15</v>
      </c>
      <c r="D62" s="5">
        <v>45942</v>
      </c>
      <c r="E62" s="5">
        <v>45947</v>
      </c>
      <c r="F62" s="5">
        <v>45949</v>
      </c>
      <c r="G62" s="5">
        <v>45955</v>
      </c>
      <c r="H62" t="s">
        <v>16</v>
      </c>
      <c r="I62" t="s">
        <v>17</v>
      </c>
      <c r="J62" s="5">
        <v>45984</v>
      </c>
      <c r="K62" s="15">
        <f t="shared" si="3"/>
        <v>5</v>
      </c>
      <c r="L62">
        <f t="shared" si="1"/>
        <v>2</v>
      </c>
      <c r="M62">
        <f t="shared" si="2"/>
        <v>6</v>
      </c>
      <c r="N62">
        <v>7</v>
      </c>
      <c r="O62">
        <f>DATEDIF(Table1[[#This Row],[lead_date]], Table1[[#This Row],[delivery_date]], "d")</f>
        <v>13</v>
      </c>
      <c r="P62" s="5" t="str">
        <f>IF(AND(Table1[[#This Row],[customer_rating]]&gt;=8, Table1[[#This Row],[Tat_day]]&lt;=7, Table1[[#This Row],[lead_type]]="Hot"), "High", "Normal")</f>
        <v>Normal</v>
      </c>
      <c r="Q62" s="5" t="str">
        <f>IF(Table1[[#This Row],[customer_rating]]&gt;=9,"Promoter",IF(Table1[[#This Row],[customer_rating]]&gt;=7,"Passive","Detractor"))</f>
        <v>Passive</v>
      </c>
      <c r="R62" s="5"/>
    </row>
    <row r="63" spans="1:18">
      <c r="A63" t="s">
        <v>88</v>
      </c>
      <c r="B63" t="s">
        <v>19</v>
      </c>
      <c r="C63" t="s">
        <v>30</v>
      </c>
      <c r="D63" s="5">
        <v>45956</v>
      </c>
      <c r="E63" s="5">
        <v>45961</v>
      </c>
      <c r="F63" s="5">
        <v>45965</v>
      </c>
      <c r="G63" s="5">
        <v>45971</v>
      </c>
      <c r="H63" t="s">
        <v>16</v>
      </c>
      <c r="I63" t="s">
        <v>17</v>
      </c>
      <c r="J63" s="5">
        <v>45992</v>
      </c>
      <c r="K63" s="15">
        <f t="shared" si="3"/>
        <v>5</v>
      </c>
      <c r="L63">
        <f t="shared" si="1"/>
        <v>4</v>
      </c>
      <c r="M63">
        <f t="shared" si="2"/>
        <v>6</v>
      </c>
      <c r="N63">
        <v>9</v>
      </c>
      <c r="O63">
        <f>DATEDIF(Table1[[#This Row],[lead_date]], Table1[[#This Row],[delivery_date]], "d")</f>
        <v>15</v>
      </c>
      <c r="P63" s="5" t="str">
        <f>IF(AND(Table1[[#This Row],[customer_rating]]&gt;=8, Table1[[#This Row],[Tat_day]]&lt;=7, Table1[[#This Row],[lead_type]]="Hot"), "High", "Normal")</f>
        <v>Normal</v>
      </c>
      <c r="Q63" s="5" t="str">
        <f>IF(Table1[[#This Row],[customer_rating]]&gt;=9,"Promoter",IF(Table1[[#This Row],[customer_rating]]&gt;=7,"Passive","Detractor"))</f>
        <v>Promoter</v>
      </c>
      <c r="R63" s="5"/>
    </row>
    <row r="64" spans="1:18">
      <c r="A64" t="s">
        <v>89</v>
      </c>
      <c r="B64" t="s">
        <v>21</v>
      </c>
      <c r="C64" t="s">
        <v>15</v>
      </c>
      <c r="D64" s="5">
        <v>45939</v>
      </c>
      <c r="E64" s="5">
        <v>45944</v>
      </c>
      <c r="F64" s="5">
        <v>45949</v>
      </c>
      <c r="G64" s="5">
        <v>45951</v>
      </c>
      <c r="H64" t="s">
        <v>16</v>
      </c>
      <c r="I64" t="s">
        <v>17</v>
      </c>
      <c r="J64" s="5">
        <v>45968</v>
      </c>
      <c r="K64" s="15">
        <f t="shared" si="3"/>
        <v>5</v>
      </c>
      <c r="L64">
        <f t="shared" si="1"/>
        <v>5</v>
      </c>
      <c r="M64">
        <f t="shared" si="2"/>
        <v>2</v>
      </c>
      <c r="N64">
        <v>3</v>
      </c>
      <c r="O64">
        <f>DATEDIF(Table1[[#This Row],[lead_date]], Table1[[#This Row],[delivery_date]], "d")</f>
        <v>12</v>
      </c>
      <c r="P64" s="5" t="str">
        <f>IF(AND(Table1[[#This Row],[customer_rating]]&gt;=8, Table1[[#This Row],[Tat_day]]&lt;=7, Table1[[#This Row],[lead_type]]="Hot"), "High", "Normal")</f>
        <v>Normal</v>
      </c>
      <c r="Q64" s="5" t="str">
        <f>IF(Table1[[#This Row],[customer_rating]]&gt;=9,"Promoter",IF(Table1[[#This Row],[customer_rating]]&gt;=7,"Passive","Detractor"))</f>
        <v>Detractor</v>
      </c>
      <c r="R64" s="5"/>
    </row>
    <row r="65" spans="1:18">
      <c r="A65" t="s">
        <v>90</v>
      </c>
      <c r="B65" t="s">
        <v>14</v>
      </c>
      <c r="C65" t="s">
        <v>30</v>
      </c>
      <c r="D65" s="5">
        <v>45941</v>
      </c>
      <c r="E65" s="5">
        <v>45946</v>
      </c>
      <c r="F65" s="5">
        <v>45949</v>
      </c>
      <c r="G65" s="5">
        <v>45956</v>
      </c>
      <c r="H65" t="s">
        <v>16</v>
      </c>
      <c r="I65" t="s">
        <v>17</v>
      </c>
      <c r="J65" s="5">
        <v>45984</v>
      </c>
      <c r="K65" s="15">
        <f t="shared" si="3"/>
        <v>5</v>
      </c>
      <c r="L65">
        <f t="shared" si="1"/>
        <v>3</v>
      </c>
      <c r="M65">
        <f t="shared" si="2"/>
        <v>7</v>
      </c>
      <c r="N65">
        <v>3</v>
      </c>
      <c r="O65">
        <f>DATEDIF(Table1[[#This Row],[lead_date]], Table1[[#This Row],[delivery_date]], "d")</f>
        <v>15</v>
      </c>
      <c r="P65" s="5" t="str">
        <f>IF(AND(Table1[[#This Row],[customer_rating]]&gt;=8, Table1[[#This Row],[Tat_day]]&lt;=7, Table1[[#This Row],[lead_type]]="Hot"), "High", "Normal")</f>
        <v>Normal</v>
      </c>
      <c r="Q65" s="5" t="str">
        <f>IF(Table1[[#This Row],[customer_rating]]&gt;=9,"Promoter",IF(Table1[[#This Row],[customer_rating]]&gt;=7,"Passive","Detractor"))</f>
        <v>Detractor</v>
      </c>
      <c r="R65" s="5"/>
    </row>
    <row r="66" spans="1:18">
      <c r="A66" t="s">
        <v>91</v>
      </c>
      <c r="B66" t="s">
        <v>14</v>
      </c>
      <c r="C66" t="s">
        <v>22</v>
      </c>
      <c r="D66" s="5">
        <v>45939</v>
      </c>
      <c r="H66" t="s">
        <v>23</v>
      </c>
      <c r="I66" t="s">
        <v>24</v>
      </c>
      <c r="K66" s="15" t="str">
        <f t="shared" si="3"/>
        <v/>
      </c>
      <c r="L66" t="str">
        <f t="shared" si="1"/>
        <v/>
      </c>
      <c r="M66" t="str">
        <f t="shared" si="2"/>
        <v/>
      </c>
      <c r="O66"/>
      <c r="P66" s="5" t="str">
        <f>IF(AND(Table1[[#This Row],[customer_rating]]&gt;=8, Table1[[#This Row],[Tat_day]]&lt;=7, Table1[[#This Row],[lead_type]]="Hot"), "High", "Normal")</f>
        <v>Normal</v>
      </c>
      <c r="Q66" s="5" t="str">
        <f>IF(Table1[[#This Row],[customer_rating]]&gt;=9,"Promoter",IF(Table1[[#This Row],[customer_rating]]&gt;=7,"Passive","Detractor"))</f>
        <v>Detractor</v>
      </c>
      <c r="R66" s="5"/>
    </row>
    <row r="67" spans="1:18">
      <c r="A67" t="s">
        <v>92</v>
      </c>
      <c r="B67" t="s">
        <v>19</v>
      </c>
      <c r="C67" t="s">
        <v>15</v>
      </c>
      <c r="D67" s="5">
        <v>45959</v>
      </c>
      <c r="E67" s="5">
        <v>45960</v>
      </c>
      <c r="F67" s="5">
        <v>45965</v>
      </c>
      <c r="G67" s="5">
        <v>45968</v>
      </c>
      <c r="H67" t="s">
        <v>16</v>
      </c>
      <c r="I67" t="s">
        <v>17</v>
      </c>
      <c r="J67" s="5">
        <v>45983</v>
      </c>
      <c r="K67" s="15">
        <f t="shared" si="3"/>
        <v>1</v>
      </c>
      <c r="L67">
        <f t="shared" ref="L67:L130" si="4">IF(OR(E67="", F67=""), "", INT(F67 - E67))</f>
        <v>5</v>
      </c>
      <c r="M67">
        <f t="shared" ref="M67:M130" si="5">IF(OR(F67="", G67=""), "", INT(G67 - F67))</f>
        <v>3</v>
      </c>
      <c r="N67">
        <v>10</v>
      </c>
      <c r="O67">
        <f>DATEDIF(Table1[[#This Row],[lead_date]], Table1[[#This Row],[delivery_date]], "d")</f>
        <v>9</v>
      </c>
      <c r="P67" s="5" t="str">
        <f>IF(AND(Table1[[#This Row],[customer_rating]]&gt;=8, Table1[[#This Row],[Tat_day]]&lt;=7, Table1[[#This Row],[lead_type]]="Hot"), "High", "Normal")</f>
        <v>Normal</v>
      </c>
      <c r="Q67" s="5" t="str">
        <f>IF(Table1[[#This Row],[customer_rating]]&gt;=9,"Promoter",IF(Table1[[#This Row],[customer_rating]]&gt;=7,"Passive","Detractor"))</f>
        <v>Promoter</v>
      </c>
      <c r="R67" s="5"/>
    </row>
    <row r="68" spans="1:18">
      <c r="A68" t="s">
        <v>93</v>
      </c>
      <c r="B68" t="s">
        <v>14</v>
      </c>
      <c r="C68" t="s">
        <v>15</v>
      </c>
      <c r="D68" s="5">
        <v>45950</v>
      </c>
      <c r="E68" s="5">
        <v>45955</v>
      </c>
      <c r="F68" s="5">
        <v>45958</v>
      </c>
      <c r="G68" s="5">
        <v>45962</v>
      </c>
      <c r="H68" t="s">
        <v>16</v>
      </c>
      <c r="I68" t="s">
        <v>17</v>
      </c>
      <c r="J68" s="5">
        <v>45984</v>
      </c>
      <c r="K68" s="15">
        <f t="shared" si="3"/>
        <v>5</v>
      </c>
      <c r="L68">
        <f t="shared" si="4"/>
        <v>3</v>
      </c>
      <c r="M68">
        <f t="shared" si="5"/>
        <v>4</v>
      </c>
      <c r="N68">
        <v>4</v>
      </c>
      <c r="O68">
        <f>DATEDIF(Table1[[#This Row],[lead_date]], Table1[[#This Row],[delivery_date]], "d")</f>
        <v>12</v>
      </c>
      <c r="P68" s="5" t="str">
        <f>IF(AND(Table1[[#This Row],[customer_rating]]&gt;=8, Table1[[#This Row],[Tat_day]]&lt;=7, Table1[[#This Row],[lead_type]]="Hot"), "High", "Normal")</f>
        <v>Normal</v>
      </c>
      <c r="Q68" s="5" t="str">
        <f>IF(Table1[[#This Row],[customer_rating]]&gt;=9,"Promoter",IF(Table1[[#This Row],[customer_rating]]&gt;=7,"Passive","Detractor"))</f>
        <v>Detractor</v>
      </c>
      <c r="R68" s="5"/>
    </row>
    <row r="69" spans="1:18">
      <c r="A69" t="s">
        <v>94</v>
      </c>
      <c r="B69" t="s">
        <v>19</v>
      </c>
      <c r="C69" t="s">
        <v>30</v>
      </c>
      <c r="D69" s="5">
        <v>45953</v>
      </c>
      <c r="E69" s="5">
        <v>45956</v>
      </c>
      <c r="F69" s="5">
        <v>45959</v>
      </c>
      <c r="G69" s="5">
        <v>45961</v>
      </c>
      <c r="H69" t="s">
        <v>16</v>
      </c>
      <c r="I69" t="s">
        <v>17</v>
      </c>
      <c r="J69" s="5">
        <v>45980</v>
      </c>
      <c r="K69" s="15">
        <f t="shared" si="3"/>
        <v>3</v>
      </c>
      <c r="L69">
        <f t="shared" si="4"/>
        <v>3</v>
      </c>
      <c r="M69">
        <f t="shared" si="5"/>
        <v>2</v>
      </c>
      <c r="N69">
        <v>5</v>
      </c>
      <c r="O69">
        <f>DATEDIF(Table1[[#This Row],[lead_date]], Table1[[#This Row],[delivery_date]], "d")</f>
        <v>8</v>
      </c>
      <c r="P69" s="5" t="str">
        <f>IF(AND(Table1[[#This Row],[customer_rating]]&gt;=8, Table1[[#This Row],[Tat_day]]&lt;=7, Table1[[#This Row],[lead_type]]="Hot"), "High", "Normal")</f>
        <v>Normal</v>
      </c>
      <c r="Q69" s="5" t="str">
        <f>IF(Table1[[#This Row],[customer_rating]]&gt;=9,"Promoter",IF(Table1[[#This Row],[customer_rating]]&gt;=7,"Passive","Detractor"))</f>
        <v>Detractor</v>
      </c>
      <c r="R69" s="5"/>
    </row>
    <row r="70" spans="1:18">
      <c r="A70" t="s">
        <v>95</v>
      </c>
      <c r="B70" t="s">
        <v>14</v>
      </c>
      <c r="C70" t="s">
        <v>22</v>
      </c>
      <c r="D70" s="5">
        <v>45959</v>
      </c>
      <c r="H70" t="s">
        <v>23</v>
      </c>
      <c r="I70" t="s">
        <v>63</v>
      </c>
      <c r="K70" s="15" t="str">
        <f t="shared" si="3"/>
        <v/>
      </c>
      <c r="L70" t="str">
        <f t="shared" si="4"/>
        <v/>
      </c>
      <c r="M70" t="str">
        <f t="shared" si="5"/>
        <v/>
      </c>
      <c r="O70"/>
      <c r="P70" s="5" t="str">
        <f>IF(AND(Table1[[#This Row],[customer_rating]]&gt;=8, Table1[[#This Row],[Tat_day]]&lt;=7, Table1[[#This Row],[lead_type]]="Hot"), "High", "Normal")</f>
        <v>Normal</v>
      </c>
      <c r="Q70" s="5" t="str">
        <f>IF(Table1[[#This Row],[customer_rating]]&gt;=9,"Promoter",IF(Table1[[#This Row],[customer_rating]]&gt;=7,"Passive","Detractor"))</f>
        <v>Detractor</v>
      </c>
      <c r="R70" s="5"/>
    </row>
    <row r="71" spans="1:18">
      <c r="A71" t="s">
        <v>96</v>
      </c>
      <c r="B71" t="s">
        <v>21</v>
      </c>
      <c r="C71" t="s">
        <v>30</v>
      </c>
      <c r="D71" s="5">
        <v>45939</v>
      </c>
      <c r="E71" s="5">
        <v>45940</v>
      </c>
      <c r="F71" s="5">
        <v>45945</v>
      </c>
      <c r="G71" s="5">
        <v>45948</v>
      </c>
      <c r="H71" t="s">
        <v>16</v>
      </c>
      <c r="I71" t="s">
        <v>17</v>
      </c>
      <c r="J71" s="5">
        <v>45967</v>
      </c>
      <c r="K71" s="15">
        <f t="shared" si="3"/>
        <v>1</v>
      </c>
      <c r="L71">
        <f t="shared" si="4"/>
        <v>5</v>
      </c>
      <c r="M71">
        <f t="shared" si="5"/>
        <v>3</v>
      </c>
      <c r="N71">
        <v>1</v>
      </c>
      <c r="O71">
        <f>DATEDIF(Table1[[#This Row],[lead_date]], Table1[[#This Row],[delivery_date]], "d")</f>
        <v>9</v>
      </c>
      <c r="P71" s="5" t="str">
        <f>IF(AND(Table1[[#This Row],[customer_rating]]&gt;=8, Table1[[#This Row],[Tat_day]]&lt;=7, Table1[[#This Row],[lead_type]]="Hot"), "High", "Normal")</f>
        <v>Normal</v>
      </c>
      <c r="Q71" s="5" t="str">
        <f>IF(Table1[[#This Row],[customer_rating]]&gt;=9,"Promoter",IF(Table1[[#This Row],[customer_rating]]&gt;=7,"Passive","Detractor"))</f>
        <v>Detractor</v>
      </c>
      <c r="R71" s="5"/>
    </row>
    <row r="72" spans="1:18">
      <c r="A72" t="s">
        <v>97</v>
      </c>
      <c r="B72" t="s">
        <v>14</v>
      </c>
      <c r="C72" t="s">
        <v>30</v>
      </c>
      <c r="D72" s="5">
        <v>45948</v>
      </c>
      <c r="E72" s="5">
        <v>45950</v>
      </c>
      <c r="F72" s="5">
        <v>45954</v>
      </c>
      <c r="G72" s="5">
        <v>45958</v>
      </c>
      <c r="H72" t="s">
        <v>16</v>
      </c>
      <c r="I72" t="s">
        <v>17</v>
      </c>
      <c r="J72" s="5">
        <v>45972</v>
      </c>
      <c r="K72" s="15">
        <f t="shared" si="3"/>
        <v>2</v>
      </c>
      <c r="L72">
        <f t="shared" si="4"/>
        <v>4</v>
      </c>
      <c r="M72">
        <f t="shared" si="5"/>
        <v>4</v>
      </c>
      <c r="N72">
        <v>10</v>
      </c>
      <c r="O72">
        <f>DATEDIF(Table1[[#This Row],[lead_date]], Table1[[#This Row],[delivery_date]], "d")</f>
        <v>10</v>
      </c>
      <c r="P72" s="5" t="str">
        <f>IF(AND(Table1[[#This Row],[customer_rating]]&gt;=8, Table1[[#This Row],[Tat_day]]&lt;=7, Table1[[#This Row],[lead_type]]="Hot"), "High", "Normal")</f>
        <v>Normal</v>
      </c>
      <c r="Q72" s="5" t="str">
        <f>IF(Table1[[#This Row],[customer_rating]]&gt;=9,"Promoter",IF(Table1[[#This Row],[customer_rating]]&gt;=7,"Passive","Detractor"))</f>
        <v>Promoter</v>
      </c>
      <c r="R72" s="5"/>
    </row>
    <row r="73" spans="1:18">
      <c r="A73" t="s">
        <v>98</v>
      </c>
      <c r="B73" t="s">
        <v>14</v>
      </c>
      <c r="C73" t="s">
        <v>15</v>
      </c>
      <c r="D73" s="5">
        <v>45931</v>
      </c>
      <c r="E73" s="5">
        <v>45934</v>
      </c>
      <c r="F73" s="5">
        <v>45936</v>
      </c>
      <c r="G73" s="5">
        <v>45938</v>
      </c>
      <c r="H73" t="s">
        <v>16</v>
      </c>
      <c r="I73" t="s">
        <v>17</v>
      </c>
      <c r="J73" s="5">
        <v>45953</v>
      </c>
      <c r="K73" s="15">
        <f t="shared" ref="K73:K136" si="6">IF(OR(D73="",E73=""),"",INT(E73-D73))</f>
        <v>3</v>
      </c>
      <c r="L73">
        <f t="shared" si="4"/>
        <v>2</v>
      </c>
      <c r="M73">
        <f t="shared" si="5"/>
        <v>2</v>
      </c>
      <c r="N73">
        <v>7</v>
      </c>
      <c r="O73">
        <f>DATEDIF(Table1[[#This Row],[lead_date]], Table1[[#This Row],[delivery_date]], "d")</f>
        <v>7</v>
      </c>
      <c r="P73" s="5" t="str">
        <f>IF(AND(Table1[[#This Row],[customer_rating]]&gt;=8, Table1[[#This Row],[Tat_day]]&lt;=7, Table1[[#This Row],[lead_type]]="Hot"), "High", "Normal")</f>
        <v>Normal</v>
      </c>
      <c r="Q73" s="5" t="str">
        <f>IF(Table1[[#This Row],[customer_rating]]&gt;=9,"Promoter",IF(Table1[[#This Row],[customer_rating]]&gt;=7,"Passive","Detractor"))</f>
        <v>Passive</v>
      </c>
      <c r="R73" s="5"/>
    </row>
    <row r="74" spans="1:18">
      <c r="A74" t="s">
        <v>99</v>
      </c>
      <c r="B74" t="s">
        <v>32</v>
      </c>
      <c r="C74" t="s">
        <v>30</v>
      </c>
      <c r="D74" s="5">
        <v>45947</v>
      </c>
      <c r="E74" s="5">
        <v>45950</v>
      </c>
      <c r="F74" s="5">
        <v>45952</v>
      </c>
      <c r="G74" s="5">
        <v>45955</v>
      </c>
      <c r="H74" t="s">
        <v>16</v>
      </c>
      <c r="I74" t="s">
        <v>17</v>
      </c>
      <c r="J74" s="5">
        <v>45965</v>
      </c>
      <c r="K74" s="15">
        <f t="shared" si="6"/>
        <v>3</v>
      </c>
      <c r="L74">
        <f t="shared" si="4"/>
        <v>2</v>
      </c>
      <c r="M74">
        <f t="shared" si="5"/>
        <v>3</v>
      </c>
      <c r="N74">
        <v>6</v>
      </c>
      <c r="O74">
        <f>DATEDIF(Table1[[#This Row],[lead_date]], Table1[[#This Row],[delivery_date]], "d")</f>
        <v>8</v>
      </c>
      <c r="P74" s="5" t="str">
        <f>IF(AND(Table1[[#This Row],[customer_rating]]&gt;=8, Table1[[#This Row],[Tat_day]]&lt;=7, Table1[[#This Row],[lead_type]]="Hot"), "High", "Normal")</f>
        <v>Normal</v>
      </c>
      <c r="Q74" s="5" t="str">
        <f>IF(Table1[[#This Row],[customer_rating]]&gt;=9,"Promoter",IF(Table1[[#This Row],[customer_rating]]&gt;=7,"Passive","Detractor"))</f>
        <v>Detractor</v>
      </c>
      <c r="R74" s="5"/>
    </row>
    <row r="75" spans="1:18">
      <c r="A75" t="s">
        <v>100</v>
      </c>
      <c r="B75" t="s">
        <v>19</v>
      </c>
      <c r="C75" t="s">
        <v>22</v>
      </c>
      <c r="D75" s="5">
        <v>45961</v>
      </c>
      <c r="H75" t="s">
        <v>23</v>
      </c>
      <c r="I75" t="s">
        <v>101</v>
      </c>
      <c r="K75" s="15" t="str">
        <f t="shared" si="6"/>
        <v/>
      </c>
      <c r="L75" t="str">
        <f t="shared" si="4"/>
        <v/>
      </c>
      <c r="M75" t="str">
        <f t="shared" si="5"/>
        <v/>
      </c>
      <c r="O75"/>
      <c r="P75" s="5" t="str">
        <f>IF(AND(Table1[[#This Row],[customer_rating]]&gt;=8, Table1[[#This Row],[Tat_day]]&lt;=7, Table1[[#This Row],[lead_type]]="Hot"), "High", "Normal")</f>
        <v>Normal</v>
      </c>
      <c r="Q75" s="5" t="str">
        <f>IF(Table1[[#This Row],[customer_rating]]&gt;=9,"Promoter",IF(Table1[[#This Row],[customer_rating]]&gt;=7,"Passive","Detractor"))</f>
        <v>Detractor</v>
      </c>
      <c r="R75" s="5"/>
    </row>
    <row r="76" spans="1:18">
      <c r="A76" t="s">
        <v>102</v>
      </c>
      <c r="B76" t="s">
        <v>14</v>
      </c>
      <c r="C76" t="s">
        <v>15</v>
      </c>
      <c r="D76" s="5">
        <v>45937</v>
      </c>
      <c r="E76" s="5">
        <v>45940</v>
      </c>
      <c r="F76" s="5">
        <v>45943</v>
      </c>
      <c r="G76" s="5">
        <v>45947</v>
      </c>
      <c r="H76" t="s">
        <v>16</v>
      </c>
      <c r="I76" t="s">
        <v>17</v>
      </c>
      <c r="J76" s="5">
        <v>45975</v>
      </c>
      <c r="K76" s="15">
        <f t="shared" si="6"/>
        <v>3</v>
      </c>
      <c r="L76">
        <f t="shared" si="4"/>
        <v>3</v>
      </c>
      <c r="M76">
        <f t="shared" si="5"/>
        <v>4</v>
      </c>
      <c r="N76">
        <v>0</v>
      </c>
      <c r="O76">
        <f>DATEDIF(Table1[[#This Row],[lead_date]], Table1[[#This Row],[delivery_date]], "d")</f>
        <v>10</v>
      </c>
      <c r="P76" s="5" t="str">
        <f>IF(AND(Table1[[#This Row],[customer_rating]]&gt;=8, Table1[[#This Row],[Tat_day]]&lt;=7, Table1[[#This Row],[lead_type]]="Hot"), "High", "Normal")</f>
        <v>Normal</v>
      </c>
      <c r="Q76" s="5" t="str">
        <f>IF(Table1[[#This Row],[customer_rating]]&gt;=9,"Promoter",IF(Table1[[#This Row],[customer_rating]]&gt;=7,"Passive","Detractor"))</f>
        <v>Detractor</v>
      </c>
      <c r="R76" s="5"/>
    </row>
    <row r="77" spans="1:18">
      <c r="A77" t="s">
        <v>103</v>
      </c>
      <c r="B77" t="s">
        <v>14</v>
      </c>
      <c r="C77" t="s">
        <v>30</v>
      </c>
      <c r="D77" s="5">
        <v>45933</v>
      </c>
      <c r="E77" s="5">
        <v>45936</v>
      </c>
      <c r="F77" s="5">
        <v>45941</v>
      </c>
      <c r="G77" s="5">
        <v>45948</v>
      </c>
      <c r="H77" t="s">
        <v>16</v>
      </c>
      <c r="I77" t="s">
        <v>17</v>
      </c>
      <c r="J77" s="5">
        <v>45970</v>
      </c>
      <c r="K77" s="15">
        <f t="shared" si="6"/>
        <v>3</v>
      </c>
      <c r="L77">
        <f t="shared" si="4"/>
        <v>5</v>
      </c>
      <c r="M77">
        <f t="shared" si="5"/>
        <v>7</v>
      </c>
      <c r="N77">
        <v>1</v>
      </c>
      <c r="O77">
        <f>DATEDIF(Table1[[#This Row],[lead_date]], Table1[[#This Row],[delivery_date]], "d")</f>
        <v>15</v>
      </c>
      <c r="P77" s="5" t="str">
        <f>IF(AND(Table1[[#This Row],[customer_rating]]&gt;=8, Table1[[#This Row],[Tat_day]]&lt;=7, Table1[[#This Row],[lead_type]]="Hot"), "High", "Normal")</f>
        <v>Normal</v>
      </c>
      <c r="Q77" s="5" t="str">
        <f>IF(Table1[[#This Row],[customer_rating]]&gt;=9,"Promoter",IF(Table1[[#This Row],[customer_rating]]&gt;=7,"Passive","Detractor"))</f>
        <v>Detractor</v>
      </c>
      <c r="R77" s="5"/>
    </row>
    <row r="78" spans="1:18">
      <c r="A78" t="s">
        <v>104</v>
      </c>
      <c r="B78" t="s">
        <v>32</v>
      </c>
      <c r="C78" t="s">
        <v>15</v>
      </c>
      <c r="D78" s="5">
        <v>45938</v>
      </c>
      <c r="E78" s="5">
        <v>45939</v>
      </c>
      <c r="F78" s="5">
        <v>45942</v>
      </c>
      <c r="G78" s="5">
        <v>45945</v>
      </c>
      <c r="H78" t="s">
        <v>16</v>
      </c>
      <c r="I78" t="s">
        <v>17</v>
      </c>
      <c r="J78" s="5">
        <v>45973</v>
      </c>
      <c r="K78" s="15">
        <f t="shared" si="6"/>
        <v>1</v>
      </c>
      <c r="L78">
        <f t="shared" si="4"/>
        <v>3</v>
      </c>
      <c r="M78">
        <f t="shared" si="5"/>
        <v>3</v>
      </c>
      <c r="N78">
        <v>8</v>
      </c>
      <c r="O78">
        <f>DATEDIF(Table1[[#This Row],[lead_date]], Table1[[#This Row],[delivery_date]], "d")</f>
        <v>7</v>
      </c>
      <c r="P78" s="5" t="str">
        <f>IF(AND(Table1[[#This Row],[customer_rating]]&gt;=8, Table1[[#This Row],[Tat_day]]&lt;=7, Table1[[#This Row],[lead_type]]="Hot"), "High", "Normal")</f>
        <v>Normal</v>
      </c>
      <c r="Q78" s="5" t="str">
        <f>IF(Table1[[#This Row],[customer_rating]]&gt;=9,"Promoter",IF(Table1[[#This Row],[customer_rating]]&gt;=7,"Passive","Detractor"))</f>
        <v>Passive</v>
      </c>
      <c r="R78" s="5"/>
    </row>
    <row r="79" spans="1:18">
      <c r="A79" t="s">
        <v>105</v>
      </c>
      <c r="B79" t="s">
        <v>32</v>
      </c>
      <c r="C79" t="s">
        <v>22</v>
      </c>
      <c r="D79" s="5">
        <v>45954</v>
      </c>
      <c r="H79" t="s">
        <v>23</v>
      </c>
      <c r="I79" t="s">
        <v>24</v>
      </c>
      <c r="K79" s="15" t="str">
        <f t="shared" si="6"/>
        <v/>
      </c>
      <c r="L79" t="str">
        <f t="shared" si="4"/>
        <v/>
      </c>
      <c r="M79" t="str">
        <f t="shared" si="5"/>
        <v/>
      </c>
      <c r="O79"/>
      <c r="P79" s="5" t="str">
        <f>IF(AND(Table1[[#This Row],[customer_rating]]&gt;=8, Table1[[#This Row],[Tat_day]]&lt;=7, Table1[[#This Row],[lead_type]]="Hot"), "High", "Normal")</f>
        <v>Normal</v>
      </c>
      <c r="Q79" s="5" t="str">
        <f>IF(Table1[[#This Row],[customer_rating]]&gt;=9,"Promoter",IF(Table1[[#This Row],[customer_rating]]&gt;=7,"Passive","Detractor"))</f>
        <v>Detractor</v>
      </c>
      <c r="R79" s="5"/>
    </row>
    <row r="80" spans="1:18">
      <c r="A80" t="s">
        <v>106</v>
      </c>
      <c r="B80" t="s">
        <v>19</v>
      </c>
      <c r="C80" t="s">
        <v>22</v>
      </c>
      <c r="D80" s="5">
        <v>45944</v>
      </c>
      <c r="H80" t="s">
        <v>23</v>
      </c>
      <c r="I80" t="s">
        <v>63</v>
      </c>
      <c r="K80" s="15" t="str">
        <f t="shared" si="6"/>
        <v/>
      </c>
      <c r="L80" t="str">
        <f t="shared" si="4"/>
        <v/>
      </c>
      <c r="M80" t="str">
        <f t="shared" si="5"/>
        <v/>
      </c>
      <c r="O80"/>
      <c r="P80" s="5" t="str">
        <f>IF(AND(Table1[[#This Row],[customer_rating]]&gt;=8, Table1[[#This Row],[Tat_day]]&lt;=7, Table1[[#This Row],[lead_type]]="Hot"), "High", "Normal")</f>
        <v>Normal</v>
      </c>
      <c r="Q80" s="5" t="str">
        <f>IF(Table1[[#This Row],[customer_rating]]&gt;=9,"Promoter",IF(Table1[[#This Row],[customer_rating]]&gt;=7,"Passive","Detractor"))</f>
        <v>Detractor</v>
      </c>
      <c r="R80" s="5"/>
    </row>
    <row r="81" spans="1:18">
      <c r="A81" t="s">
        <v>107</v>
      </c>
      <c r="B81" t="s">
        <v>32</v>
      </c>
      <c r="C81" t="s">
        <v>15</v>
      </c>
      <c r="D81" s="5">
        <v>45946</v>
      </c>
      <c r="E81" s="5">
        <v>45948</v>
      </c>
      <c r="F81" s="5">
        <v>45950</v>
      </c>
      <c r="G81" s="5">
        <v>45956</v>
      </c>
      <c r="H81" t="s">
        <v>23</v>
      </c>
      <c r="I81" t="s">
        <v>33</v>
      </c>
      <c r="K81" s="15">
        <f t="shared" si="6"/>
        <v>2</v>
      </c>
      <c r="L81">
        <f t="shared" si="4"/>
        <v>2</v>
      </c>
      <c r="M81">
        <f t="shared" si="5"/>
        <v>6</v>
      </c>
      <c r="O81">
        <f>DATEDIF(Table1[[#This Row],[lead_date]], Table1[[#This Row],[delivery_date]], "d")</f>
        <v>10</v>
      </c>
      <c r="P81" s="5" t="str">
        <f>IF(AND(Table1[[#This Row],[customer_rating]]&gt;=8, Table1[[#This Row],[Tat_day]]&lt;=7, Table1[[#This Row],[lead_type]]="Hot"), "High", "Normal")</f>
        <v>Normal</v>
      </c>
      <c r="Q81" s="5" t="str">
        <f>IF(Table1[[#This Row],[customer_rating]]&gt;=9,"Promoter",IF(Table1[[#This Row],[customer_rating]]&gt;=7,"Passive","Detractor"))</f>
        <v>Detractor</v>
      </c>
      <c r="R81" s="5"/>
    </row>
    <row r="82" spans="1:18">
      <c r="A82" t="s">
        <v>108</v>
      </c>
      <c r="B82" t="s">
        <v>21</v>
      </c>
      <c r="C82" t="s">
        <v>22</v>
      </c>
      <c r="D82" s="5">
        <v>45948</v>
      </c>
      <c r="H82" t="s">
        <v>23</v>
      </c>
      <c r="I82" t="s">
        <v>24</v>
      </c>
      <c r="K82" s="15" t="str">
        <f t="shared" si="6"/>
        <v/>
      </c>
      <c r="L82" t="str">
        <f t="shared" si="4"/>
        <v/>
      </c>
      <c r="M82" t="str">
        <f t="shared" si="5"/>
        <v/>
      </c>
      <c r="O82"/>
      <c r="P82" s="5" t="str">
        <f>IF(AND(Table1[[#This Row],[customer_rating]]&gt;=8, Table1[[#This Row],[Tat_day]]&lt;=7, Table1[[#This Row],[lead_type]]="Hot"), "High", "Normal")</f>
        <v>Normal</v>
      </c>
      <c r="Q82" s="5" t="str">
        <f>IF(Table1[[#This Row],[customer_rating]]&gt;=9,"Promoter",IF(Table1[[#This Row],[customer_rating]]&gt;=7,"Passive","Detractor"))</f>
        <v>Detractor</v>
      </c>
      <c r="R82" s="5"/>
    </row>
    <row r="83" spans="1:18">
      <c r="A83" t="s">
        <v>109</v>
      </c>
      <c r="B83" t="s">
        <v>32</v>
      </c>
      <c r="C83" t="s">
        <v>22</v>
      </c>
      <c r="D83" s="5">
        <v>45955</v>
      </c>
      <c r="H83" t="s">
        <v>23</v>
      </c>
      <c r="I83" t="s">
        <v>24</v>
      </c>
      <c r="K83" s="15" t="str">
        <f t="shared" si="6"/>
        <v/>
      </c>
      <c r="L83" t="str">
        <f t="shared" si="4"/>
        <v/>
      </c>
      <c r="M83" t="str">
        <f t="shared" si="5"/>
        <v/>
      </c>
      <c r="O83"/>
      <c r="P83" s="5" t="str">
        <f>IF(AND(Table1[[#This Row],[customer_rating]]&gt;=8, Table1[[#This Row],[Tat_day]]&lt;=7, Table1[[#This Row],[lead_type]]="Hot"), "High", "Normal")</f>
        <v>Normal</v>
      </c>
      <c r="Q83" s="5" t="str">
        <f>IF(Table1[[#This Row],[customer_rating]]&gt;=9,"Promoter",IF(Table1[[#This Row],[customer_rating]]&gt;=7,"Passive","Detractor"))</f>
        <v>Detractor</v>
      </c>
      <c r="R83" s="5"/>
    </row>
    <row r="84" spans="1:18">
      <c r="A84" t="s">
        <v>110</v>
      </c>
      <c r="B84" t="s">
        <v>21</v>
      </c>
      <c r="C84" t="s">
        <v>15</v>
      </c>
      <c r="D84" s="5">
        <v>45938</v>
      </c>
      <c r="E84" s="5">
        <v>45940</v>
      </c>
      <c r="F84" s="5">
        <v>45943</v>
      </c>
      <c r="G84" s="5">
        <v>45948</v>
      </c>
      <c r="H84" t="s">
        <v>16</v>
      </c>
      <c r="I84" t="s">
        <v>17</v>
      </c>
      <c r="J84" s="5">
        <v>45959</v>
      </c>
      <c r="K84" s="15">
        <f t="shared" si="6"/>
        <v>2</v>
      </c>
      <c r="L84">
        <f t="shared" si="4"/>
        <v>3</v>
      </c>
      <c r="M84">
        <f t="shared" si="5"/>
        <v>5</v>
      </c>
      <c r="N84">
        <v>5</v>
      </c>
      <c r="O84">
        <f>DATEDIF(Table1[[#This Row],[lead_date]], Table1[[#This Row],[delivery_date]], "d")</f>
        <v>10</v>
      </c>
      <c r="P84" s="5" t="str">
        <f>IF(AND(Table1[[#This Row],[customer_rating]]&gt;=8, Table1[[#This Row],[Tat_day]]&lt;=7, Table1[[#This Row],[lead_type]]="Hot"), "High", "Normal")</f>
        <v>Normal</v>
      </c>
      <c r="Q84" s="5" t="str">
        <f>IF(Table1[[#This Row],[customer_rating]]&gt;=9,"Promoter",IF(Table1[[#This Row],[customer_rating]]&gt;=7,"Passive","Detractor"))</f>
        <v>Detractor</v>
      </c>
      <c r="R84" s="5"/>
    </row>
    <row r="85" spans="1:18">
      <c r="A85" t="s">
        <v>111</v>
      </c>
      <c r="B85" t="s">
        <v>19</v>
      </c>
      <c r="C85" t="s">
        <v>30</v>
      </c>
      <c r="D85" s="5">
        <v>45953</v>
      </c>
      <c r="E85" s="5">
        <v>45958</v>
      </c>
      <c r="F85" s="5">
        <v>45961</v>
      </c>
      <c r="G85" s="5">
        <v>45966</v>
      </c>
      <c r="H85" t="s">
        <v>16</v>
      </c>
      <c r="I85" t="s">
        <v>17</v>
      </c>
      <c r="J85" s="5">
        <v>45981</v>
      </c>
      <c r="K85" s="15">
        <f t="shared" si="6"/>
        <v>5</v>
      </c>
      <c r="L85">
        <f t="shared" si="4"/>
        <v>3</v>
      </c>
      <c r="M85">
        <f t="shared" si="5"/>
        <v>5</v>
      </c>
      <c r="N85">
        <v>5</v>
      </c>
      <c r="O85">
        <f>DATEDIF(Table1[[#This Row],[lead_date]], Table1[[#This Row],[delivery_date]], "d")</f>
        <v>13</v>
      </c>
      <c r="P85" s="5" t="str">
        <f>IF(AND(Table1[[#This Row],[customer_rating]]&gt;=8, Table1[[#This Row],[Tat_day]]&lt;=7, Table1[[#This Row],[lead_type]]="Hot"), "High", "Normal")</f>
        <v>Normal</v>
      </c>
      <c r="Q85" s="5" t="str">
        <f>IF(Table1[[#This Row],[customer_rating]]&gt;=9,"Promoter",IF(Table1[[#This Row],[customer_rating]]&gt;=7,"Passive","Detractor"))</f>
        <v>Detractor</v>
      </c>
      <c r="R85" s="5"/>
    </row>
    <row r="86" spans="1:18">
      <c r="A86" t="s">
        <v>112</v>
      </c>
      <c r="B86" t="s">
        <v>19</v>
      </c>
      <c r="C86" t="s">
        <v>15</v>
      </c>
      <c r="D86" s="5">
        <v>45946</v>
      </c>
      <c r="E86" s="5">
        <v>45950</v>
      </c>
      <c r="F86" s="5">
        <v>45952</v>
      </c>
      <c r="G86" s="5">
        <v>45958</v>
      </c>
      <c r="H86" t="s">
        <v>16</v>
      </c>
      <c r="I86" t="s">
        <v>17</v>
      </c>
      <c r="J86" s="5">
        <v>45987</v>
      </c>
      <c r="K86" s="15">
        <f t="shared" si="6"/>
        <v>4</v>
      </c>
      <c r="L86">
        <f t="shared" si="4"/>
        <v>2</v>
      </c>
      <c r="M86">
        <f t="shared" si="5"/>
        <v>6</v>
      </c>
      <c r="N86">
        <v>4</v>
      </c>
      <c r="O86">
        <f>DATEDIF(Table1[[#This Row],[lead_date]], Table1[[#This Row],[delivery_date]], "d")</f>
        <v>12</v>
      </c>
      <c r="P86" s="5" t="str">
        <f>IF(AND(Table1[[#This Row],[customer_rating]]&gt;=8, Table1[[#This Row],[Tat_day]]&lt;=7, Table1[[#This Row],[lead_type]]="Hot"), "High", "Normal")</f>
        <v>Normal</v>
      </c>
      <c r="Q86" s="5" t="str">
        <f>IF(Table1[[#This Row],[customer_rating]]&gt;=9,"Promoter",IF(Table1[[#This Row],[customer_rating]]&gt;=7,"Passive","Detractor"))</f>
        <v>Detractor</v>
      </c>
      <c r="R86" s="5"/>
    </row>
    <row r="87" spans="1:18">
      <c r="A87" t="s">
        <v>113</v>
      </c>
      <c r="B87" t="s">
        <v>19</v>
      </c>
      <c r="C87" t="s">
        <v>22</v>
      </c>
      <c r="D87" s="5">
        <v>45951</v>
      </c>
      <c r="H87" t="s">
        <v>23</v>
      </c>
      <c r="I87" t="s">
        <v>1028</v>
      </c>
      <c r="K87" s="15" t="str">
        <f t="shared" si="6"/>
        <v/>
      </c>
      <c r="L87" t="str">
        <f t="shared" si="4"/>
        <v/>
      </c>
      <c r="M87" t="str">
        <f t="shared" si="5"/>
        <v/>
      </c>
      <c r="O87"/>
      <c r="P87" s="5" t="str">
        <f>IF(AND(Table1[[#This Row],[customer_rating]]&gt;=8, Table1[[#This Row],[Tat_day]]&lt;=7, Table1[[#This Row],[lead_type]]="Hot"), "High", "Normal")</f>
        <v>Normal</v>
      </c>
      <c r="Q87" s="5" t="str">
        <f>IF(Table1[[#This Row],[customer_rating]]&gt;=9,"Promoter",IF(Table1[[#This Row],[customer_rating]]&gt;=7,"Passive","Detractor"))</f>
        <v>Detractor</v>
      </c>
      <c r="R87" s="5"/>
    </row>
    <row r="88" spans="1:18">
      <c r="A88" t="s">
        <v>114</v>
      </c>
      <c r="B88" t="s">
        <v>19</v>
      </c>
      <c r="C88" t="s">
        <v>30</v>
      </c>
      <c r="D88" s="5">
        <v>45953</v>
      </c>
      <c r="E88" s="5">
        <v>45954</v>
      </c>
      <c r="F88" s="5">
        <v>45958</v>
      </c>
      <c r="G88" s="5">
        <v>45961</v>
      </c>
      <c r="H88" t="s">
        <v>16</v>
      </c>
      <c r="I88" t="s">
        <v>17</v>
      </c>
      <c r="J88" s="5">
        <v>45981</v>
      </c>
      <c r="K88" s="15">
        <f t="shared" si="6"/>
        <v>1</v>
      </c>
      <c r="L88">
        <f t="shared" si="4"/>
        <v>4</v>
      </c>
      <c r="M88">
        <f t="shared" si="5"/>
        <v>3</v>
      </c>
      <c r="N88">
        <v>7</v>
      </c>
      <c r="O88">
        <f>DATEDIF(Table1[[#This Row],[lead_date]], Table1[[#This Row],[delivery_date]], "d")</f>
        <v>8</v>
      </c>
      <c r="P88" s="5" t="str">
        <f>IF(AND(Table1[[#This Row],[customer_rating]]&gt;=8, Table1[[#This Row],[Tat_day]]&lt;=7, Table1[[#This Row],[lead_type]]="Hot"), "High", "Normal")</f>
        <v>Normal</v>
      </c>
      <c r="Q88" s="5" t="str">
        <f>IF(Table1[[#This Row],[customer_rating]]&gt;=9,"Promoter",IF(Table1[[#This Row],[customer_rating]]&gt;=7,"Passive","Detractor"))</f>
        <v>Passive</v>
      </c>
      <c r="R88" s="5"/>
    </row>
    <row r="89" spans="1:18">
      <c r="A89" t="s">
        <v>115</v>
      </c>
      <c r="B89" t="s">
        <v>19</v>
      </c>
      <c r="C89" t="s">
        <v>22</v>
      </c>
      <c r="D89" s="5">
        <v>45946</v>
      </c>
      <c r="H89" t="s">
        <v>23</v>
      </c>
      <c r="I89" t="s">
        <v>33</v>
      </c>
      <c r="K89" s="15" t="str">
        <f t="shared" si="6"/>
        <v/>
      </c>
      <c r="L89" t="str">
        <f t="shared" si="4"/>
        <v/>
      </c>
      <c r="M89" t="str">
        <f t="shared" si="5"/>
        <v/>
      </c>
      <c r="O89"/>
      <c r="P89" s="5" t="str">
        <f>IF(AND(Table1[[#This Row],[customer_rating]]&gt;=8, Table1[[#This Row],[Tat_day]]&lt;=7, Table1[[#This Row],[lead_type]]="Hot"), "High", "Normal")</f>
        <v>Normal</v>
      </c>
      <c r="Q89" s="5" t="str">
        <f>IF(Table1[[#This Row],[customer_rating]]&gt;=9,"Promoter",IF(Table1[[#This Row],[customer_rating]]&gt;=7,"Passive","Detractor"))</f>
        <v>Detractor</v>
      </c>
      <c r="R89" s="5"/>
    </row>
    <row r="90" spans="1:18">
      <c r="A90" t="s">
        <v>116</v>
      </c>
      <c r="B90" t="s">
        <v>21</v>
      </c>
      <c r="C90" t="s">
        <v>30</v>
      </c>
      <c r="D90" s="5">
        <v>45945</v>
      </c>
      <c r="E90" s="5">
        <v>45947</v>
      </c>
      <c r="F90" s="5">
        <v>45950</v>
      </c>
      <c r="G90" s="5">
        <v>45956</v>
      </c>
      <c r="H90" t="s">
        <v>16</v>
      </c>
      <c r="I90" t="s">
        <v>17</v>
      </c>
      <c r="J90" s="5">
        <v>45985</v>
      </c>
      <c r="K90" s="15">
        <f t="shared" si="6"/>
        <v>2</v>
      </c>
      <c r="L90">
        <f t="shared" si="4"/>
        <v>3</v>
      </c>
      <c r="M90">
        <f t="shared" si="5"/>
        <v>6</v>
      </c>
      <c r="N90">
        <v>5</v>
      </c>
      <c r="O90">
        <f>DATEDIF(Table1[[#This Row],[lead_date]], Table1[[#This Row],[delivery_date]], "d")</f>
        <v>11</v>
      </c>
      <c r="P90" s="5" t="str">
        <f>IF(AND(Table1[[#This Row],[customer_rating]]&gt;=8, Table1[[#This Row],[Tat_day]]&lt;=7, Table1[[#This Row],[lead_type]]="Hot"), "High", "Normal")</f>
        <v>Normal</v>
      </c>
      <c r="Q90" s="5" t="str">
        <f>IF(Table1[[#This Row],[customer_rating]]&gt;=9,"Promoter",IF(Table1[[#This Row],[customer_rating]]&gt;=7,"Passive","Detractor"))</f>
        <v>Detractor</v>
      </c>
      <c r="R90" s="5"/>
    </row>
    <row r="91" spans="1:18">
      <c r="A91" t="s">
        <v>117</v>
      </c>
      <c r="B91" t="s">
        <v>21</v>
      </c>
      <c r="C91" t="s">
        <v>30</v>
      </c>
      <c r="D91" s="5">
        <v>45956</v>
      </c>
      <c r="E91" s="5">
        <v>45957</v>
      </c>
      <c r="F91" s="5">
        <v>45961</v>
      </c>
      <c r="G91" s="5">
        <v>45966</v>
      </c>
      <c r="H91" t="s">
        <v>16</v>
      </c>
      <c r="I91" t="s">
        <v>17</v>
      </c>
      <c r="J91" s="5">
        <v>45983</v>
      </c>
      <c r="K91" s="15">
        <f t="shared" si="6"/>
        <v>1</v>
      </c>
      <c r="L91">
        <f t="shared" si="4"/>
        <v>4</v>
      </c>
      <c r="M91">
        <f t="shared" si="5"/>
        <v>5</v>
      </c>
      <c r="N91">
        <v>8</v>
      </c>
      <c r="O91">
        <f>DATEDIF(Table1[[#This Row],[lead_date]], Table1[[#This Row],[delivery_date]], "d")</f>
        <v>10</v>
      </c>
      <c r="P91" s="5" t="str">
        <f>IF(AND(Table1[[#This Row],[customer_rating]]&gt;=8, Table1[[#This Row],[Tat_day]]&lt;=7, Table1[[#This Row],[lead_type]]="Hot"), "High", "Normal")</f>
        <v>Normal</v>
      </c>
      <c r="Q91" s="5" t="str">
        <f>IF(Table1[[#This Row],[customer_rating]]&gt;=9,"Promoter",IF(Table1[[#This Row],[customer_rating]]&gt;=7,"Passive","Detractor"))</f>
        <v>Passive</v>
      </c>
      <c r="R91" s="5"/>
    </row>
    <row r="92" spans="1:18">
      <c r="A92" t="s">
        <v>118</v>
      </c>
      <c r="B92" t="s">
        <v>19</v>
      </c>
      <c r="C92" t="s">
        <v>15</v>
      </c>
      <c r="D92" s="5">
        <v>45931</v>
      </c>
      <c r="E92" s="5">
        <v>45932</v>
      </c>
      <c r="F92" s="5">
        <v>45935</v>
      </c>
      <c r="G92" s="5">
        <v>45940</v>
      </c>
      <c r="H92" t="s">
        <v>16</v>
      </c>
      <c r="I92" t="s">
        <v>17</v>
      </c>
      <c r="J92" s="5">
        <v>45970</v>
      </c>
      <c r="K92" s="15">
        <f t="shared" si="6"/>
        <v>1</v>
      </c>
      <c r="L92">
        <f t="shared" si="4"/>
        <v>3</v>
      </c>
      <c r="M92">
        <f t="shared" si="5"/>
        <v>5</v>
      </c>
      <c r="N92">
        <v>0</v>
      </c>
      <c r="O92">
        <f>DATEDIF(Table1[[#This Row],[lead_date]], Table1[[#This Row],[delivery_date]], "d")</f>
        <v>9</v>
      </c>
      <c r="P92" s="5" t="str">
        <f>IF(AND(Table1[[#This Row],[customer_rating]]&gt;=8, Table1[[#This Row],[Tat_day]]&lt;=7, Table1[[#This Row],[lead_type]]="Hot"), "High", "Normal")</f>
        <v>Normal</v>
      </c>
      <c r="Q92" s="5" t="str">
        <f>IF(Table1[[#This Row],[customer_rating]]&gt;=9,"Promoter",IF(Table1[[#This Row],[customer_rating]]&gt;=7,"Passive","Detractor"))</f>
        <v>Detractor</v>
      </c>
      <c r="R92" s="5"/>
    </row>
    <row r="93" spans="1:18">
      <c r="A93" t="s">
        <v>119</v>
      </c>
      <c r="B93" t="s">
        <v>32</v>
      </c>
      <c r="C93" t="s">
        <v>30</v>
      </c>
      <c r="D93" s="5">
        <v>45933</v>
      </c>
      <c r="E93" s="5">
        <v>45938</v>
      </c>
      <c r="F93" s="5">
        <v>45943</v>
      </c>
      <c r="G93" s="5">
        <v>45946</v>
      </c>
      <c r="H93" t="s">
        <v>16</v>
      </c>
      <c r="I93" t="s">
        <v>17</v>
      </c>
      <c r="J93" s="5">
        <v>45974</v>
      </c>
      <c r="K93" s="15">
        <f t="shared" si="6"/>
        <v>5</v>
      </c>
      <c r="L93">
        <f t="shared" si="4"/>
        <v>5</v>
      </c>
      <c r="M93">
        <f t="shared" si="5"/>
        <v>3</v>
      </c>
      <c r="N93">
        <v>9</v>
      </c>
      <c r="O93">
        <f>DATEDIF(Table1[[#This Row],[lead_date]], Table1[[#This Row],[delivery_date]], "d")</f>
        <v>13</v>
      </c>
      <c r="P93" s="5" t="str">
        <f>IF(AND(Table1[[#This Row],[customer_rating]]&gt;=8, Table1[[#This Row],[Tat_day]]&lt;=7, Table1[[#This Row],[lead_type]]="Hot"), "High", "Normal")</f>
        <v>Normal</v>
      </c>
      <c r="Q93" s="5" t="str">
        <f>IF(Table1[[#This Row],[customer_rating]]&gt;=9,"Promoter",IF(Table1[[#This Row],[customer_rating]]&gt;=7,"Passive","Detractor"))</f>
        <v>Promoter</v>
      </c>
      <c r="R93" s="5"/>
    </row>
    <row r="94" spans="1:18">
      <c r="A94" t="s">
        <v>120</v>
      </c>
      <c r="B94" t="s">
        <v>14</v>
      </c>
      <c r="C94" t="s">
        <v>22</v>
      </c>
      <c r="D94" s="5">
        <v>45940</v>
      </c>
      <c r="H94" t="s">
        <v>23</v>
      </c>
      <c r="I94" t="s">
        <v>101</v>
      </c>
      <c r="K94" s="15" t="str">
        <f t="shared" si="6"/>
        <v/>
      </c>
      <c r="L94" t="str">
        <f t="shared" si="4"/>
        <v/>
      </c>
      <c r="M94" t="str">
        <f t="shared" si="5"/>
        <v/>
      </c>
      <c r="O94"/>
      <c r="P94" s="5" t="str">
        <f>IF(AND(Table1[[#This Row],[customer_rating]]&gt;=8, Table1[[#This Row],[Tat_day]]&lt;=7, Table1[[#This Row],[lead_type]]="Hot"), "High", "Normal")</f>
        <v>Normal</v>
      </c>
      <c r="Q94" s="5" t="str">
        <f>IF(Table1[[#This Row],[customer_rating]]&gt;=9,"Promoter",IF(Table1[[#This Row],[customer_rating]]&gt;=7,"Passive","Detractor"))</f>
        <v>Detractor</v>
      </c>
      <c r="R94" s="5"/>
    </row>
    <row r="95" spans="1:18">
      <c r="A95" t="s">
        <v>121</v>
      </c>
      <c r="B95" t="s">
        <v>19</v>
      </c>
      <c r="C95" t="s">
        <v>22</v>
      </c>
      <c r="D95" s="5">
        <v>45938</v>
      </c>
      <c r="H95" t="s">
        <v>23</v>
      </c>
      <c r="I95" t="s">
        <v>63</v>
      </c>
      <c r="K95" s="15" t="str">
        <f t="shared" si="6"/>
        <v/>
      </c>
      <c r="L95" t="str">
        <f t="shared" si="4"/>
        <v/>
      </c>
      <c r="M95" t="str">
        <f t="shared" si="5"/>
        <v/>
      </c>
      <c r="O95"/>
      <c r="P95" s="5" t="str">
        <f>IF(AND(Table1[[#This Row],[customer_rating]]&gt;=8, Table1[[#This Row],[Tat_day]]&lt;=7, Table1[[#This Row],[lead_type]]="Hot"), "High", "Normal")</f>
        <v>Normal</v>
      </c>
      <c r="Q95" s="5" t="str">
        <f>IF(Table1[[#This Row],[customer_rating]]&gt;=9,"Promoter",IF(Table1[[#This Row],[customer_rating]]&gt;=7,"Passive","Detractor"))</f>
        <v>Detractor</v>
      </c>
      <c r="R95" s="5"/>
    </row>
    <row r="96" spans="1:18">
      <c r="A96" t="s">
        <v>122</v>
      </c>
      <c r="B96" t="s">
        <v>32</v>
      </c>
      <c r="C96" t="s">
        <v>22</v>
      </c>
      <c r="D96" s="5">
        <v>45943</v>
      </c>
      <c r="H96" t="s">
        <v>23</v>
      </c>
      <c r="I96" t="s">
        <v>1028</v>
      </c>
      <c r="K96" s="15" t="str">
        <f t="shared" si="6"/>
        <v/>
      </c>
      <c r="L96" t="str">
        <f t="shared" si="4"/>
        <v/>
      </c>
      <c r="M96" t="str">
        <f t="shared" si="5"/>
        <v/>
      </c>
      <c r="O96"/>
      <c r="P96" s="5" t="str">
        <f>IF(AND(Table1[[#This Row],[customer_rating]]&gt;=8, Table1[[#This Row],[Tat_day]]&lt;=7, Table1[[#This Row],[lead_type]]="Hot"), "High", "Normal")</f>
        <v>Normal</v>
      </c>
      <c r="Q96" s="5" t="str">
        <f>IF(Table1[[#This Row],[customer_rating]]&gt;=9,"Promoter",IF(Table1[[#This Row],[customer_rating]]&gt;=7,"Passive","Detractor"))</f>
        <v>Detractor</v>
      </c>
      <c r="R96" s="5"/>
    </row>
    <row r="97" spans="1:18">
      <c r="A97" t="s">
        <v>123</v>
      </c>
      <c r="B97" t="s">
        <v>14</v>
      </c>
      <c r="C97" t="s">
        <v>15</v>
      </c>
      <c r="D97" s="5">
        <v>45953</v>
      </c>
      <c r="E97" s="5">
        <v>45955</v>
      </c>
      <c r="F97" s="5">
        <v>45958</v>
      </c>
      <c r="G97" s="5">
        <v>45963</v>
      </c>
      <c r="H97" t="s">
        <v>16</v>
      </c>
      <c r="I97" t="s">
        <v>17</v>
      </c>
      <c r="J97" s="5">
        <v>45976</v>
      </c>
      <c r="K97" s="15">
        <f t="shared" si="6"/>
        <v>2</v>
      </c>
      <c r="L97">
        <f t="shared" si="4"/>
        <v>3</v>
      </c>
      <c r="M97">
        <f t="shared" si="5"/>
        <v>5</v>
      </c>
      <c r="N97">
        <v>9</v>
      </c>
      <c r="O97">
        <f>DATEDIF(Table1[[#This Row],[lead_date]], Table1[[#This Row],[delivery_date]], "d")</f>
        <v>10</v>
      </c>
      <c r="P97" s="5" t="str">
        <f>IF(AND(Table1[[#This Row],[customer_rating]]&gt;=8, Table1[[#This Row],[Tat_day]]&lt;=7, Table1[[#This Row],[lead_type]]="Hot"), "High", "Normal")</f>
        <v>Normal</v>
      </c>
      <c r="Q97" s="5" t="str">
        <f>IF(Table1[[#This Row],[customer_rating]]&gt;=9,"Promoter",IF(Table1[[#This Row],[customer_rating]]&gt;=7,"Passive","Detractor"))</f>
        <v>Promoter</v>
      </c>
      <c r="R97" s="5"/>
    </row>
    <row r="98" spans="1:18">
      <c r="A98" t="s">
        <v>124</v>
      </c>
      <c r="B98" t="s">
        <v>19</v>
      </c>
      <c r="C98" t="s">
        <v>30</v>
      </c>
      <c r="D98" s="5">
        <v>45938</v>
      </c>
      <c r="E98" s="5">
        <v>45942</v>
      </c>
      <c r="F98" s="5">
        <v>45945</v>
      </c>
      <c r="G98" s="5">
        <v>45952</v>
      </c>
      <c r="H98" t="s">
        <v>23</v>
      </c>
      <c r="I98" t="s">
        <v>63</v>
      </c>
      <c r="K98" s="15">
        <f t="shared" si="6"/>
        <v>4</v>
      </c>
      <c r="L98">
        <f t="shared" si="4"/>
        <v>3</v>
      </c>
      <c r="M98">
        <f t="shared" si="5"/>
        <v>7</v>
      </c>
      <c r="O98">
        <f>DATEDIF(Table1[[#This Row],[lead_date]], Table1[[#This Row],[delivery_date]], "d")</f>
        <v>14</v>
      </c>
      <c r="P98" s="5" t="str">
        <f>IF(AND(Table1[[#This Row],[customer_rating]]&gt;=8, Table1[[#This Row],[Tat_day]]&lt;=7, Table1[[#This Row],[lead_type]]="Hot"), "High", "Normal")</f>
        <v>Normal</v>
      </c>
      <c r="Q98" s="5" t="str">
        <f>IF(Table1[[#This Row],[customer_rating]]&gt;=9,"Promoter",IF(Table1[[#This Row],[customer_rating]]&gt;=7,"Passive","Detractor"))</f>
        <v>Detractor</v>
      </c>
      <c r="R98" s="5"/>
    </row>
    <row r="99" spans="1:18">
      <c r="A99" t="s">
        <v>125</v>
      </c>
      <c r="B99" t="s">
        <v>19</v>
      </c>
      <c r="C99" t="s">
        <v>15</v>
      </c>
      <c r="D99" s="5">
        <v>45940</v>
      </c>
      <c r="E99" s="5">
        <v>45944</v>
      </c>
      <c r="F99" s="5">
        <v>45945</v>
      </c>
      <c r="G99" s="5">
        <v>45951</v>
      </c>
      <c r="H99" t="s">
        <v>16</v>
      </c>
      <c r="I99" t="s">
        <v>17</v>
      </c>
      <c r="J99" s="5">
        <v>45976</v>
      </c>
      <c r="K99" s="15">
        <f t="shared" si="6"/>
        <v>4</v>
      </c>
      <c r="L99">
        <f t="shared" si="4"/>
        <v>1</v>
      </c>
      <c r="M99">
        <f t="shared" si="5"/>
        <v>6</v>
      </c>
      <c r="N99">
        <v>6</v>
      </c>
      <c r="O99">
        <f>DATEDIF(Table1[[#This Row],[lead_date]], Table1[[#This Row],[delivery_date]], "d")</f>
        <v>11</v>
      </c>
      <c r="P99" s="5" t="str">
        <f>IF(AND(Table1[[#This Row],[customer_rating]]&gt;=8, Table1[[#This Row],[Tat_day]]&lt;=7, Table1[[#This Row],[lead_type]]="Hot"), "High", "Normal")</f>
        <v>Normal</v>
      </c>
      <c r="Q99" s="5" t="str">
        <f>IF(Table1[[#This Row],[customer_rating]]&gt;=9,"Promoter",IF(Table1[[#This Row],[customer_rating]]&gt;=7,"Passive","Detractor"))</f>
        <v>Detractor</v>
      </c>
      <c r="R99" s="5"/>
    </row>
    <row r="100" spans="1:18">
      <c r="A100" t="s">
        <v>126</v>
      </c>
      <c r="B100" t="s">
        <v>21</v>
      </c>
      <c r="C100" t="s">
        <v>15</v>
      </c>
      <c r="D100" s="5">
        <v>45952</v>
      </c>
      <c r="E100" s="5">
        <v>45956</v>
      </c>
      <c r="F100" s="5">
        <v>45961</v>
      </c>
      <c r="G100" s="5">
        <v>45968</v>
      </c>
      <c r="H100" t="s">
        <v>16</v>
      </c>
      <c r="I100" t="s">
        <v>17</v>
      </c>
      <c r="J100" s="5">
        <v>45982</v>
      </c>
      <c r="K100" s="15">
        <f t="shared" si="6"/>
        <v>4</v>
      </c>
      <c r="L100">
        <f t="shared" si="4"/>
        <v>5</v>
      </c>
      <c r="M100">
        <f t="shared" si="5"/>
        <v>7</v>
      </c>
      <c r="N100">
        <v>0</v>
      </c>
      <c r="O100">
        <f>DATEDIF(Table1[[#This Row],[lead_date]], Table1[[#This Row],[delivery_date]], "d")</f>
        <v>16</v>
      </c>
      <c r="P100" s="5" t="str">
        <f>IF(AND(Table1[[#This Row],[customer_rating]]&gt;=8, Table1[[#This Row],[Tat_day]]&lt;=7, Table1[[#This Row],[lead_type]]="Hot"), "High", "Normal")</f>
        <v>Normal</v>
      </c>
      <c r="Q100" s="5" t="str">
        <f>IF(Table1[[#This Row],[customer_rating]]&gt;=9,"Promoter",IF(Table1[[#This Row],[customer_rating]]&gt;=7,"Passive","Detractor"))</f>
        <v>Detractor</v>
      </c>
      <c r="R100" s="5"/>
    </row>
    <row r="101" spans="1:18">
      <c r="A101" t="s">
        <v>127</v>
      </c>
      <c r="B101" t="s">
        <v>14</v>
      </c>
      <c r="C101" t="s">
        <v>15</v>
      </c>
      <c r="D101" s="5">
        <v>45949</v>
      </c>
      <c r="E101" s="5">
        <v>45952</v>
      </c>
      <c r="F101" s="5">
        <v>45957</v>
      </c>
      <c r="G101" s="5">
        <v>45964</v>
      </c>
      <c r="H101" t="s">
        <v>16</v>
      </c>
      <c r="I101" t="s">
        <v>17</v>
      </c>
      <c r="J101" s="5">
        <v>45984</v>
      </c>
      <c r="K101" s="15">
        <f t="shared" si="6"/>
        <v>3</v>
      </c>
      <c r="L101">
        <f t="shared" si="4"/>
        <v>5</v>
      </c>
      <c r="M101">
        <f t="shared" si="5"/>
        <v>7</v>
      </c>
      <c r="N101">
        <v>10</v>
      </c>
      <c r="O101">
        <f>DATEDIF(Table1[[#This Row],[lead_date]], Table1[[#This Row],[delivery_date]], "d")</f>
        <v>15</v>
      </c>
      <c r="P101" s="5" t="str">
        <f>IF(AND(Table1[[#This Row],[customer_rating]]&gt;=8, Table1[[#This Row],[Tat_day]]&lt;=7, Table1[[#This Row],[lead_type]]="Hot"), "High", "Normal")</f>
        <v>Normal</v>
      </c>
      <c r="Q101" s="5" t="str">
        <f>IF(Table1[[#This Row],[customer_rating]]&gt;=9,"Promoter",IF(Table1[[#This Row],[customer_rating]]&gt;=7,"Passive","Detractor"))</f>
        <v>Promoter</v>
      </c>
      <c r="R101" s="5"/>
    </row>
    <row r="102" spans="1:18">
      <c r="A102" t="s">
        <v>128</v>
      </c>
      <c r="B102" t="s">
        <v>14</v>
      </c>
      <c r="C102" t="s">
        <v>30</v>
      </c>
      <c r="D102" s="5">
        <v>45942</v>
      </c>
      <c r="E102" s="5">
        <v>45944</v>
      </c>
      <c r="F102" s="5">
        <v>45948</v>
      </c>
      <c r="G102" s="5">
        <v>45951</v>
      </c>
      <c r="H102" t="s">
        <v>16</v>
      </c>
      <c r="I102" t="s">
        <v>17</v>
      </c>
      <c r="J102" s="5">
        <v>45963</v>
      </c>
      <c r="K102" s="15">
        <f t="shared" si="6"/>
        <v>2</v>
      </c>
      <c r="L102">
        <f t="shared" si="4"/>
        <v>4</v>
      </c>
      <c r="M102">
        <f t="shared" si="5"/>
        <v>3</v>
      </c>
      <c r="N102">
        <v>1</v>
      </c>
      <c r="O102">
        <f>DATEDIF(Table1[[#This Row],[lead_date]], Table1[[#This Row],[delivery_date]], "d")</f>
        <v>9</v>
      </c>
      <c r="P102" s="5" t="str">
        <f>IF(AND(Table1[[#This Row],[customer_rating]]&gt;=8, Table1[[#This Row],[Tat_day]]&lt;=7, Table1[[#This Row],[lead_type]]="Hot"), "High", "Normal")</f>
        <v>Normal</v>
      </c>
      <c r="Q102" s="5" t="str">
        <f>IF(Table1[[#This Row],[customer_rating]]&gt;=9,"Promoter",IF(Table1[[#This Row],[customer_rating]]&gt;=7,"Passive","Detractor"))</f>
        <v>Detractor</v>
      </c>
      <c r="R102" s="5"/>
    </row>
    <row r="103" spans="1:18">
      <c r="A103" t="s">
        <v>129</v>
      </c>
      <c r="B103" t="s">
        <v>32</v>
      </c>
      <c r="C103" t="s">
        <v>15</v>
      </c>
      <c r="D103" s="5">
        <v>45946</v>
      </c>
      <c r="E103" s="5">
        <v>45949</v>
      </c>
      <c r="F103" s="5">
        <v>45953</v>
      </c>
      <c r="G103" s="5">
        <v>45959</v>
      </c>
      <c r="H103" t="s">
        <v>16</v>
      </c>
      <c r="I103" t="s">
        <v>17</v>
      </c>
      <c r="J103" s="5">
        <v>45976</v>
      </c>
      <c r="K103" s="15">
        <f t="shared" si="6"/>
        <v>3</v>
      </c>
      <c r="L103">
        <f t="shared" si="4"/>
        <v>4</v>
      </c>
      <c r="M103">
        <f t="shared" si="5"/>
        <v>6</v>
      </c>
      <c r="N103">
        <v>1</v>
      </c>
      <c r="O103">
        <f>DATEDIF(Table1[[#This Row],[lead_date]], Table1[[#This Row],[delivery_date]], "d")</f>
        <v>13</v>
      </c>
      <c r="P103" s="5" t="str">
        <f>IF(AND(Table1[[#This Row],[customer_rating]]&gt;=8, Table1[[#This Row],[Tat_day]]&lt;=7, Table1[[#This Row],[lead_type]]="Hot"), "High", "Normal")</f>
        <v>Normal</v>
      </c>
      <c r="Q103" s="5" t="str">
        <f>IF(Table1[[#This Row],[customer_rating]]&gt;=9,"Promoter",IF(Table1[[#This Row],[customer_rating]]&gt;=7,"Passive","Detractor"))</f>
        <v>Detractor</v>
      </c>
      <c r="R103" s="5"/>
    </row>
    <row r="104" spans="1:18">
      <c r="A104" t="s">
        <v>130</v>
      </c>
      <c r="B104" t="s">
        <v>21</v>
      </c>
      <c r="C104" t="s">
        <v>15</v>
      </c>
      <c r="D104" s="5">
        <v>45948</v>
      </c>
      <c r="E104" s="5">
        <v>45951</v>
      </c>
      <c r="F104" s="5">
        <v>45954</v>
      </c>
      <c r="G104" s="5">
        <v>45957</v>
      </c>
      <c r="H104" t="s">
        <v>16</v>
      </c>
      <c r="I104" t="s">
        <v>17</v>
      </c>
      <c r="J104" s="5">
        <v>45978</v>
      </c>
      <c r="K104" s="15">
        <f t="shared" si="6"/>
        <v>3</v>
      </c>
      <c r="L104">
        <f t="shared" si="4"/>
        <v>3</v>
      </c>
      <c r="M104">
        <f t="shared" si="5"/>
        <v>3</v>
      </c>
      <c r="N104">
        <v>0</v>
      </c>
      <c r="O104">
        <f>DATEDIF(Table1[[#This Row],[lead_date]], Table1[[#This Row],[delivery_date]], "d")</f>
        <v>9</v>
      </c>
      <c r="P104" s="5" t="str">
        <f>IF(AND(Table1[[#This Row],[customer_rating]]&gt;=8, Table1[[#This Row],[Tat_day]]&lt;=7, Table1[[#This Row],[lead_type]]="Hot"), "High", "Normal")</f>
        <v>Normal</v>
      </c>
      <c r="Q104" s="5" t="str">
        <f>IF(Table1[[#This Row],[customer_rating]]&gt;=9,"Promoter",IF(Table1[[#This Row],[customer_rating]]&gt;=7,"Passive","Detractor"))</f>
        <v>Detractor</v>
      </c>
      <c r="R104" s="5"/>
    </row>
    <row r="105" spans="1:18">
      <c r="A105" t="s">
        <v>131</v>
      </c>
      <c r="B105" t="s">
        <v>21</v>
      </c>
      <c r="C105" t="s">
        <v>22</v>
      </c>
      <c r="D105" s="5">
        <v>45947</v>
      </c>
      <c r="H105" t="s">
        <v>23</v>
      </c>
      <c r="I105" t="s">
        <v>101</v>
      </c>
      <c r="K105" s="15" t="str">
        <f t="shared" si="6"/>
        <v/>
      </c>
      <c r="L105" t="str">
        <f t="shared" si="4"/>
        <v/>
      </c>
      <c r="M105" t="str">
        <f t="shared" si="5"/>
        <v/>
      </c>
      <c r="O105"/>
      <c r="P105" s="5" t="str">
        <f>IF(AND(Table1[[#This Row],[customer_rating]]&gt;=8, Table1[[#This Row],[Tat_day]]&lt;=7, Table1[[#This Row],[lead_type]]="Hot"), "High", "Normal")</f>
        <v>Normal</v>
      </c>
      <c r="Q105" s="5" t="str">
        <f>IF(Table1[[#This Row],[customer_rating]]&gt;=9,"Promoter",IF(Table1[[#This Row],[customer_rating]]&gt;=7,"Passive","Detractor"))</f>
        <v>Detractor</v>
      </c>
      <c r="R105" s="5"/>
    </row>
    <row r="106" spans="1:18">
      <c r="A106" t="s">
        <v>132</v>
      </c>
      <c r="B106" t="s">
        <v>21</v>
      </c>
      <c r="C106" t="s">
        <v>22</v>
      </c>
      <c r="D106" s="5">
        <v>45942</v>
      </c>
      <c r="H106" t="s">
        <v>23</v>
      </c>
      <c r="I106" t="s">
        <v>101</v>
      </c>
      <c r="K106" s="15" t="str">
        <f t="shared" si="6"/>
        <v/>
      </c>
      <c r="L106" t="str">
        <f t="shared" si="4"/>
        <v/>
      </c>
      <c r="M106" t="str">
        <f t="shared" si="5"/>
        <v/>
      </c>
      <c r="O106"/>
      <c r="P106" s="5" t="str">
        <f>IF(AND(Table1[[#This Row],[customer_rating]]&gt;=8, Table1[[#This Row],[Tat_day]]&lt;=7, Table1[[#This Row],[lead_type]]="Hot"), "High", "Normal")</f>
        <v>Normal</v>
      </c>
      <c r="Q106" s="5" t="str">
        <f>IF(Table1[[#This Row],[customer_rating]]&gt;=9,"Promoter",IF(Table1[[#This Row],[customer_rating]]&gt;=7,"Passive","Detractor"))</f>
        <v>Detractor</v>
      </c>
      <c r="R106" s="5"/>
    </row>
    <row r="107" spans="1:18">
      <c r="A107" t="s">
        <v>133</v>
      </c>
      <c r="B107" t="s">
        <v>21</v>
      </c>
      <c r="C107" t="s">
        <v>15</v>
      </c>
      <c r="D107" s="5">
        <v>45944</v>
      </c>
      <c r="E107" s="5">
        <v>45947</v>
      </c>
      <c r="F107" s="5">
        <v>45949</v>
      </c>
      <c r="G107" s="5">
        <v>45954</v>
      </c>
      <c r="H107" t="s">
        <v>16</v>
      </c>
      <c r="I107" t="s">
        <v>17</v>
      </c>
      <c r="J107" s="5">
        <v>45974</v>
      </c>
      <c r="K107" s="15">
        <f t="shared" si="6"/>
        <v>3</v>
      </c>
      <c r="L107">
        <f t="shared" si="4"/>
        <v>2</v>
      </c>
      <c r="M107">
        <f t="shared" si="5"/>
        <v>5</v>
      </c>
      <c r="N107">
        <v>2</v>
      </c>
      <c r="O107">
        <f>DATEDIF(Table1[[#This Row],[lead_date]], Table1[[#This Row],[delivery_date]], "d")</f>
        <v>10</v>
      </c>
      <c r="P107" s="5" t="str">
        <f>IF(AND(Table1[[#This Row],[customer_rating]]&gt;=8, Table1[[#This Row],[Tat_day]]&lt;=7, Table1[[#This Row],[lead_type]]="Hot"), "High", "Normal")</f>
        <v>Normal</v>
      </c>
      <c r="Q107" s="5" t="str">
        <f>IF(Table1[[#This Row],[customer_rating]]&gt;=9,"Promoter",IF(Table1[[#This Row],[customer_rating]]&gt;=7,"Passive","Detractor"))</f>
        <v>Detractor</v>
      </c>
      <c r="R107" s="5"/>
    </row>
    <row r="108" spans="1:18">
      <c r="A108" t="s">
        <v>134</v>
      </c>
      <c r="B108" t="s">
        <v>14</v>
      </c>
      <c r="C108" t="s">
        <v>15</v>
      </c>
      <c r="D108" s="5">
        <v>45954</v>
      </c>
      <c r="E108" s="5">
        <v>45959</v>
      </c>
      <c r="F108" s="5">
        <v>45962</v>
      </c>
      <c r="G108" s="5">
        <v>45966</v>
      </c>
      <c r="H108" t="s">
        <v>23</v>
      </c>
      <c r="I108" t="s">
        <v>24</v>
      </c>
      <c r="K108" s="15">
        <f t="shared" si="6"/>
        <v>5</v>
      </c>
      <c r="L108">
        <f t="shared" si="4"/>
        <v>3</v>
      </c>
      <c r="M108">
        <f t="shared" si="5"/>
        <v>4</v>
      </c>
      <c r="O108">
        <f>DATEDIF(Table1[[#This Row],[lead_date]], Table1[[#This Row],[delivery_date]], "d")</f>
        <v>12</v>
      </c>
      <c r="P108" s="5" t="str">
        <f>IF(AND(Table1[[#This Row],[customer_rating]]&gt;=8, Table1[[#This Row],[Tat_day]]&lt;=7, Table1[[#This Row],[lead_type]]="Hot"), "High", "Normal")</f>
        <v>Normal</v>
      </c>
      <c r="Q108" s="5" t="str">
        <f>IF(Table1[[#This Row],[customer_rating]]&gt;=9,"Promoter",IF(Table1[[#This Row],[customer_rating]]&gt;=7,"Passive","Detractor"))</f>
        <v>Detractor</v>
      </c>
      <c r="R108" s="5"/>
    </row>
    <row r="109" spans="1:18">
      <c r="A109" t="s">
        <v>135</v>
      </c>
      <c r="B109" t="s">
        <v>14</v>
      </c>
      <c r="C109" t="s">
        <v>15</v>
      </c>
      <c r="D109" s="5">
        <v>45948</v>
      </c>
      <c r="E109" s="5">
        <v>45953</v>
      </c>
      <c r="F109" s="5">
        <v>45954</v>
      </c>
      <c r="G109" s="5">
        <v>45957</v>
      </c>
      <c r="H109" t="s">
        <v>16</v>
      </c>
      <c r="I109" t="s">
        <v>17</v>
      </c>
      <c r="J109" s="5">
        <v>45972</v>
      </c>
      <c r="K109" s="15">
        <f t="shared" si="6"/>
        <v>5</v>
      </c>
      <c r="L109">
        <f t="shared" si="4"/>
        <v>1</v>
      </c>
      <c r="M109">
        <f t="shared" si="5"/>
        <v>3</v>
      </c>
      <c r="N109">
        <v>10</v>
      </c>
      <c r="O109">
        <f>DATEDIF(Table1[[#This Row],[lead_date]], Table1[[#This Row],[delivery_date]], "d")</f>
        <v>9</v>
      </c>
      <c r="P109" s="5" t="str">
        <f>IF(AND(Table1[[#This Row],[customer_rating]]&gt;=8, Table1[[#This Row],[Tat_day]]&lt;=7, Table1[[#This Row],[lead_type]]="Hot"), "High", "Normal")</f>
        <v>Normal</v>
      </c>
      <c r="Q109" s="5" t="str">
        <f>IF(Table1[[#This Row],[customer_rating]]&gt;=9,"Promoter",IF(Table1[[#This Row],[customer_rating]]&gt;=7,"Passive","Detractor"))</f>
        <v>Promoter</v>
      </c>
      <c r="R109" s="5"/>
    </row>
    <row r="110" spans="1:18">
      <c r="A110" t="s">
        <v>136</v>
      </c>
      <c r="B110" t="s">
        <v>19</v>
      </c>
      <c r="C110" t="s">
        <v>30</v>
      </c>
      <c r="D110" s="5">
        <v>45941</v>
      </c>
      <c r="E110" s="5">
        <v>45942</v>
      </c>
      <c r="F110" s="5">
        <v>45945</v>
      </c>
      <c r="G110" s="5">
        <v>45948</v>
      </c>
      <c r="H110" t="s">
        <v>16</v>
      </c>
      <c r="I110" t="s">
        <v>17</v>
      </c>
      <c r="J110" s="5">
        <v>45978</v>
      </c>
      <c r="K110" s="15">
        <f t="shared" si="6"/>
        <v>1</v>
      </c>
      <c r="L110">
        <f t="shared" si="4"/>
        <v>3</v>
      </c>
      <c r="M110">
        <f t="shared" si="5"/>
        <v>3</v>
      </c>
      <c r="N110">
        <v>4</v>
      </c>
      <c r="O110">
        <f>DATEDIF(Table1[[#This Row],[lead_date]], Table1[[#This Row],[delivery_date]], "d")</f>
        <v>7</v>
      </c>
      <c r="P110" s="5" t="str">
        <f>IF(AND(Table1[[#This Row],[customer_rating]]&gt;=8, Table1[[#This Row],[Tat_day]]&lt;=7, Table1[[#This Row],[lead_type]]="Hot"), "High", "Normal")</f>
        <v>Normal</v>
      </c>
      <c r="Q110" s="5" t="str">
        <f>IF(Table1[[#This Row],[customer_rating]]&gt;=9,"Promoter",IF(Table1[[#This Row],[customer_rating]]&gt;=7,"Passive","Detractor"))</f>
        <v>Detractor</v>
      </c>
      <c r="R110" s="5"/>
    </row>
    <row r="111" spans="1:18">
      <c r="A111" t="s">
        <v>137</v>
      </c>
      <c r="B111" t="s">
        <v>19</v>
      </c>
      <c r="C111" t="s">
        <v>22</v>
      </c>
      <c r="D111" s="5">
        <v>45942</v>
      </c>
      <c r="H111" t="s">
        <v>23</v>
      </c>
      <c r="I111" t="s">
        <v>101</v>
      </c>
      <c r="K111" s="15" t="str">
        <f t="shared" si="6"/>
        <v/>
      </c>
      <c r="L111" t="str">
        <f t="shared" si="4"/>
        <v/>
      </c>
      <c r="M111" t="str">
        <f t="shared" si="5"/>
        <v/>
      </c>
      <c r="O111"/>
      <c r="P111" s="5" t="str">
        <f>IF(AND(Table1[[#This Row],[customer_rating]]&gt;=8, Table1[[#This Row],[Tat_day]]&lt;=7, Table1[[#This Row],[lead_type]]="Hot"), "High", "Normal")</f>
        <v>Normal</v>
      </c>
      <c r="Q111" s="5" t="str">
        <f>IF(Table1[[#This Row],[customer_rating]]&gt;=9,"Promoter",IF(Table1[[#This Row],[customer_rating]]&gt;=7,"Passive","Detractor"))</f>
        <v>Detractor</v>
      </c>
      <c r="R111" s="5"/>
    </row>
    <row r="112" spans="1:18">
      <c r="A112" t="s">
        <v>138</v>
      </c>
      <c r="B112" t="s">
        <v>21</v>
      </c>
      <c r="C112" t="s">
        <v>22</v>
      </c>
      <c r="D112" s="5">
        <v>45953</v>
      </c>
      <c r="H112" t="s">
        <v>23</v>
      </c>
      <c r="I112" t="s">
        <v>63</v>
      </c>
      <c r="K112" s="15" t="str">
        <f t="shared" si="6"/>
        <v/>
      </c>
      <c r="L112" t="str">
        <f t="shared" si="4"/>
        <v/>
      </c>
      <c r="M112" t="str">
        <f t="shared" si="5"/>
        <v/>
      </c>
      <c r="O112"/>
      <c r="P112" s="5" t="str">
        <f>IF(AND(Table1[[#This Row],[customer_rating]]&gt;=8, Table1[[#This Row],[Tat_day]]&lt;=7, Table1[[#This Row],[lead_type]]="Hot"), "High", "Normal")</f>
        <v>Normal</v>
      </c>
      <c r="Q112" s="5" t="str">
        <f>IF(Table1[[#This Row],[customer_rating]]&gt;=9,"Promoter",IF(Table1[[#This Row],[customer_rating]]&gt;=7,"Passive","Detractor"))</f>
        <v>Detractor</v>
      </c>
      <c r="R112" s="5"/>
    </row>
    <row r="113" spans="1:18">
      <c r="A113" t="s">
        <v>139</v>
      </c>
      <c r="B113" t="s">
        <v>21</v>
      </c>
      <c r="C113" t="s">
        <v>15</v>
      </c>
      <c r="D113" s="5">
        <v>45945</v>
      </c>
      <c r="E113" s="5">
        <v>45946</v>
      </c>
      <c r="F113" s="5">
        <v>45947</v>
      </c>
      <c r="G113" s="5">
        <v>45951</v>
      </c>
      <c r="H113" t="s">
        <v>16</v>
      </c>
      <c r="I113" t="s">
        <v>17</v>
      </c>
      <c r="J113" s="5">
        <v>45963</v>
      </c>
      <c r="K113" s="15">
        <f t="shared" si="6"/>
        <v>1</v>
      </c>
      <c r="L113">
        <f t="shared" si="4"/>
        <v>1</v>
      </c>
      <c r="M113">
        <f t="shared" si="5"/>
        <v>4</v>
      </c>
      <c r="N113">
        <v>2</v>
      </c>
      <c r="O113">
        <f>DATEDIF(Table1[[#This Row],[lead_date]], Table1[[#This Row],[delivery_date]], "d")</f>
        <v>6</v>
      </c>
      <c r="P113" s="5" t="str">
        <f>IF(AND(Table1[[#This Row],[customer_rating]]&gt;=8, Table1[[#This Row],[Tat_day]]&lt;=7, Table1[[#This Row],[lead_type]]="Hot"), "High", "Normal")</f>
        <v>Normal</v>
      </c>
      <c r="Q113" s="5" t="str">
        <f>IF(Table1[[#This Row],[customer_rating]]&gt;=9,"Promoter",IF(Table1[[#This Row],[customer_rating]]&gt;=7,"Passive","Detractor"))</f>
        <v>Detractor</v>
      </c>
      <c r="R113" s="5"/>
    </row>
    <row r="114" spans="1:18">
      <c r="A114" t="s">
        <v>140</v>
      </c>
      <c r="B114" t="s">
        <v>21</v>
      </c>
      <c r="C114" t="s">
        <v>15</v>
      </c>
      <c r="D114" s="5">
        <v>45939</v>
      </c>
      <c r="E114" s="5">
        <v>45941</v>
      </c>
      <c r="F114" s="5">
        <v>45944</v>
      </c>
      <c r="G114" s="5">
        <v>45949</v>
      </c>
      <c r="H114" t="s">
        <v>23</v>
      </c>
      <c r="I114" t="s">
        <v>33</v>
      </c>
      <c r="K114" s="15">
        <f t="shared" si="6"/>
        <v>2</v>
      </c>
      <c r="L114">
        <f t="shared" si="4"/>
        <v>3</v>
      </c>
      <c r="M114">
        <f t="shared" si="5"/>
        <v>5</v>
      </c>
      <c r="O114">
        <f>DATEDIF(Table1[[#This Row],[lead_date]], Table1[[#This Row],[delivery_date]], "d")</f>
        <v>10</v>
      </c>
      <c r="P114" s="5" t="str">
        <f>IF(AND(Table1[[#This Row],[customer_rating]]&gt;=8, Table1[[#This Row],[Tat_day]]&lt;=7, Table1[[#This Row],[lead_type]]="Hot"), "High", "Normal")</f>
        <v>Normal</v>
      </c>
      <c r="Q114" s="5" t="str">
        <f>IF(Table1[[#This Row],[customer_rating]]&gt;=9,"Promoter",IF(Table1[[#This Row],[customer_rating]]&gt;=7,"Passive","Detractor"))</f>
        <v>Detractor</v>
      </c>
      <c r="R114" s="5"/>
    </row>
    <row r="115" spans="1:18">
      <c r="A115" t="s">
        <v>141</v>
      </c>
      <c r="B115" t="s">
        <v>19</v>
      </c>
      <c r="C115" t="s">
        <v>30</v>
      </c>
      <c r="D115" s="5">
        <v>45940</v>
      </c>
      <c r="E115" s="5">
        <v>45942</v>
      </c>
      <c r="F115" s="5">
        <v>45946</v>
      </c>
      <c r="G115" s="5">
        <v>45952</v>
      </c>
      <c r="H115" t="s">
        <v>16</v>
      </c>
      <c r="I115" t="s">
        <v>17</v>
      </c>
      <c r="J115" s="5">
        <v>45982</v>
      </c>
      <c r="K115" s="15">
        <f t="shared" si="6"/>
        <v>2</v>
      </c>
      <c r="L115">
        <f t="shared" si="4"/>
        <v>4</v>
      </c>
      <c r="M115">
        <f t="shared" si="5"/>
        <v>6</v>
      </c>
      <c r="N115">
        <v>6</v>
      </c>
      <c r="O115">
        <f>DATEDIF(Table1[[#This Row],[lead_date]], Table1[[#This Row],[delivery_date]], "d")</f>
        <v>12</v>
      </c>
      <c r="P115" s="5" t="str">
        <f>IF(AND(Table1[[#This Row],[customer_rating]]&gt;=8, Table1[[#This Row],[Tat_day]]&lt;=7, Table1[[#This Row],[lead_type]]="Hot"), "High", "Normal")</f>
        <v>Normal</v>
      </c>
      <c r="Q115" s="5" t="str">
        <f>IF(Table1[[#This Row],[customer_rating]]&gt;=9,"Promoter",IF(Table1[[#This Row],[customer_rating]]&gt;=7,"Passive","Detractor"))</f>
        <v>Detractor</v>
      </c>
      <c r="R115" s="5"/>
    </row>
    <row r="116" spans="1:18">
      <c r="A116" t="s">
        <v>142</v>
      </c>
      <c r="B116" t="s">
        <v>32</v>
      </c>
      <c r="C116" t="s">
        <v>15</v>
      </c>
      <c r="D116" s="5">
        <v>45939</v>
      </c>
      <c r="E116" s="5">
        <v>45944</v>
      </c>
      <c r="F116" s="5">
        <v>45947</v>
      </c>
      <c r="G116" s="5">
        <v>45949</v>
      </c>
      <c r="H116" t="s">
        <v>16</v>
      </c>
      <c r="I116" t="s">
        <v>17</v>
      </c>
      <c r="J116" s="5">
        <v>45969</v>
      </c>
      <c r="K116" s="15">
        <f t="shared" si="6"/>
        <v>5</v>
      </c>
      <c r="L116">
        <f t="shared" si="4"/>
        <v>3</v>
      </c>
      <c r="M116">
        <f t="shared" si="5"/>
        <v>2</v>
      </c>
      <c r="N116">
        <v>10</v>
      </c>
      <c r="O116">
        <f>DATEDIF(Table1[[#This Row],[lead_date]], Table1[[#This Row],[delivery_date]], "d")</f>
        <v>10</v>
      </c>
      <c r="P116" s="5" t="str">
        <f>IF(AND(Table1[[#This Row],[customer_rating]]&gt;=8, Table1[[#This Row],[Tat_day]]&lt;=7, Table1[[#This Row],[lead_type]]="Hot"), "High", "Normal")</f>
        <v>Normal</v>
      </c>
      <c r="Q116" s="5" t="str">
        <f>IF(Table1[[#This Row],[customer_rating]]&gt;=9,"Promoter",IF(Table1[[#This Row],[customer_rating]]&gt;=7,"Passive","Detractor"))</f>
        <v>Promoter</v>
      </c>
      <c r="R116" s="5"/>
    </row>
    <row r="117" spans="1:18">
      <c r="A117" t="s">
        <v>143</v>
      </c>
      <c r="B117" t="s">
        <v>32</v>
      </c>
      <c r="C117" t="s">
        <v>30</v>
      </c>
      <c r="D117" s="5">
        <v>45938</v>
      </c>
      <c r="E117" s="5">
        <v>45939</v>
      </c>
      <c r="F117" s="5">
        <v>45943</v>
      </c>
      <c r="G117" s="5">
        <v>45947</v>
      </c>
      <c r="H117" t="s">
        <v>16</v>
      </c>
      <c r="I117" t="s">
        <v>17</v>
      </c>
      <c r="J117" s="5">
        <v>45971</v>
      </c>
      <c r="K117" s="15">
        <f t="shared" si="6"/>
        <v>1</v>
      </c>
      <c r="L117">
        <f t="shared" si="4"/>
        <v>4</v>
      </c>
      <c r="M117">
        <f t="shared" si="5"/>
        <v>4</v>
      </c>
      <c r="N117">
        <v>8</v>
      </c>
      <c r="O117">
        <f>DATEDIF(Table1[[#This Row],[lead_date]], Table1[[#This Row],[delivery_date]], "d")</f>
        <v>9</v>
      </c>
      <c r="P117" s="5" t="str">
        <f>IF(AND(Table1[[#This Row],[customer_rating]]&gt;=8, Table1[[#This Row],[Tat_day]]&lt;=7, Table1[[#This Row],[lead_type]]="Hot"), "High", "Normal")</f>
        <v>Normal</v>
      </c>
      <c r="Q117" s="5" t="str">
        <f>IF(Table1[[#This Row],[customer_rating]]&gt;=9,"Promoter",IF(Table1[[#This Row],[customer_rating]]&gt;=7,"Passive","Detractor"))</f>
        <v>Passive</v>
      </c>
      <c r="R117" s="5"/>
    </row>
    <row r="118" spans="1:18">
      <c r="A118" t="s">
        <v>144</v>
      </c>
      <c r="B118" t="s">
        <v>19</v>
      </c>
      <c r="C118" t="s">
        <v>22</v>
      </c>
      <c r="D118" s="5">
        <v>45934</v>
      </c>
      <c r="H118" t="s">
        <v>23</v>
      </c>
      <c r="I118" t="s">
        <v>33</v>
      </c>
      <c r="K118" s="15" t="str">
        <f t="shared" si="6"/>
        <v/>
      </c>
      <c r="L118" t="str">
        <f t="shared" si="4"/>
        <v/>
      </c>
      <c r="M118" t="str">
        <f t="shared" si="5"/>
        <v/>
      </c>
      <c r="O118"/>
      <c r="P118" s="5" t="str">
        <f>IF(AND(Table1[[#This Row],[customer_rating]]&gt;=8, Table1[[#This Row],[Tat_day]]&lt;=7, Table1[[#This Row],[lead_type]]="Hot"), "High", "Normal")</f>
        <v>Normal</v>
      </c>
      <c r="Q118" s="5" t="str">
        <f>IF(Table1[[#This Row],[customer_rating]]&gt;=9,"Promoter",IF(Table1[[#This Row],[customer_rating]]&gt;=7,"Passive","Detractor"))</f>
        <v>Detractor</v>
      </c>
      <c r="R118" s="5"/>
    </row>
    <row r="119" spans="1:18">
      <c r="A119" t="s">
        <v>145</v>
      </c>
      <c r="B119" t="s">
        <v>19</v>
      </c>
      <c r="C119" t="s">
        <v>30</v>
      </c>
      <c r="D119" s="5">
        <v>45954</v>
      </c>
      <c r="E119" s="5">
        <v>45955</v>
      </c>
      <c r="F119" s="5">
        <v>45957</v>
      </c>
      <c r="G119" s="5">
        <v>45959</v>
      </c>
      <c r="H119" t="s">
        <v>16</v>
      </c>
      <c r="I119" t="s">
        <v>17</v>
      </c>
      <c r="J119" s="5">
        <v>45969</v>
      </c>
      <c r="K119" s="15">
        <f t="shared" si="6"/>
        <v>1</v>
      </c>
      <c r="L119">
        <f t="shared" si="4"/>
        <v>2</v>
      </c>
      <c r="M119">
        <f t="shared" si="5"/>
        <v>2</v>
      </c>
      <c r="N119">
        <v>1</v>
      </c>
      <c r="O119">
        <f>DATEDIF(Table1[[#This Row],[lead_date]], Table1[[#This Row],[delivery_date]], "d")</f>
        <v>5</v>
      </c>
      <c r="P119" s="5" t="str">
        <f>IF(AND(Table1[[#This Row],[customer_rating]]&gt;=8, Table1[[#This Row],[Tat_day]]&lt;=7, Table1[[#This Row],[lead_type]]="Hot"), "High", "Normal")</f>
        <v>Normal</v>
      </c>
      <c r="Q119" s="5" t="str">
        <f>IF(Table1[[#This Row],[customer_rating]]&gt;=9,"Promoter",IF(Table1[[#This Row],[customer_rating]]&gt;=7,"Passive","Detractor"))</f>
        <v>Detractor</v>
      </c>
      <c r="R119" s="5"/>
    </row>
    <row r="120" spans="1:18">
      <c r="A120" t="s">
        <v>146</v>
      </c>
      <c r="B120" t="s">
        <v>19</v>
      </c>
      <c r="C120" t="s">
        <v>15</v>
      </c>
      <c r="D120" s="5">
        <v>45937</v>
      </c>
      <c r="E120" s="5">
        <v>45940</v>
      </c>
      <c r="F120" s="5">
        <v>45942</v>
      </c>
      <c r="G120" s="5">
        <v>45947</v>
      </c>
      <c r="H120" t="s">
        <v>16</v>
      </c>
      <c r="I120" t="s">
        <v>17</v>
      </c>
      <c r="J120" s="5">
        <v>45965</v>
      </c>
      <c r="K120" s="15">
        <f t="shared" si="6"/>
        <v>3</v>
      </c>
      <c r="L120">
        <f t="shared" si="4"/>
        <v>2</v>
      </c>
      <c r="M120">
        <f t="shared" si="5"/>
        <v>5</v>
      </c>
      <c r="N120">
        <v>5</v>
      </c>
      <c r="O120">
        <f>DATEDIF(Table1[[#This Row],[lead_date]], Table1[[#This Row],[delivery_date]], "d")</f>
        <v>10</v>
      </c>
      <c r="P120" s="5" t="str">
        <f>IF(AND(Table1[[#This Row],[customer_rating]]&gt;=8, Table1[[#This Row],[Tat_day]]&lt;=7, Table1[[#This Row],[lead_type]]="Hot"), "High", "Normal")</f>
        <v>Normal</v>
      </c>
      <c r="Q120" s="5" t="str">
        <f>IF(Table1[[#This Row],[customer_rating]]&gt;=9,"Promoter",IF(Table1[[#This Row],[customer_rating]]&gt;=7,"Passive","Detractor"))</f>
        <v>Detractor</v>
      </c>
      <c r="R120" s="5"/>
    </row>
    <row r="121" spans="1:18">
      <c r="A121" t="s">
        <v>147</v>
      </c>
      <c r="B121" t="s">
        <v>19</v>
      </c>
      <c r="C121" t="s">
        <v>22</v>
      </c>
      <c r="D121" s="5">
        <v>45941</v>
      </c>
      <c r="H121" t="s">
        <v>23</v>
      </c>
      <c r="I121" t="s">
        <v>24</v>
      </c>
      <c r="K121" s="15" t="str">
        <f t="shared" si="6"/>
        <v/>
      </c>
      <c r="L121" t="str">
        <f t="shared" si="4"/>
        <v/>
      </c>
      <c r="M121" t="str">
        <f t="shared" si="5"/>
        <v/>
      </c>
      <c r="O121"/>
      <c r="P121" s="5" t="str">
        <f>IF(AND(Table1[[#This Row],[customer_rating]]&gt;=8, Table1[[#This Row],[Tat_day]]&lt;=7, Table1[[#This Row],[lead_type]]="Hot"), "High", "Normal")</f>
        <v>Normal</v>
      </c>
      <c r="Q121" s="5" t="str">
        <f>IF(Table1[[#This Row],[customer_rating]]&gt;=9,"Promoter",IF(Table1[[#This Row],[customer_rating]]&gt;=7,"Passive","Detractor"))</f>
        <v>Detractor</v>
      </c>
      <c r="R121" s="5"/>
    </row>
    <row r="122" spans="1:18">
      <c r="A122" t="s">
        <v>148</v>
      </c>
      <c r="B122" t="s">
        <v>19</v>
      </c>
      <c r="C122" t="s">
        <v>15</v>
      </c>
      <c r="D122" s="5">
        <v>45934</v>
      </c>
      <c r="E122" s="5">
        <v>45938</v>
      </c>
      <c r="F122" s="5">
        <v>45943</v>
      </c>
      <c r="G122" s="5">
        <v>45946</v>
      </c>
      <c r="H122" t="s">
        <v>16</v>
      </c>
      <c r="I122" t="s">
        <v>17</v>
      </c>
      <c r="J122" s="5">
        <v>45962</v>
      </c>
      <c r="K122" s="15">
        <f t="shared" si="6"/>
        <v>4</v>
      </c>
      <c r="L122">
        <f t="shared" si="4"/>
        <v>5</v>
      </c>
      <c r="M122">
        <f t="shared" si="5"/>
        <v>3</v>
      </c>
      <c r="N122">
        <v>1</v>
      </c>
      <c r="O122">
        <f>DATEDIF(Table1[[#This Row],[lead_date]], Table1[[#This Row],[delivery_date]], "d")</f>
        <v>12</v>
      </c>
      <c r="P122" s="5" t="str">
        <f>IF(AND(Table1[[#This Row],[customer_rating]]&gt;=8, Table1[[#This Row],[Tat_day]]&lt;=7, Table1[[#This Row],[lead_type]]="Hot"), "High", "Normal")</f>
        <v>Normal</v>
      </c>
      <c r="Q122" s="5" t="str">
        <f>IF(Table1[[#This Row],[customer_rating]]&gt;=9,"Promoter",IF(Table1[[#This Row],[customer_rating]]&gt;=7,"Passive","Detractor"))</f>
        <v>Detractor</v>
      </c>
      <c r="R122" s="5"/>
    </row>
    <row r="123" spans="1:18">
      <c r="A123" t="s">
        <v>149</v>
      </c>
      <c r="B123" t="s">
        <v>19</v>
      </c>
      <c r="C123" t="s">
        <v>30</v>
      </c>
      <c r="D123" s="5">
        <v>45954</v>
      </c>
      <c r="E123" s="5">
        <v>45958</v>
      </c>
      <c r="F123" s="5">
        <v>45961</v>
      </c>
      <c r="G123" s="5">
        <v>45964</v>
      </c>
      <c r="H123" t="s">
        <v>16</v>
      </c>
      <c r="I123" t="s">
        <v>17</v>
      </c>
      <c r="J123" s="5">
        <v>45981</v>
      </c>
      <c r="K123" s="15">
        <f t="shared" si="6"/>
        <v>4</v>
      </c>
      <c r="L123">
        <f t="shared" si="4"/>
        <v>3</v>
      </c>
      <c r="M123">
        <f t="shared" si="5"/>
        <v>3</v>
      </c>
      <c r="N123">
        <v>2</v>
      </c>
      <c r="O123">
        <f>DATEDIF(Table1[[#This Row],[lead_date]], Table1[[#This Row],[delivery_date]], "d")</f>
        <v>10</v>
      </c>
      <c r="P123" s="5" t="str">
        <f>IF(AND(Table1[[#This Row],[customer_rating]]&gt;=8, Table1[[#This Row],[Tat_day]]&lt;=7, Table1[[#This Row],[lead_type]]="Hot"), "High", "Normal")</f>
        <v>Normal</v>
      </c>
      <c r="Q123" s="5" t="str">
        <f>IF(Table1[[#This Row],[customer_rating]]&gt;=9,"Promoter",IF(Table1[[#This Row],[customer_rating]]&gt;=7,"Passive","Detractor"))</f>
        <v>Detractor</v>
      </c>
      <c r="R123" s="5"/>
    </row>
    <row r="124" spans="1:18">
      <c r="A124" t="s">
        <v>150</v>
      </c>
      <c r="B124" t="s">
        <v>21</v>
      </c>
      <c r="C124" t="s">
        <v>30</v>
      </c>
      <c r="D124" s="5">
        <v>45948</v>
      </c>
      <c r="E124" s="5">
        <v>45952</v>
      </c>
      <c r="F124" s="5">
        <v>45957</v>
      </c>
      <c r="G124" s="5">
        <v>45962</v>
      </c>
      <c r="H124" t="s">
        <v>16</v>
      </c>
      <c r="I124" t="s">
        <v>17</v>
      </c>
      <c r="J124" s="5">
        <v>45974</v>
      </c>
      <c r="K124" s="15">
        <f t="shared" si="6"/>
        <v>4</v>
      </c>
      <c r="L124">
        <f t="shared" si="4"/>
        <v>5</v>
      </c>
      <c r="M124">
        <f t="shared" si="5"/>
        <v>5</v>
      </c>
      <c r="N124">
        <v>6</v>
      </c>
      <c r="O124">
        <f>DATEDIF(Table1[[#This Row],[lead_date]], Table1[[#This Row],[delivery_date]], "d")</f>
        <v>14</v>
      </c>
      <c r="P124" s="5" t="str">
        <f>IF(AND(Table1[[#This Row],[customer_rating]]&gt;=8, Table1[[#This Row],[Tat_day]]&lt;=7, Table1[[#This Row],[lead_type]]="Hot"), "High", "Normal")</f>
        <v>Normal</v>
      </c>
      <c r="Q124" s="5" t="str">
        <f>IF(Table1[[#This Row],[customer_rating]]&gt;=9,"Promoter",IF(Table1[[#This Row],[customer_rating]]&gt;=7,"Passive","Detractor"))</f>
        <v>Detractor</v>
      </c>
      <c r="R124" s="5"/>
    </row>
    <row r="125" spans="1:18">
      <c r="A125" t="s">
        <v>151</v>
      </c>
      <c r="B125" t="s">
        <v>21</v>
      </c>
      <c r="C125" t="s">
        <v>30</v>
      </c>
      <c r="D125" s="5">
        <v>45961</v>
      </c>
      <c r="E125" s="5">
        <v>45966</v>
      </c>
      <c r="F125" s="5">
        <v>45969</v>
      </c>
      <c r="G125" s="5">
        <v>45975</v>
      </c>
      <c r="H125" t="s">
        <v>16</v>
      </c>
      <c r="I125" t="s">
        <v>17</v>
      </c>
      <c r="J125" s="5">
        <v>45996</v>
      </c>
      <c r="K125" s="15">
        <f t="shared" si="6"/>
        <v>5</v>
      </c>
      <c r="L125">
        <f t="shared" si="4"/>
        <v>3</v>
      </c>
      <c r="M125">
        <f t="shared" si="5"/>
        <v>6</v>
      </c>
      <c r="N125">
        <v>5</v>
      </c>
      <c r="O125">
        <f>DATEDIF(Table1[[#This Row],[lead_date]], Table1[[#This Row],[delivery_date]], "d")</f>
        <v>14</v>
      </c>
      <c r="P125" s="5" t="str">
        <f>IF(AND(Table1[[#This Row],[customer_rating]]&gt;=8, Table1[[#This Row],[Tat_day]]&lt;=7, Table1[[#This Row],[lead_type]]="Hot"), "High", "Normal")</f>
        <v>Normal</v>
      </c>
      <c r="Q125" s="5" t="str">
        <f>IF(Table1[[#This Row],[customer_rating]]&gt;=9,"Promoter",IF(Table1[[#This Row],[customer_rating]]&gt;=7,"Passive","Detractor"))</f>
        <v>Detractor</v>
      </c>
      <c r="R125" s="5"/>
    </row>
    <row r="126" spans="1:18">
      <c r="A126" t="s">
        <v>152</v>
      </c>
      <c r="B126" t="s">
        <v>21</v>
      </c>
      <c r="C126" t="s">
        <v>15</v>
      </c>
      <c r="D126" s="5">
        <v>45955</v>
      </c>
      <c r="E126" s="5">
        <v>45959</v>
      </c>
      <c r="F126" s="5">
        <v>45961</v>
      </c>
      <c r="G126" s="5">
        <v>45967</v>
      </c>
      <c r="H126" t="s">
        <v>16</v>
      </c>
      <c r="I126" t="s">
        <v>17</v>
      </c>
      <c r="J126" s="5">
        <v>45985</v>
      </c>
      <c r="K126" s="15">
        <f t="shared" si="6"/>
        <v>4</v>
      </c>
      <c r="L126">
        <f t="shared" si="4"/>
        <v>2</v>
      </c>
      <c r="M126">
        <f t="shared" si="5"/>
        <v>6</v>
      </c>
      <c r="N126">
        <v>4</v>
      </c>
      <c r="O126">
        <f>DATEDIF(Table1[[#This Row],[lead_date]], Table1[[#This Row],[delivery_date]], "d")</f>
        <v>12</v>
      </c>
      <c r="P126" s="5" t="str">
        <f>IF(AND(Table1[[#This Row],[customer_rating]]&gt;=8, Table1[[#This Row],[Tat_day]]&lt;=7, Table1[[#This Row],[lead_type]]="Hot"), "High", "Normal")</f>
        <v>Normal</v>
      </c>
      <c r="Q126" s="5" t="str">
        <f>IF(Table1[[#This Row],[customer_rating]]&gt;=9,"Promoter",IF(Table1[[#This Row],[customer_rating]]&gt;=7,"Passive","Detractor"))</f>
        <v>Detractor</v>
      </c>
      <c r="R126" s="5"/>
    </row>
    <row r="127" spans="1:18">
      <c r="A127" t="s">
        <v>153</v>
      </c>
      <c r="B127" t="s">
        <v>21</v>
      </c>
      <c r="C127" t="s">
        <v>30</v>
      </c>
      <c r="D127" s="5">
        <v>45953</v>
      </c>
      <c r="E127" s="5">
        <v>45957</v>
      </c>
      <c r="F127" s="5">
        <v>45958</v>
      </c>
      <c r="G127" s="5">
        <v>45965</v>
      </c>
      <c r="H127" t="s">
        <v>16</v>
      </c>
      <c r="I127" t="s">
        <v>17</v>
      </c>
      <c r="J127" s="5">
        <v>45978</v>
      </c>
      <c r="K127" s="15">
        <f t="shared" si="6"/>
        <v>4</v>
      </c>
      <c r="L127">
        <f t="shared" si="4"/>
        <v>1</v>
      </c>
      <c r="M127">
        <f t="shared" si="5"/>
        <v>7</v>
      </c>
      <c r="N127">
        <v>0</v>
      </c>
      <c r="O127">
        <f>DATEDIF(Table1[[#This Row],[lead_date]], Table1[[#This Row],[delivery_date]], "d")</f>
        <v>12</v>
      </c>
      <c r="P127" s="5" t="str">
        <f>IF(AND(Table1[[#This Row],[customer_rating]]&gt;=8, Table1[[#This Row],[Tat_day]]&lt;=7, Table1[[#This Row],[lead_type]]="Hot"), "High", "Normal")</f>
        <v>Normal</v>
      </c>
      <c r="Q127" s="5" t="str">
        <f>IF(Table1[[#This Row],[customer_rating]]&gt;=9,"Promoter",IF(Table1[[#This Row],[customer_rating]]&gt;=7,"Passive","Detractor"))</f>
        <v>Detractor</v>
      </c>
      <c r="R127" s="5"/>
    </row>
    <row r="128" spans="1:18">
      <c r="A128" t="s">
        <v>154</v>
      </c>
      <c r="B128" t="s">
        <v>19</v>
      </c>
      <c r="C128" t="s">
        <v>15</v>
      </c>
      <c r="D128" s="5">
        <v>45936</v>
      </c>
      <c r="E128" s="5">
        <v>45939</v>
      </c>
      <c r="F128" s="5">
        <v>45944</v>
      </c>
      <c r="G128" s="5">
        <v>45949</v>
      </c>
      <c r="H128" t="s">
        <v>16</v>
      </c>
      <c r="I128" t="s">
        <v>17</v>
      </c>
      <c r="J128" s="5">
        <v>45959</v>
      </c>
      <c r="K128" s="15">
        <f t="shared" si="6"/>
        <v>3</v>
      </c>
      <c r="L128">
        <f t="shared" si="4"/>
        <v>5</v>
      </c>
      <c r="M128">
        <f t="shared" si="5"/>
        <v>5</v>
      </c>
      <c r="N128">
        <v>4</v>
      </c>
      <c r="O128">
        <f>DATEDIF(Table1[[#This Row],[lead_date]], Table1[[#This Row],[delivery_date]], "d")</f>
        <v>13</v>
      </c>
      <c r="P128" s="5" t="str">
        <f>IF(AND(Table1[[#This Row],[customer_rating]]&gt;=8, Table1[[#This Row],[Tat_day]]&lt;=7, Table1[[#This Row],[lead_type]]="Hot"), "High", "Normal")</f>
        <v>Normal</v>
      </c>
      <c r="Q128" s="5" t="str">
        <f>IF(Table1[[#This Row],[customer_rating]]&gt;=9,"Promoter",IF(Table1[[#This Row],[customer_rating]]&gt;=7,"Passive","Detractor"))</f>
        <v>Detractor</v>
      </c>
      <c r="R128" s="5"/>
    </row>
    <row r="129" spans="1:18">
      <c r="A129" t="s">
        <v>155</v>
      </c>
      <c r="B129" t="s">
        <v>32</v>
      </c>
      <c r="C129" t="s">
        <v>22</v>
      </c>
      <c r="D129" s="5">
        <v>45937</v>
      </c>
      <c r="H129" t="s">
        <v>23</v>
      </c>
      <c r="I129" t="s">
        <v>63</v>
      </c>
      <c r="K129" s="15" t="str">
        <f t="shared" si="6"/>
        <v/>
      </c>
      <c r="L129" t="str">
        <f t="shared" si="4"/>
        <v/>
      </c>
      <c r="M129" t="str">
        <f t="shared" si="5"/>
        <v/>
      </c>
      <c r="O129"/>
      <c r="P129" s="5" t="str">
        <f>IF(AND(Table1[[#This Row],[customer_rating]]&gt;=8, Table1[[#This Row],[Tat_day]]&lt;=7, Table1[[#This Row],[lead_type]]="Hot"), "High", "Normal")</f>
        <v>Normal</v>
      </c>
      <c r="Q129" s="5" t="str">
        <f>IF(Table1[[#This Row],[customer_rating]]&gt;=9,"Promoter",IF(Table1[[#This Row],[customer_rating]]&gt;=7,"Passive","Detractor"))</f>
        <v>Detractor</v>
      </c>
      <c r="R129" s="5"/>
    </row>
    <row r="130" spans="1:18">
      <c r="A130" t="s">
        <v>156</v>
      </c>
      <c r="B130" t="s">
        <v>14</v>
      </c>
      <c r="C130" t="s">
        <v>30</v>
      </c>
      <c r="D130" s="5">
        <v>45937</v>
      </c>
      <c r="E130" s="5">
        <v>45939</v>
      </c>
      <c r="F130" s="5">
        <v>45944</v>
      </c>
      <c r="G130" s="5">
        <v>45949</v>
      </c>
      <c r="H130" t="s">
        <v>16</v>
      </c>
      <c r="I130" t="s">
        <v>17</v>
      </c>
      <c r="J130" s="5">
        <v>45960</v>
      </c>
      <c r="K130" s="15">
        <f t="shared" si="6"/>
        <v>2</v>
      </c>
      <c r="L130">
        <f t="shared" si="4"/>
        <v>5</v>
      </c>
      <c r="M130">
        <f t="shared" si="5"/>
        <v>5</v>
      </c>
      <c r="N130">
        <v>4</v>
      </c>
      <c r="O130">
        <f>DATEDIF(Table1[[#This Row],[lead_date]], Table1[[#This Row],[delivery_date]], "d")</f>
        <v>12</v>
      </c>
      <c r="P130" s="5" t="str">
        <f>IF(AND(Table1[[#This Row],[customer_rating]]&gt;=8, Table1[[#This Row],[Tat_day]]&lt;=7, Table1[[#This Row],[lead_type]]="Hot"), "High", "Normal")</f>
        <v>Normal</v>
      </c>
      <c r="Q130" s="5" t="str">
        <f>IF(Table1[[#This Row],[customer_rating]]&gt;=9,"Promoter",IF(Table1[[#This Row],[customer_rating]]&gt;=7,"Passive","Detractor"))</f>
        <v>Detractor</v>
      </c>
      <c r="R130" s="5"/>
    </row>
    <row r="131" spans="1:18">
      <c r="A131" t="s">
        <v>157</v>
      </c>
      <c r="B131" t="s">
        <v>19</v>
      </c>
      <c r="C131" t="s">
        <v>22</v>
      </c>
      <c r="D131" s="5">
        <v>45954</v>
      </c>
      <c r="H131" t="s">
        <v>23</v>
      </c>
      <c r="I131" t="s">
        <v>63</v>
      </c>
      <c r="K131" s="15" t="str">
        <f t="shared" si="6"/>
        <v/>
      </c>
      <c r="L131" t="str">
        <f t="shared" ref="L131:L194" si="7">IF(OR(E131="", F131=""), "", INT(F131 - E131))</f>
        <v/>
      </c>
      <c r="M131" t="str">
        <f t="shared" ref="M131:M194" si="8">IF(OR(F131="", G131=""), "", INT(G131 - F131))</f>
        <v/>
      </c>
      <c r="O131"/>
      <c r="P131" s="5" t="str">
        <f>IF(AND(Table1[[#This Row],[customer_rating]]&gt;=8, Table1[[#This Row],[Tat_day]]&lt;=7, Table1[[#This Row],[lead_type]]="Hot"), "High", "Normal")</f>
        <v>Normal</v>
      </c>
      <c r="Q131" s="5" t="str">
        <f>IF(Table1[[#This Row],[customer_rating]]&gt;=9,"Promoter",IF(Table1[[#This Row],[customer_rating]]&gt;=7,"Passive","Detractor"))</f>
        <v>Detractor</v>
      </c>
      <c r="R131" s="5"/>
    </row>
    <row r="132" spans="1:18">
      <c r="A132" t="s">
        <v>158</v>
      </c>
      <c r="B132" t="s">
        <v>14</v>
      </c>
      <c r="C132" t="s">
        <v>22</v>
      </c>
      <c r="D132" s="5">
        <v>45946</v>
      </c>
      <c r="H132" t="s">
        <v>23</v>
      </c>
      <c r="I132" t="s">
        <v>101</v>
      </c>
      <c r="K132" s="15" t="str">
        <f t="shared" si="6"/>
        <v/>
      </c>
      <c r="L132" t="str">
        <f t="shared" si="7"/>
        <v/>
      </c>
      <c r="M132" t="str">
        <f t="shared" si="8"/>
        <v/>
      </c>
      <c r="O132"/>
      <c r="P132" s="5" t="str">
        <f>IF(AND(Table1[[#This Row],[customer_rating]]&gt;=8, Table1[[#This Row],[Tat_day]]&lt;=7, Table1[[#This Row],[lead_type]]="Hot"), "High", "Normal")</f>
        <v>Normal</v>
      </c>
      <c r="Q132" s="5" t="str">
        <f>IF(Table1[[#This Row],[customer_rating]]&gt;=9,"Promoter",IF(Table1[[#This Row],[customer_rating]]&gt;=7,"Passive","Detractor"))</f>
        <v>Detractor</v>
      </c>
      <c r="R132" s="5"/>
    </row>
    <row r="133" spans="1:18">
      <c r="A133" t="s">
        <v>159</v>
      </c>
      <c r="B133" t="s">
        <v>32</v>
      </c>
      <c r="C133" t="s">
        <v>30</v>
      </c>
      <c r="D133" s="5">
        <v>45939</v>
      </c>
      <c r="E133" s="5">
        <v>45944</v>
      </c>
      <c r="F133" s="5">
        <v>45946</v>
      </c>
      <c r="G133" s="5">
        <v>45953</v>
      </c>
      <c r="H133" t="s">
        <v>16</v>
      </c>
      <c r="I133" t="s">
        <v>17</v>
      </c>
      <c r="J133" s="5">
        <v>45975</v>
      </c>
      <c r="K133" s="15">
        <f t="shared" si="6"/>
        <v>5</v>
      </c>
      <c r="L133">
        <f t="shared" si="7"/>
        <v>2</v>
      </c>
      <c r="M133">
        <f t="shared" si="8"/>
        <v>7</v>
      </c>
      <c r="N133">
        <v>4</v>
      </c>
      <c r="O133">
        <f>DATEDIF(Table1[[#This Row],[lead_date]], Table1[[#This Row],[delivery_date]], "d")</f>
        <v>14</v>
      </c>
      <c r="P133" s="5" t="str">
        <f>IF(AND(Table1[[#This Row],[customer_rating]]&gt;=8, Table1[[#This Row],[Tat_day]]&lt;=7, Table1[[#This Row],[lead_type]]="Hot"), "High", "Normal")</f>
        <v>Normal</v>
      </c>
      <c r="Q133" s="5" t="str">
        <f>IF(Table1[[#This Row],[customer_rating]]&gt;=9,"Promoter",IF(Table1[[#This Row],[customer_rating]]&gt;=7,"Passive","Detractor"))</f>
        <v>Detractor</v>
      </c>
      <c r="R133" s="5"/>
    </row>
    <row r="134" spans="1:18">
      <c r="A134" t="s">
        <v>160</v>
      </c>
      <c r="B134" t="s">
        <v>21</v>
      </c>
      <c r="C134" t="s">
        <v>22</v>
      </c>
      <c r="D134" s="5">
        <v>45954</v>
      </c>
      <c r="H134" t="s">
        <v>23</v>
      </c>
      <c r="I134" t="s">
        <v>63</v>
      </c>
      <c r="K134" s="15" t="str">
        <f t="shared" si="6"/>
        <v/>
      </c>
      <c r="L134" t="str">
        <f t="shared" si="7"/>
        <v/>
      </c>
      <c r="M134" t="str">
        <f t="shared" si="8"/>
        <v/>
      </c>
      <c r="O134"/>
      <c r="P134" s="5" t="str">
        <f>IF(AND(Table1[[#This Row],[customer_rating]]&gt;=8, Table1[[#This Row],[Tat_day]]&lt;=7, Table1[[#This Row],[lead_type]]="Hot"), "High", "Normal")</f>
        <v>Normal</v>
      </c>
      <c r="Q134" s="5" t="str">
        <f>IF(Table1[[#This Row],[customer_rating]]&gt;=9,"Promoter",IF(Table1[[#This Row],[customer_rating]]&gt;=7,"Passive","Detractor"))</f>
        <v>Detractor</v>
      </c>
      <c r="R134" s="5"/>
    </row>
    <row r="135" spans="1:18">
      <c r="A135" t="s">
        <v>161</v>
      </c>
      <c r="B135" t="s">
        <v>32</v>
      </c>
      <c r="C135" t="s">
        <v>15</v>
      </c>
      <c r="D135" s="5">
        <v>45949</v>
      </c>
      <c r="E135" s="5">
        <v>45950</v>
      </c>
      <c r="F135" s="5">
        <v>45952</v>
      </c>
      <c r="G135" s="5">
        <v>45957</v>
      </c>
      <c r="H135" t="s">
        <v>16</v>
      </c>
      <c r="I135" t="s">
        <v>17</v>
      </c>
      <c r="J135" s="5">
        <v>45981</v>
      </c>
      <c r="K135" s="15">
        <f t="shared" si="6"/>
        <v>1</v>
      </c>
      <c r="L135">
        <f t="shared" si="7"/>
        <v>2</v>
      </c>
      <c r="M135">
        <f t="shared" si="8"/>
        <v>5</v>
      </c>
      <c r="N135">
        <v>2</v>
      </c>
      <c r="O135">
        <f>DATEDIF(Table1[[#This Row],[lead_date]], Table1[[#This Row],[delivery_date]], "d")</f>
        <v>8</v>
      </c>
      <c r="P135" s="5" t="str">
        <f>IF(AND(Table1[[#This Row],[customer_rating]]&gt;=8, Table1[[#This Row],[Tat_day]]&lt;=7, Table1[[#This Row],[lead_type]]="Hot"), "High", "Normal")</f>
        <v>Normal</v>
      </c>
      <c r="Q135" s="5" t="str">
        <f>IF(Table1[[#This Row],[customer_rating]]&gt;=9,"Promoter",IF(Table1[[#This Row],[customer_rating]]&gt;=7,"Passive","Detractor"))</f>
        <v>Detractor</v>
      </c>
      <c r="R135" s="5"/>
    </row>
    <row r="136" spans="1:18">
      <c r="A136" t="s">
        <v>162</v>
      </c>
      <c r="B136" t="s">
        <v>19</v>
      </c>
      <c r="C136" t="s">
        <v>22</v>
      </c>
      <c r="D136" s="5">
        <v>45955</v>
      </c>
      <c r="H136" t="s">
        <v>23</v>
      </c>
      <c r="I136" t="s">
        <v>1028</v>
      </c>
      <c r="K136" s="15" t="str">
        <f t="shared" si="6"/>
        <v/>
      </c>
      <c r="L136" t="str">
        <f t="shared" si="7"/>
        <v/>
      </c>
      <c r="M136" t="str">
        <f t="shared" si="8"/>
        <v/>
      </c>
      <c r="O136"/>
      <c r="P136" s="5" t="str">
        <f>IF(AND(Table1[[#This Row],[customer_rating]]&gt;=8, Table1[[#This Row],[Tat_day]]&lt;=7, Table1[[#This Row],[lead_type]]="Hot"), "High", "Normal")</f>
        <v>Normal</v>
      </c>
      <c r="Q136" s="5" t="str">
        <f>IF(Table1[[#This Row],[customer_rating]]&gt;=9,"Promoter",IF(Table1[[#This Row],[customer_rating]]&gt;=7,"Passive","Detractor"))</f>
        <v>Detractor</v>
      </c>
      <c r="R136" s="5"/>
    </row>
    <row r="137" spans="1:18">
      <c r="A137" t="s">
        <v>163</v>
      </c>
      <c r="B137" t="s">
        <v>21</v>
      </c>
      <c r="C137" t="s">
        <v>15</v>
      </c>
      <c r="D137" s="5">
        <v>45947</v>
      </c>
      <c r="E137" s="5">
        <v>45950</v>
      </c>
      <c r="F137" s="5">
        <v>45951</v>
      </c>
      <c r="G137" s="5">
        <v>45956</v>
      </c>
      <c r="H137" t="s">
        <v>16</v>
      </c>
      <c r="I137" t="s">
        <v>17</v>
      </c>
      <c r="J137" s="5">
        <v>45979</v>
      </c>
      <c r="K137" s="15">
        <f t="shared" ref="K137:K200" si="9">IF(OR(D137="",E137=""),"",INT(E137-D137))</f>
        <v>3</v>
      </c>
      <c r="L137">
        <f t="shared" si="7"/>
        <v>1</v>
      </c>
      <c r="M137">
        <f t="shared" si="8"/>
        <v>5</v>
      </c>
      <c r="N137">
        <v>3</v>
      </c>
      <c r="O137">
        <f>DATEDIF(Table1[[#This Row],[lead_date]], Table1[[#This Row],[delivery_date]], "d")</f>
        <v>9</v>
      </c>
      <c r="P137" s="5" t="str">
        <f>IF(AND(Table1[[#This Row],[customer_rating]]&gt;=8, Table1[[#This Row],[Tat_day]]&lt;=7, Table1[[#This Row],[lead_type]]="Hot"), "High", "Normal")</f>
        <v>Normal</v>
      </c>
      <c r="Q137" s="5" t="str">
        <f>IF(Table1[[#This Row],[customer_rating]]&gt;=9,"Promoter",IF(Table1[[#This Row],[customer_rating]]&gt;=7,"Passive","Detractor"))</f>
        <v>Detractor</v>
      </c>
      <c r="R137" s="5"/>
    </row>
    <row r="138" spans="1:18">
      <c r="A138" t="s">
        <v>164</v>
      </c>
      <c r="B138" t="s">
        <v>19</v>
      </c>
      <c r="C138" t="s">
        <v>15</v>
      </c>
      <c r="D138" s="5">
        <v>45950</v>
      </c>
      <c r="E138" s="5">
        <v>45954</v>
      </c>
      <c r="F138" s="5">
        <v>45959</v>
      </c>
      <c r="G138" s="5">
        <v>45966</v>
      </c>
      <c r="H138" t="s">
        <v>16</v>
      </c>
      <c r="I138" t="s">
        <v>17</v>
      </c>
      <c r="J138" s="5">
        <v>45981</v>
      </c>
      <c r="K138" s="15">
        <f t="shared" si="9"/>
        <v>4</v>
      </c>
      <c r="L138">
        <f t="shared" si="7"/>
        <v>5</v>
      </c>
      <c r="M138">
        <f t="shared" si="8"/>
        <v>7</v>
      </c>
      <c r="N138">
        <v>0</v>
      </c>
      <c r="O138">
        <f>DATEDIF(Table1[[#This Row],[lead_date]], Table1[[#This Row],[delivery_date]], "d")</f>
        <v>16</v>
      </c>
      <c r="P138" s="5" t="str">
        <f>IF(AND(Table1[[#This Row],[customer_rating]]&gt;=8, Table1[[#This Row],[Tat_day]]&lt;=7, Table1[[#This Row],[lead_type]]="Hot"), "High", "Normal")</f>
        <v>Normal</v>
      </c>
      <c r="Q138" s="5" t="str">
        <f>IF(Table1[[#This Row],[customer_rating]]&gt;=9,"Promoter",IF(Table1[[#This Row],[customer_rating]]&gt;=7,"Passive","Detractor"))</f>
        <v>Detractor</v>
      </c>
      <c r="R138" s="5"/>
    </row>
    <row r="139" spans="1:18">
      <c r="A139" t="s">
        <v>165</v>
      </c>
      <c r="B139" t="s">
        <v>21</v>
      </c>
      <c r="C139" t="s">
        <v>15</v>
      </c>
      <c r="D139" s="5">
        <v>45940</v>
      </c>
      <c r="E139" s="5">
        <v>45941</v>
      </c>
      <c r="F139" s="5">
        <v>45943</v>
      </c>
      <c r="G139" s="5">
        <v>45948</v>
      </c>
      <c r="H139" t="s">
        <v>23</v>
      </c>
      <c r="I139" t="s">
        <v>101</v>
      </c>
      <c r="K139" s="15">
        <f t="shared" si="9"/>
        <v>1</v>
      </c>
      <c r="L139">
        <f t="shared" si="7"/>
        <v>2</v>
      </c>
      <c r="M139">
        <f t="shared" si="8"/>
        <v>5</v>
      </c>
      <c r="O139">
        <f>DATEDIF(Table1[[#This Row],[lead_date]], Table1[[#This Row],[delivery_date]], "d")</f>
        <v>8</v>
      </c>
      <c r="P139" s="5" t="str">
        <f>IF(AND(Table1[[#This Row],[customer_rating]]&gt;=8, Table1[[#This Row],[Tat_day]]&lt;=7, Table1[[#This Row],[lead_type]]="Hot"), "High", "Normal")</f>
        <v>Normal</v>
      </c>
      <c r="Q139" s="5" t="str">
        <f>IF(Table1[[#This Row],[customer_rating]]&gt;=9,"Promoter",IF(Table1[[#This Row],[customer_rating]]&gt;=7,"Passive","Detractor"))</f>
        <v>Detractor</v>
      </c>
      <c r="R139" s="5"/>
    </row>
    <row r="140" spans="1:18">
      <c r="A140" t="s">
        <v>166</v>
      </c>
      <c r="B140" t="s">
        <v>14</v>
      </c>
      <c r="C140" t="s">
        <v>22</v>
      </c>
      <c r="D140" s="5">
        <v>45934</v>
      </c>
      <c r="H140" t="s">
        <v>23</v>
      </c>
      <c r="I140" t="s">
        <v>1028</v>
      </c>
      <c r="K140" s="15" t="str">
        <f t="shared" si="9"/>
        <v/>
      </c>
      <c r="L140" t="str">
        <f t="shared" si="7"/>
        <v/>
      </c>
      <c r="M140" t="str">
        <f t="shared" si="8"/>
        <v/>
      </c>
      <c r="O140"/>
      <c r="P140" s="5" t="str">
        <f>IF(AND(Table1[[#This Row],[customer_rating]]&gt;=8, Table1[[#This Row],[Tat_day]]&lt;=7, Table1[[#This Row],[lead_type]]="Hot"), "High", "Normal")</f>
        <v>Normal</v>
      </c>
      <c r="Q140" s="5" t="str">
        <f>IF(Table1[[#This Row],[customer_rating]]&gt;=9,"Promoter",IF(Table1[[#This Row],[customer_rating]]&gt;=7,"Passive","Detractor"))</f>
        <v>Detractor</v>
      </c>
      <c r="R140" s="5"/>
    </row>
    <row r="141" spans="1:18">
      <c r="A141" t="s">
        <v>167</v>
      </c>
      <c r="B141" t="s">
        <v>14</v>
      </c>
      <c r="C141" t="s">
        <v>15</v>
      </c>
      <c r="D141" s="5">
        <v>45957</v>
      </c>
      <c r="E141" s="5">
        <v>45960</v>
      </c>
      <c r="F141" s="5">
        <v>45962</v>
      </c>
      <c r="G141" s="5">
        <v>45967</v>
      </c>
      <c r="H141" t="s">
        <v>16</v>
      </c>
      <c r="I141" t="s">
        <v>17</v>
      </c>
      <c r="J141" s="5">
        <v>45990</v>
      </c>
      <c r="K141" s="15">
        <f t="shared" si="9"/>
        <v>3</v>
      </c>
      <c r="L141">
        <f t="shared" si="7"/>
        <v>2</v>
      </c>
      <c r="M141">
        <f t="shared" si="8"/>
        <v>5</v>
      </c>
      <c r="N141">
        <v>5</v>
      </c>
      <c r="O141">
        <f>DATEDIF(Table1[[#This Row],[lead_date]], Table1[[#This Row],[delivery_date]], "d")</f>
        <v>10</v>
      </c>
      <c r="P141" s="5" t="str">
        <f>IF(AND(Table1[[#This Row],[customer_rating]]&gt;=8, Table1[[#This Row],[Tat_day]]&lt;=7, Table1[[#This Row],[lead_type]]="Hot"), "High", "Normal")</f>
        <v>Normal</v>
      </c>
      <c r="Q141" s="5" t="str">
        <f>IF(Table1[[#This Row],[customer_rating]]&gt;=9,"Promoter",IF(Table1[[#This Row],[customer_rating]]&gt;=7,"Passive","Detractor"))</f>
        <v>Detractor</v>
      </c>
      <c r="R141" s="5"/>
    </row>
    <row r="142" spans="1:18">
      <c r="A142" t="s">
        <v>168</v>
      </c>
      <c r="B142" t="s">
        <v>14</v>
      </c>
      <c r="C142" t="s">
        <v>15</v>
      </c>
      <c r="D142" s="5">
        <v>45937</v>
      </c>
      <c r="E142" s="5">
        <v>45942</v>
      </c>
      <c r="F142" s="5">
        <v>45943</v>
      </c>
      <c r="G142" s="5">
        <v>45946</v>
      </c>
      <c r="H142" t="s">
        <v>16</v>
      </c>
      <c r="I142" t="s">
        <v>17</v>
      </c>
      <c r="J142" s="5">
        <v>45971</v>
      </c>
      <c r="K142" s="15">
        <f t="shared" si="9"/>
        <v>5</v>
      </c>
      <c r="L142">
        <f t="shared" si="7"/>
        <v>1</v>
      </c>
      <c r="M142">
        <f t="shared" si="8"/>
        <v>3</v>
      </c>
      <c r="N142">
        <v>0</v>
      </c>
      <c r="O142">
        <f>DATEDIF(Table1[[#This Row],[lead_date]], Table1[[#This Row],[delivery_date]], "d")</f>
        <v>9</v>
      </c>
      <c r="P142" s="5" t="str">
        <f>IF(AND(Table1[[#This Row],[customer_rating]]&gt;=8, Table1[[#This Row],[Tat_day]]&lt;=7, Table1[[#This Row],[lead_type]]="Hot"), "High", "Normal")</f>
        <v>Normal</v>
      </c>
      <c r="Q142" s="5" t="str">
        <f>IF(Table1[[#This Row],[customer_rating]]&gt;=9,"Promoter",IF(Table1[[#This Row],[customer_rating]]&gt;=7,"Passive","Detractor"))</f>
        <v>Detractor</v>
      </c>
      <c r="R142" s="5"/>
    </row>
    <row r="143" spans="1:18">
      <c r="A143" t="s">
        <v>169</v>
      </c>
      <c r="B143" t="s">
        <v>32</v>
      </c>
      <c r="C143" t="s">
        <v>22</v>
      </c>
      <c r="D143" s="5">
        <v>45940</v>
      </c>
      <c r="H143" t="s">
        <v>23</v>
      </c>
      <c r="I143" t="s">
        <v>24</v>
      </c>
      <c r="K143" s="15" t="str">
        <f t="shared" si="9"/>
        <v/>
      </c>
      <c r="L143" t="str">
        <f t="shared" si="7"/>
        <v/>
      </c>
      <c r="M143" t="str">
        <f t="shared" si="8"/>
        <v/>
      </c>
      <c r="O143"/>
      <c r="P143" s="5" t="str">
        <f>IF(AND(Table1[[#This Row],[customer_rating]]&gt;=8, Table1[[#This Row],[Tat_day]]&lt;=7, Table1[[#This Row],[lead_type]]="Hot"), "High", "Normal")</f>
        <v>Normal</v>
      </c>
      <c r="Q143" s="5" t="str">
        <f>IF(Table1[[#This Row],[customer_rating]]&gt;=9,"Promoter",IF(Table1[[#This Row],[customer_rating]]&gt;=7,"Passive","Detractor"))</f>
        <v>Detractor</v>
      </c>
      <c r="R143" s="5"/>
    </row>
    <row r="144" spans="1:18">
      <c r="A144" t="s">
        <v>170</v>
      </c>
      <c r="B144" t="s">
        <v>19</v>
      </c>
      <c r="C144" t="s">
        <v>30</v>
      </c>
      <c r="D144" s="5">
        <v>45938</v>
      </c>
      <c r="E144" s="5">
        <v>45942</v>
      </c>
      <c r="F144" s="5">
        <v>45943</v>
      </c>
      <c r="G144" s="5">
        <v>45945</v>
      </c>
      <c r="H144" t="s">
        <v>16</v>
      </c>
      <c r="I144" t="s">
        <v>17</v>
      </c>
      <c r="J144" s="5">
        <v>45967</v>
      </c>
      <c r="K144" s="15">
        <f t="shared" si="9"/>
        <v>4</v>
      </c>
      <c r="L144">
        <f t="shared" si="7"/>
        <v>1</v>
      </c>
      <c r="M144">
        <f t="shared" si="8"/>
        <v>2</v>
      </c>
      <c r="N144">
        <v>4</v>
      </c>
      <c r="O144">
        <f>DATEDIF(Table1[[#This Row],[lead_date]], Table1[[#This Row],[delivery_date]], "d")</f>
        <v>7</v>
      </c>
      <c r="P144" s="5" t="str">
        <f>IF(AND(Table1[[#This Row],[customer_rating]]&gt;=8, Table1[[#This Row],[Tat_day]]&lt;=7, Table1[[#This Row],[lead_type]]="Hot"), "High", "Normal")</f>
        <v>Normal</v>
      </c>
      <c r="Q144" s="5" t="str">
        <f>IF(Table1[[#This Row],[customer_rating]]&gt;=9,"Promoter",IF(Table1[[#This Row],[customer_rating]]&gt;=7,"Passive","Detractor"))</f>
        <v>Detractor</v>
      </c>
      <c r="R144" s="5"/>
    </row>
    <row r="145" spans="1:18">
      <c r="A145" t="s">
        <v>171</v>
      </c>
      <c r="B145" t="s">
        <v>32</v>
      </c>
      <c r="C145" t="s">
        <v>30</v>
      </c>
      <c r="D145" s="5">
        <v>45942</v>
      </c>
      <c r="E145" s="5">
        <v>45947</v>
      </c>
      <c r="F145" s="5">
        <v>45951</v>
      </c>
      <c r="G145" s="5">
        <v>45957</v>
      </c>
      <c r="H145" t="s">
        <v>16</v>
      </c>
      <c r="I145" t="s">
        <v>17</v>
      </c>
      <c r="J145" s="5">
        <v>45978</v>
      </c>
      <c r="K145" s="15">
        <f t="shared" si="9"/>
        <v>5</v>
      </c>
      <c r="L145">
        <f t="shared" si="7"/>
        <v>4</v>
      </c>
      <c r="M145">
        <f t="shared" si="8"/>
        <v>6</v>
      </c>
      <c r="N145">
        <v>1</v>
      </c>
      <c r="O145">
        <f>DATEDIF(Table1[[#This Row],[lead_date]], Table1[[#This Row],[delivery_date]], "d")</f>
        <v>15</v>
      </c>
      <c r="P145" s="5" t="str">
        <f>IF(AND(Table1[[#This Row],[customer_rating]]&gt;=8, Table1[[#This Row],[Tat_day]]&lt;=7, Table1[[#This Row],[lead_type]]="Hot"), "High", "Normal")</f>
        <v>Normal</v>
      </c>
      <c r="Q145" s="5" t="str">
        <f>IF(Table1[[#This Row],[customer_rating]]&gt;=9,"Promoter",IF(Table1[[#This Row],[customer_rating]]&gt;=7,"Passive","Detractor"))</f>
        <v>Detractor</v>
      </c>
      <c r="R145" s="5"/>
    </row>
    <row r="146" spans="1:18">
      <c r="A146" t="s">
        <v>172</v>
      </c>
      <c r="B146" t="s">
        <v>14</v>
      </c>
      <c r="C146" t="s">
        <v>30</v>
      </c>
      <c r="D146" s="5">
        <v>45936</v>
      </c>
      <c r="E146" s="5">
        <v>45939</v>
      </c>
      <c r="F146" s="5">
        <v>45942</v>
      </c>
      <c r="G146" s="5">
        <v>45944</v>
      </c>
      <c r="H146" t="s">
        <v>16</v>
      </c>
      <c r="I146" t="s">
        <v>17</v>
      </c>
      <c r="J146" s="5">
        <v>45971</v>
      </c>
      <c r="K146" s="15">
        <f t="shared" si="9"/>
        <v>3</v>
      </c>
      <c r="L146">
        <f t="shared" si="7"/>
        <v>3</v>
      </c>
      <c r="M146">
        <f t="shared" si="8"/>
        <v>2</v>
      </c>
      <c r="N146">
        <v>6</v>
      </c>
      <c r="O146">
        <f>DATEDIF(Table1[[#This Row],[lead_date]], Table1[[#This Row],[delivery_date]], "d")</f>
        <v>8</v>
      </c>
      <c r="P146" s="5" t="str">
        <f>IF(AND(Table1[[#This Row],[customer_rating]]&gt;=8, Table1[[#This Row],[Tat_day]]&lt;=7, Table1[[#This Row],[lead_type]]="Hot"), "High", "Normal")</f>
        <v>Normal</v>
      </c>
      <c r="Q146" s="5" t="str">
        <f>IF(Table1[[#This Row],[customer_rating]]&gt;=9,"Promoter",IF(Table1[[#This Row],[customer_rating]]&gt;=7,"Passive","Detractor"))</f>
        <v>Detractor</v>
      </c>
      <c r="R146" s="5"/>
    </row>
    <row r="147" spans="1:18">
      <c r="A147" t="s">
        <v>173</v>
      </c>
      <c r="B147" t="s">
        <v>19</v>
      </c>
      <c r="C147" t="s">
        <v>15</v>
      </c>
      <c r="D147" s="5">
        <v>45940</v>
      </c>
      <c r="E147" s="5">
        <v>45941</v>
      </c>
      <c r="F147" s="5">
        <v>45945</v>
      </c>
      <c r="G147" s="5">
        <v>45948</v>
      </c>
      <c r="H147" t="s">
        <v>16</v>
      </c>
      <c r="I147" t="s">
        <v>17</v>
      </c>
      <c r="J147" s="5">
        <v>45970</v>
      </c>
      <c r="K147" s="15">
        <f t="shared" si="9"/>
        <v>1</v>
      </c>
      <c r="L147">
        <f t="shared" si="7"/>
        <v>4</v>
      </c>
      <c r="M147">
        <f t="shared" si="8"/>
        <v>3</v>
      </c>
      <c r="N147">
        <v>1</v>
      </c>
      <c r="O147">
        <f>DATEDIF(Table1[[#This Row],[lead_date]], Table1[[#This Row],[delivery_date]], "d")</f>
        <v>8</v>
      </c>
      <c r="P147" s="5" t="str">
        <f>IF(AND(Table1[[#This Row],[customer_rating]]&gt;=8, Table1[[#This Row],[Tat_day]]&lt;=7, Table1[[#This Row],[lead_type]]="Hot"), "High", "Normal")</f>
        <v>Normal</v>
      </c>
      <c r="Q147" s="5" t="str">
        <f>IF(Table1[[#This Row],[customer_rating]]&gt;=9,"Promoter",IF(Table1[[#This Row],[customer_rating]]&gt;=7,"Passive","Detractor"))</f>
        <v>Detractor</v>
      </c>
      <c r="R147" s="5"/>
    </row>
    <row r="148" spans="1:18">
      <c r="A148" t="s">
        <v>174</v>
      </c>
      <c r="B148" t="s">
        <v>14</v>
      </c>
      <c r="C148" t="s">
        <v>30</v>
      </c>
      <c r="D148" s="5">
        <v>45931</v>
      </c>
      <c r="E148" s="5">
        <v>45933</v>
      </c>
      <c r="F148" s="5">
        <v>45934</v>
      </c>
      <c r="G148" s="5">
        <v>45938</v>
      </c>
      <c r="H148" t="s">
        <v>16</v>
      </c>
      <c r="I148" t="s">
        <v>17</v>
      </c>
      <c r="J148" s="5">
        <v>45951</v>
      </c>
      <c r="K148" s="15">
        <f t="shared" si="9"/>
        <v>2</v>
      </c>
      <c r="L148">
        <f t="shared" si="7"/>
        <v>1</v>
      </c>
      <c r="M148">
        <f t="shared" si="8"/>
        <v>4</v>
      </c>
      <c r="N148">
        <v>6</v>
      </c>
      <c r="O148">
        <f>DATEDIF(Table1[[#This Row],[lead_date]], Table1[[#This Row],[delivery_date]], "d")</f>
        <v>7</v>
      </c>
      <c r="P148" s="5" t="str">
        <f>IF(AND(Table1[[#This Row],[customer_rating]]&gt;=8, Table1[[#This Row],[Tat_day]]&lt;=7, Table1[[#This Row],[lead_type]]="Hot"), "High", "Normal")</f>
        <v>Normal</v>
      </c>
      <c r="Q148" s="5" t="str">
        <f>IF(Table1[[#This Row],[customer_rating]]&gt;=9,"Promoter",IF(Table1[[#This Row],[customer_rating]]&gt;=7,"Passive","Detractor"))</f>
        <v>Detractor</v>
      </c>
      <c r="R148" s="5"/>
    </row>
    <row r="149" spans="1:18">
      <c r="A149" t="s">
        <v>175</v>
      </c>
      <c r="B149" t="s">
        <v>32</v>
      </c>
      <c r="C149" t="s">
        <v>22</v>
      </c>
      <c r="D149" s="5">
        <v>45953</v>
      </c>
      <c r="H149" t="s">
        <v>23</v>
      </c>
      <c r="I149" t="s">
        <v>33</v>
      </c>
      <c r="K149" s="15" t="str">
        <f t="shared" si="9"/>
        <v/>
      </c>
      <c r="L149" t="str">
        <f t="shared" si="7"/>
        <v/>
      </c>
      <c r="M149" t="str">
        <f t="shared" si="8"/>
        <v/>
      </c>
      <c r="O149"/>
      <c r="P149" s="5" t="str">
        <f>IF(AND(Table1[[#This Row],[customer_rating]]&gt;=8, Table1[[#This Row],[Tat_day]]&lt;=7, Table1[[#This Row],[lead_type]]="Hot"), "High", "Normal")</f>
        <v>Normal</v>
      </c>
      <c r="Q149" s="5" t="str">
        <f>IF(Table1[[#This Row],[customer_rating]]&gt;=9,"Promoter",IF(Table1[[#This Row],[customer_rating]]&gt;=7,"Passive","Detractor"))</f>
        <v>Detractor</v>
      </c>
      <c r="R149" s="5"/>
    </row>
    <row r="150" spans="1:18">
      <c r="A150" t="s">
        <v>176</v>
      </c>
      <c r="B150" t="s">
        <v>32</v>
      </c>
      <c r="C150" t="s">
        <v>30</v>
      </c>
      <c r="D150" s="5">
        <v>45948</v>
      </c>
      <c r="E150" s="5">
        <v>45952</v>
      </c>
      <c r="F150" s="5">
        <v>45954</v>
      </c>
      <c r="G150" s="5">
        <v>45956</v>
      </c>
      <c r="H150" t="s">
        <v>16</v>
      </c>
      <c r="I150" t="s">
        <v>17</v>
      </c>
      <c r="J150" s="5">
        <v>45981</v>
      </c>
      <c r="K150" s="15">
        <f t="shared" si="9"/>
        <v>4</v>
      </c>
      <c r="L150">
        <f t="shared" si="7"/>
        <v>2</v>
      </c>
      <c r="M150">
        <f t="shared" si="8"/>
        <v>2</v>
      </c>
      <c r="N150">
        <v>5</v>
      </c>
      <c r="O150">
        <f>DATEDIF(Table1[[#This Row],[lead_date]], Table1[[#This Row],[delivery_date]], "d")</f>
        <v>8</v>
      </c>
      <c r="P150" s="5" t="str">
        <f>IF(AND(Table1[[#This Row],[customer_rating]]&gt;=8, Table1[[#This Row],[Tat_day]]&lt;=7, Table1[[#This Row],[lead_type]]="Hot"), "High", "Normal")</f>
        <v>Normal</v>
      </c>
      <c r="Q150" s="5" t="str">
        <f>IF(Table1[[#This Row],[customer_rating]]&gt;=9,"Promoter",IF(Table1[[#This Row],[customer_rating]]&gt;=7,"Passive","Detractor"))</f>
        <v>Detractor</v>
      </c>
      <c r="R150" s="5"/>
    </row>
    <row r="151" spans="1:18">
      <c r="A151" t="s">
        <v>177</v>
      </c>
      <c r="B151" t="s">
        <v>32</v>
      </c>
      <c r="C151" t="s">
        <v>15</v>
      </c>
      <c r="D151" s="5">
        <v>45935</v>
      </c>
      <c r="E151" s="5">
        <v>45940</v>
      </c>
      <c r="F151" s="5">
        <v>45941</v>
      </c>
      <c r="G151" s="5">
        <v>45945</v>
      </c>
      <c r="H151" t="s">
        <v>16</v>
      </c>
      <c r="I151" t="s">
        <v>17</v>
      </c>
      <c r="J151" s="5">
        <v>45973</v>
      </c>
      <c r="K151" s="15">
        <f t="shared" si="9"/>
        <v>5</v>
      </c>
      <c r="L151">
        <f t="shared" si="7"/>
        <v>1</v>
      </c>
      <c r="M151">
        <f t="shared" si="8"/>
        <v>4</v>
      </c>
      <c r="N151">
        <v>4</v>
      </c>
      <c r="O151">
        <f>DATEDIF(Table1[[#This Row],[lead_date]], Table1[[#This Row],[delivery_date]], "d")</f>
        <v>10</v>
      </c>
      <c r="P151" s="5" t="str">
        <f>IF(AND(Table1[[#This Row],[customer_rating]]&gt;=8, Table1[[#This Row],[Tat_day]]&lt;=7, Table1[[#This Row],[lead_type]]="Hot"), "High", "Normal")</f>
        <v>Normal</v>
      </c>
      <c r="Q151" s="5" t="str">
        <f>IF(Table1[[#This Row],[customer_rating]]&gt;=9,"Promoter",IF(Table1[[#This Row],[customer_rating]]&gt;=7,"Passive","Detractor"))</f>
        <v>Detractor</v>
      </c>
      <c r="R151" s="5"/>
    </row>
    <row r="152" spans="1:18">
      <c r="A152" t="s">
        <v>178</v>
      </c>
      <c r="B152" t="s">
        <v>14</v>
      </c>
      <c r="C152" t="s">
        <v>30</v>
      </c>
      <c r="D152" s="5">
        <v>45939</v>
      </c>
      <c r="E152" s="5">
        <v>45940</v>
      </c>
      <c r="F152" s="5">
        <v>45945</v>
      </c>
      <c r="G152" s="5">
        <v>45948</v>
      </c>
      <c r="H152" t="s">
        <v>16</v>
      </c>
      <c r="I152" t="s">
        <v>17</v>
      </c>
      <c r="J152" s="5">
        <v>45978</v>
      </c>
      <c r="K152" s="15">
        <f t="shared" si="9"/>
        <v>1</v>
      </c>
      <c r="L152">
        <f t="shared" si="7"/>
        <v>5</v>
      </c>
      <c r="M152">
        <f t="shared" si="8"/>
        <v>3</v>
      </c>
      <c r="N152">
        <v>2</v>
      </c>
      <c r="O152">
        <f>DATEDIF(Table1[[#This Row],[lead_date]], Table1[[#This Row],[delivery_date]], "d")</f>
        <v>9</v>
      </c>
      <c r="P152" s="5" t="str">
        <f>IF(AND(Table1[[#This Row],[customer_rating]]&gt;=8, Table1[[#This Row],[Tat_day]]&lt;=7, Table1[[#This Row],[lead_type]]="Hot"), "High", "Normal")</f>
        <v>Normal</v>
      </c>
      <c r="Q152" s="5" t="str">
        <f>IF(Table1[[#This Row],[customer_rating]]&gt;=9,"Promoter",IF(Table1[[#This Row],[customer_rating]]&gt;=7,"Passive","Detractor"))</f>
        <v>Detractor</v>
      </c>
      <c r="R152" s="5"/>
    </row>
    <row r="153" spans="1:18">
      <c r="A153" t="s">
        <v>179</v>
      </c>
      <c r="B153" t="s">
        <v>19</v>
      </c>
      <c r="C153" t="s">
        <v>22</v>
      </c>
      <c r="D153" s="5">
        <v>45932</v>
      </c>
      <c r="H153" t="s">
        <v>23</v>
      </c>
      <c r="I153" t="s">
        <v>24</v>
      </c>
      <c r="K153" s="15" t="str">
        <f t="shared" si="9"/>
        <v/>
      </c>
      <c r="L153" t="str">
        <f t="shared" si="7"/>
        <v/>
      </c>
      <c r="M153" t="str">
        <f t="shared" si="8"/>
        <v/>
      </c>
      <c r="O153"/>
      <c r="P153" s="5" t="str">
        <f>IF(AND(Table1[[#This Row],[customer_rating]]&gt;=8, Table1[[#This Row],[Tat_day]]&lt;=7, Table1[[#This Row],[lead_type]]="Hot"), "High", "Normal")</f>
        <v>Normal</v>
      </c>
      <c r="Q153" s="5" t="str">
        <f>IF(Table1[[#This Row],[customer_rating]]&gt;=9,"Promoter",IF(Table1[[#This Row],[customer_rating]]&gt;=7,"Passive","Detractor"))</f>
        <v>Detractor</v>
      </c>
      <c r="R153" s="5"/>
    </row>
    <row r="154" spans="1:18">
      <c r="A154" t="s">
        <v>180</v>
      </c>
      <c r="B154" t="s">
        <v>19</v>
      </c>
      <c r="C154" t="s">
        <v>22</v>
      </c>
      <c r="D154" s="5">
        <v>45932</v>
      </c>
      <c r="H154" t="s">
        <v>23</v>
      </c>
      <c r="I154" t="s">
        <v>33</v>
      </c>
      <c r="K154" s="15" t="str">
        <f t="shared" si="9"/>
        <v/>
      </c>
      <c r="L154" t="str">
        <f t="shared" si="7"/>
        <v/>
      </c>
      <c r="M154" t="str">
        <f t="shared" si="8"/>
        <v/>
      </c>
      <c r="O154"/>
      <c r="P154" s="5" t="str">
        <f>IF(AND(Table1[[#This Row],[customer_rating]]&gt;=8, Table1[[#This Row],[Tat_day]]&lt;=7, Table1[[#This Row],[lead_type]]="Hot"), "High", "Normal")</f>
        <v>Normal</v>
      </c>
      <c r="Q154" s="5" t="str">
        <f>IF(Table1[[#This Row],[customer_rating]]&gt;=9,"Promoter",IF(Table1[[#This Row],[customer_rating]]&gt;=7,"Passive","Detractor"))</f>
        <v>Detractor</v>
      </c>
      <c r="R154" s="5"/>
    </row>
    <row r="155" spans="1:18">
      <c r="A155" t="s">
        <v>181</v>
      </c>
      <c r="B155" t="s">
        <v>14</v>
      </c>
      <c r="C155" t="s">
        <v>15</v>
      </c>
      <c r="D155" s="5">
        <v>45948</v>
      </c>
      <c r="E155" s="5">
        <v>45949</v>
      </c>
      <c r="F155" s="5">
        <v>45951</v>
      </c>
      <c r="G155" s="5">
        <v>45957</v>
      </c>
      <c r="H155" t="s">
        <v>16</v>
      </c>
      <c r="I155" t="s">
        <v>17</v>
      </c>
      <c r="J155" s="5">
        <v>45974</v>
      </c>
      <c r="K155" s="15">
        <f t="shared" si="9"/>
        <v>1</v>
      </c>
      <c r="L155">
        <f t="shared" si="7"/>
        <v>2</v>
      </c>
      <c r="M155">
        <f t="shared" si="8"/>
        <v>6</v>
      </c>
      <c r="N155">
        <v>7</v>
      </c>
      <c r="O155">
        <f>DATEDIF(Table1[[#This Row],[lead_date]], Table1[[#This Row],[delivery_date]], "d")</f>
        <v>9</v>
      </c>
      <c r="P155" s="5" t="str">
        <f>IF(AND(Table1[[#This Row],[customer_rating]]&gt;=8, Table1[[#This Row],[Tat_day]]&lt;=7, Table1[[#This Row],[lead_type]]="Hot"), "High", "Normal")</f>
        <v>Normal</v>
      </c>
      <c r="Q155" s="5" t="str">
        <f>IF(Table1[[#This Row],[customer_rating]]&gt;=9,"Promoter",IF(Table1[[#This Row],[customer_rating]]&gt;=7,"Passive","Detractor"))</f>
        <v>Passive</v>
      </c>
      <c r="R155" s="5"/>
    </row>
    <row r="156" spans="1:18">
      <c r="A156" t="s">
        <v>182</v>
      </c>
      <c r="B156" t="s">
        <v>19</v>
      </c>
      <c r="C156" t="s">
        <v>22</v>
      </c>
      <c r="D156" s="5">
        <v>45940</v>
      </c>
      <c r="H156" t="s">
        <v>23</v>
      </c>
      <c r="I156" t="s">
        <v>24</v>
      </c>
      <c r="K156" s="15" t="str">
        <f t="shared" si="9"/>
        <v/>
      </c>
      <c r="L156" t="str">
        <f t="shared" si="7"/>
        <v/>
      </c>
      <c r="M156" t="str">
        <f t="shared" si="8"/>
        <v/>
      </c>
      <c r="O156"/>
      <c r="P156" s="5" t="str">
        <f>IF(AND(Table1[[#This Row],[customer_rating]]&gt;=8, Table1[[#This Row],[Tat_day]]&lt;=7, Table1[[#This Row],[lead_type]]="Hot"), "High", "Normal")</f>
        <v>Normal</v>
      </c>
      <c r="Q156" s="5" t="str">
        <f>IF(Table1[[#This Row],[customer_rating]]&gt;=9,"Promoter",IF(Table1[[#This Row],[customer_rating]]&gt;=7,"Passive","Detractor"))</f>
        <v>Detractor</v>
      </c>
      <c r="R156" s="5"/>
    </row>
    <row r="157" spans="1:18">
      <c r="A157" t="s">
        <v>183</v>
      </c>
      <c r="B157" t="s">
        <v>14</v>
      </c>
      <c r="C157" t="s">
        <v>30</v>
      </c>
      <c r="D157" s="5">
        <v>45953</v>
      </c>
      <c r="E157" s="5">
        <v>45955</v>
      </c>
      <c r="F157" s="5">
        <v>45959</v>
      </c>
      <c r="G157" s="5">
        <v>45963</v>
      </c>
      <c r="H157" t="s">
        <v>16</v>
      </c>
      <c r="I157" t="s">
        <v>17</v>
      </c>
      <c r="J157" s="5">
        <v>45978</v>
      </c>
      <c r="K157" s="15">
        <f t="shared" si="9"/>
        <v>2</v>
      </c>
      <c r="L157">
        <f t="shared" si="7"/>
        <v>4</v>
      </c>
      <c r="M157">
        <f t="shared" si="8"/>
        <v>4</v>
      </c>
      <c r="N157">
        <v>4</v>
      </c>
      <c r="O157">
        <f>DATEDIF(Table1[[#This Row],[lead_date]], Table1[[#This Row],[delivery_date]], "d")</f>
        <v>10</v>
      </c>
      <c r="P157" s="5" t="str">
        <f>IF(AND(Table1[[#This Row],[customer_rating]]&gt;=8, Table1[[#This Row],[Tat_day]]&lt;=7, Table1[[#This Row],[lead_type]]="Hot"), "High", "Normal")</f>
        <v>Normal</v>
      </c>
      <c r="Q157" s="5" t="str">
        <f>IF(Table1[[#This Row],[customer_rating]]&gt;=9,"Promoter",IF(Table1[[#This Row],[customer_rating]]&gt;=7,"Passive","Detractor"))</f>
        <v>Detractor</v>
      </c>
      <c r="R157" s="5"/>
    </row>
    <row r="158" spans="1:18">
      <c r="A158" t="s">
        <v>184</v>
      </c>
      <c r="B158" t="s">
        <v>19</v>
      </c>
      <c r="C158" t="s">
        <v>22</v>
      </c>
      <c r="D158" s="5">
        <v>45961</v>
      </c>
      <c r="H158" t="s">
        <v>23</v>
      </c>
      <c r="I158" t="s">
        <v>63</v>
      </c>
      <c r="K158" s="15" t="str">
        <f t="shared" si="9"/>
        <v/>
      </c>
      <c r="L158" t="str">
        <f t="shared" si="7"/>
        <v/>
      </c>
      <c r="M158" t="str">
        <f t="shared" si="8"/>
        <v/>
      </c>
      <c r="O158"/>
      <c r="P158" s="5" t="str">
        <f>IF(AND(Table1[[#This Row],[customer_rating]]&gt;=8, Table1[[#This Row],[Tat_day]]&lt;=7, Table1[[#This Row],[lead_type]]="Hot"), "High", "Normal")</f>
        <v>Normal</v>
      </c>
      <c r="Q158" s="5" t="str">
        <f>IF(Table1[[#This Row],[customer_rating]]&gt;=9,"Promoter",IF(Table1[[#This Row],[customer_rating]]&gt;=7,"Passive","Detractor"))</f>
        <v>Detractor</v>
      </c>
      <c r="R158" s="5"/>
    </row>
    <row r="159" spans="1:18">
      <c r="A159" t="s">
        <v>185</v>
      </c>
      <c r="B159" t="s">
        <v>21</v>
      </c>
      <c r="C159" t="s">
        <v>30</v>
      </c>
      <c r="D159" s="5">
        <v>45935</v>
      </c>
      <c r="E159" s="5">
        <v>45938</v>
      </c>
      <c r="F159" s="5">
        <v>45942</v>
      </c>
      <c r="G159" s="5">
        <v>45945</v>
      </c>
      <c r="H159" t="s">
        <v>16</v>
      </c>
      <c r="I159" t="s">
        <v>17</v>
      </c>
      <c r="J159" s="5">
        <v>45969</v>
      </c>
      <c r="K159" s="15">
        <f t="shared" si="9"/>
        <v>3</v>
      </c>
      <c r="L159">
        <f t="shared" si="7"/>
        <v>4</v>
      </c>
      <c r="M159">
        <f t="shared" si="8"/>
        <v>3</v>
      </c>
      <c r="N159">
        <v>8</v>
      </c>
      <c r="O159">
        <f>DATEDIF(Table1[[#This Row],[lead_date]], Table1[[#This Row],[delivery_date]], "d")</f>
        <v>10</v>
      </c>
      <c r="P159" s="5" t="str">
        <f>IF(AND(Table1[[#This Row],[customer_rating]]&gt;=8, Table1[[#This Row],[Tat_day]]&lt;=7, Table1[[#This Row],[lead_type]]="Hot"), "High", "Normal")</f>
        <v>Normal</v>
      </c>
      <c r="Q159" s="5" t="str">
        <f>IF(Table1[[#This Row],[customer_rating]]&gt;=9,"Promoter",IF(Table1[[#This Row],[customer_rating]]&gt;=7,"Passive","Detractor"))</f>
        <v>Passive</v>
      </c>
      <c r="R159" s="5"/>
    </row>
    <row r="160" spans="1:18">
      <c r="A160" t="s">
        <v>186</v>
      </c>
      <c r="B160" t="s">
        <v>21</v>
      </c>
      <c r="C160" t="s">
        <v>22</v>
      </c>
      <c r="D160" s="5">
        <v>45951</v>
      </c>
      <c r="H160" t="s">
        <v>23</v>
      </c>
      <c r="I160" t="s">
        <v>1028</v>
      </c>
      <c r="K160" s="15" t="str">
        <f t="shared" si="9"/>
        <v/>
      </c>
      <c r="L160" t="str">
        <f t="shared" si="7"/>
        <v/>
      </c>
      <c r="M160" t="str">
        <f t="shared" si="8"/>
        <v/>
      </c>
      <c r="O160"/>
      <c r="P160" s="5" t="str">
        <f>IF(AND(Table1[[#This Row],[customer_rating]]&gt;=8, Table1[[#This Row],[Tat_day]]&lt;=7, Table1[[#This Row],[lead_type]]="Hot"), "High", "Normal")</f>
        <v>Normal</v>
      </c>
      <c r="Q160" s="5" t="str">
        <f>IF(Table1[[#This Row],[customer_rating]]&gt;=9,"Promoter",IF(Table1[[#This Row],[customer_rating]]&gt;=7,"Passive","Detractor"))</f>
        <v>Detractor</v>
      </c>
      <c r="R160" s="5"/>
    </row>
    <row r="161" spans="1:18">
      <c r="A161" t="s">
        <v>187</v>
      </c>
      <c r="B161" t="s">
        <v>32</v>
      </c>
      <c r="C161" t="s">
        <v>30</v>
      </c>
      <c r="D161" s="5">
        <v>45958</v>
      </c>
      <c r="E161" s="5">
        <v>45960</v>
      </c>
      <c r="F161" s="5">
        <v>45964</v>
      </c>
      <c r="G161" s="5">
        <v>45969</v>
      </c>
      <c r="H161" t="s">
        <v>16</v>
      </c>
      <c r="I161" t="s">
        <v>17</v>
      </c>
      <c r="J161" s="5">
        <v>45981</v>
      </c>
      <c r="K161" s="15">
        <f t="shared" si="9"/>
        <v>2</v>
      </c>
      <c r="L161">
        <f t="shared" si="7"/>
        <v>4</v>
      </c>
      <c r="M161">
        <f t="shared" si="8"/>
        <v>5</v>
      </c>
      <c r="N161">
        <v>5</v>
      </c>
      <c r="O161">
        <f>DATEDIF(Table1[[#This Row],[lead_date]], Table1[[#This Row],[delivery_date]], "d")</f>
        <v>11</v>
      </c>
      <c r="P161" s="5" t="str">
        <f>IF(AND(Table1[[#This Row],[customer_rating]]&gt;=8, Table1[[#This Row],[Tat_day]]&lt;=7, Table1[[#This Row],[lead_type]]="Hot"), "High", "Normal")</f>
        <v>Normal</v>
      </c>
      <c r="Q161" s="5" t="str">
        <f>IF(Table1[[#This Row],[customer_rating]]&gt;=9,"Promoter",IF(Table1[[#This Row],[customer_rating]]&gt;=7,"Passive","Detractor"))</f>
        <v>Detractor</v>
      </c>
      <c r="R161" s="5"/>
    </row>
    <row r="162" spans="1:18">
      <c r="A162" t="s">
        <v>188</v>
      </c>
      <c r="B162" t="s">
        <v>21</v>
      </c>
      <c r="C162" t="s">
        <v>15</v>
      </c>
      <c r="D162" s="5">
        <v>45955</v>
      </c>
      <c r="E162" s="5">
        <v>45957</v>
      </c>
      <c r="F162" s="5">
        <v>45959</v>
      </c>
      <c r="G162" s="5">
        <v>45965</v>
      </c>
      <c r="H162" t="s">
        <v>16</v>
      </c>
      <c r="I162" t="s">
        <v>17</v>
      </c>
      <c r="J162" s="5">
        <v>45976</v>
      </c>
      <c r="K162" s="15">
        <f t="shared" si="9"/>
        <v>2</v>
      </c>
      <c r="L162">
        <f t="shared" si="7"/>
        <v>2</v>
      </c>
      <c r="M162">
        <f t="shared" si="8"/>
        <v>6</v>
      </c>
      <c r="N162">
        <v>3</v>
      </c>
      <c r="O162">
        <f>DATEDIF(Table1[[#This Row],[lead_date]], Table1[[#This Row],[delivery_date]], "d")</f>
        <v>10</v>
      </c>
      <c r="P162" s="5" t="str">
        <f>IF(AND(Table1[[#This Row],[customer_rating]]&gt;=8, Table1[[#This Row],[Tat_day]]&lt;=7, Table1[[#This Row],[lead_type]]="Hot"), "High", "Normal")</f>
        <v>Normal</v>
      </c>
      <c r="Q162" s="5" t="str">
        <f>IF(Table1[[#This Row],[customer_rating]]&gt;=9,"Promoter",IF(Table1[[#This Row],[customer_rating]]&gt;=7,"Passive","Detractor"))</f>
        <v>Detractor</v>
      </c>
      <c r="R162" s="5"/>
    </row>
    <row r="163" spans="1:18">
      <c r="A163" t="s">
        <v>189</v>
      </c>
      <c r="B163" t="s">
        <v>21</v>
      </c>
      <c r="C163" t="s">
        <v>15</v>
      </c>
      <c r="D163" s="5">
        <v>45946</v>
      </c>
      <c r="E163" s="5">
        <v>45949</v>
      </c>
      <c r="F163" s="5">
        <v>45952</v>
      </c>
      <c r="G163" s="5">
        <v>45959</v>
      </c>
      <c r="H163" t="s">
        <v>16</v>
      </c>
      <c r="I163" t="s">
        <v>17</v>
      </c>
      <c r="J163" s="5">
        <v>45978</v>
      </c>
      <c r="K163" s="15">
        <f t="shared" si="9"/>
        <v>3</v>
      </c>
      <c r="L163">
        <f t="shared" si="7"/>
        <v>3</v>
      </c>
      <c r="M163">
        <f t="shared" si="8"/>
        <v>7</v>
      </c>
      <c r="N163">
        <v>2</v>
      </c>
      <c r="O163">
        <f>DATEDIF(Table1[[#This Row],[lead_date]], Table1[[#This Row],[delivery_date]], "d")</f>
        <v>13</v>
      </c>
      <c r="P163" s="5" t="str">
        <f>IF(AND(Table1[[#This Row],[customer_rating]]&gt;=8, Table1[[#This Row],[Tat_day]]&lt;=7, Table1[[#This Row],[lead_type]]="Hot"), "High", "Normal")</f>
        <v>Normal</v>
      </c>
      <c r="Q163" s="5" t="str">
        <f>IF(Table1[[#This Row],[customer_rating]]&gt;=9,"Promoter",IF(Table1[[#This Row],[customer_rating]]&gt;=7,"Passive","Detractor"))</f>
        <v>Detractor</v>
      </c>
      <c r="R163" s="5"/>
    </row>
    <row r="164" spans="1:18">
      <c r="A164" t="s">
        <v>190</v>
      </c>
      <c r="B164" t="s">
        <v>21</v>
      </c>
      <c r="C164" t="s">
        <v>30</v>
      </c>
      <c r="D164" s="5">
        <v>45934</v>
      </c>
      <c r="E164" s="5">
        <v>45937</v>
      </c>
      <c r="F164" s="5">
        <v>45940</v>
      </c>
      <c r="G164" s="5">
        <v>45945</v>
      </c>
      <c r="H164" t="s">
        <v>16</v>
      </c>
      <c r="I164" t="s">
        <v>17</v>
      </c>
      <c r="J164" s="5">
        <v>45955</v>
      </c>
      <c r="K164" s="15">
        <f t="shared" si="9"/>
        <v>3</v>
      </c>
      <c r="L164">
        <f t="shared" si="7"/>
        <v>3</v>
      </c>
      <c r="M164">
        <f t="shared" si="8"/>
        <v>5</v>
      </c>
      <c r="N164">
        <v>7</v>
      </c>
      <c r="O164">
        <f>DATEDIF(Table1[[#This Row],[lead_date]], Table1[[#This Row],[delivery_date]], "d")</f>
        <v>11</v>
      </c>
      <c r="P164" s="5" t="str">
        <f>IF(AND(Table1[[#This Row],[customer_rating]]&gt;=8, Table1[[#This Row],[Tat_day]]&lt;=7, Table1[[#This Row],[lead_type]]="Hot"), "High", "Normal")</f>
        <v>Normal</v>
      </c>
      <c r="Q164" s="5" t="str">
        <f>IF(Table1[[#This Row],[customer_rating]]&gt;=9,"Promoter",IF(Table1[[#This Row],[customer_rating]]&gt;=7,"Passive","Detractor"))</f>
        <v>Passive</v>
      </c>
      <c r="R164" s="5"/>
    </row>
    <row r="165" spans="1:18">
      <c r="A165" t="s">
        <v>191</v>
      </c>
      <c r="B165" t="s">
        <v>14</v>
      </c>
      <c r="C165" t="s">
        <v>30</v>
      </c>
      <c r="D165" s="5">
        <v>45958</v>
      </c>
      <c r="E165" s="5">
        <v>45961</v>
      </c>
      <c r="F165" s="5">
        <v>45964</v>
      </c>
      <c r="G165" s="5">
        <v>45970</v>
      </c>
      <c r="H165" t="s">
        <v>16</v>
      </c>
      <c r="I165" t="s">
        <v>17</v>
      </c>
      <c r="J165" s="5">
        <v>45990</v>
      </c>
      <c r="K165" s="15">
        <f t="shared" si="9"/>
        <v>3</v>
      </c>
      <c r="L165">
        <f t="shared" si="7"/>
        <v>3</v>
      </c>
      <c r="M165">
        <f t="shared" si="8"/>
        <v>6</v>
      </c>
      <c r="N165">
        <v>5</v>
      </c>
      <c r="O165">
        <f>DATEDIF(Table1[[#This Row],[lead_date]], Table1[[#This Row],[delivery_date]], "d")</f>
        <v>12</v>
      </c>
      <c r="P165" s="5" t="str">
        <f>IF(AND(Table1[[#This Row],[customer_rating]]&gt;=8, Table1[[#This Row],[Tat_day]]&lt;=7, Table1[[#This Row],[lead_type]]="Hot"), "High", "Normal")</f>
        <v>Normal</v>
      </c>
      <c r="Q165" s="5" t="str">
        <f>IF(Table1[[#This Row],[customer_rating]]&gt;=9,"Promoter",IF(Table1[[#This Row],[customer_rating]]&gt;=7,"Passive","Detractor"))</f>
        <v>Detractor</v>
      </c>
      <c r="R165" s="5"/>
    </row>
    <row r="166" spans="1:18">
      <c r="A166" t="s">
        <v>192</v>
      </c>
      <c r="B166" t="s">
        <v>21</v>
      </c>
      <c r="C166" t="s">
        <v>30</v>
      </c>
      <c r="D166" s="5">
        <v>45931</v>
      </c>
      <c r="E166" s="5">
        <v>45932</v>
      </c>
      <c r="F166" s="5">
        <v>45933</v>
      </c>
      <c r="G166" s="5">
        <v>45939</v>
      </c>
      <c r="H166" t="s">
        <v>16</v>
      </c>
      <c r="I166" t="s">
        <v>17</v>
      </c>
      <c r="J166" s="5">
        <v>45957</v>
      </c>
      <c r="K166" s="15">
        <f t="shared" si="9"/>
        <v>1</v>
      </c>
      <c r="L166">
        <f t="shared" si="7"/>
        <v>1</v>
      </c>
      <c r="M166">
        <f t="shared" si="8"/>
        <v>6</v>
      </c>
      <c r="N166">
        <v>6</v>
      </c>
      <c r="O166">
        <f>DATEDIF(Table1[[#This Row],[lead_date]], Table1[[#This Row],[delivery_date]], "d")</f>
        <v>8</v>
      </c>
      <c r="P166" s="5" t="str">
        <f>IF(AND(Table1[[#This Row],[customer_rating]]&gt;=8, Table1[[#This Row],[Tat_day]]&lt;=7, Table1[[#This Row],[lead_type]]="Hot"), "High", "Normal")</f>
        <v>Normal</v>
      </c>
      <c r="Q166" s="5" t="str">
        <f>IF(Table1[[#This Row],[customer_rating]]&gt;=9,"Promoter",IF(Table1[[#This Row],[customer_rating]]&gt;=7,"Passive","Detractor"))</f>
        <v>Detractor</v>
      </c>
      <c r="R166" s="5"/>
    </row>
    <row r="167" spans="1:18">
      <c r="A167" t="s">
        <v>193</v>
      </c>
      <c r="B167" t="s">
        <v>21</v>
      </c>
      <c r="C167" t="s">
        <v>15</v>
      </c>
      <c r="D167" s="5">
        <v>45949</v>
      </c>
      <c r="E167" s="5">
        <v>45950</v>
      </c>
      <c r="F167" s="5">
        <v>45951</v>
      </c>
      <c r="G167" s="5">
        <v>45953</v>
      </c>
      <c r="H167" t="s">
        <v>16</v>
      </c>
      <c r="I167" t="s">
        <v>17</v>
      </c>
      <c r="J167" s="5">
        <v>45966</v>
      </c>
      <c r="K167" s="15">
        <f t="shared" si="9"/>
        <v>1</v>
      </c>
      <c r="L167">
        <f t="shared" si="7"/>
        <v>1</v>
      </c>
      <c r="M167">
        <f t="shared" si="8"/>
        <v>2</v>
      </c>
      <c r="N167">
        <v>2</v>
      </c>
      <c r="O167">
        <f>DATEDIF(Table1[[#This Row],[lead_date]], Table1[[#This Row],[delivery_date]], "d")</f>
        <v>4</v>
      </c>
      <c r="P167" s="5" t="str">
        <f>IF(AND(Table1[[#This Row],[customer_rating]]&gt;=8, Table1[[#This Row],[Tat_day]]&lt;=7, Table1[[#This Row],[lead_type]]="Hot"), "High", "Normal")</f>
        <v>Normal</v>
      </c>
      <c r="Q167" s="5" t="str">
        <f>IF(Table1[[#This Row],[customer_rating]]&gt;=9,"Promoter",IF(Table1[[#This Row],[customer_rating]]&gt;=7,"Passive","Detractor"))</f>
        <v>Detractor</v>
      </c>
      <c r="R167" s="5"/>
    </row>
    <row r="168" spans="1:18">
      <c r="A168" t="s">
        <v>194</v>
      </c>
      <c r="B168" t="s">
        <v>32</v>
      </c>
      <c r="C168" t="s">
        <v>15</v>
      </c>
      <c r="D168" s="5">
        <v>45940</v>
      </c>
      <c r="E168" s="5">
        <v>45944</v>
      </c>
      <c r="F168" s="5">
        <v>45949</v>
      </c>
      <c r="G168" s="5">
        <v>45955</v>
      </c>
      <c r="H168" t="s">
        <v>23</v>
      </c>
      <c r="I168" t="s">
        <v>33</v>
      </c>
      <c r="K168" s="15">
        <f t="shared" si="9"/>
        <v>4</v>
      </c>
      <c r="L168">
        <f t="shared" si="7"/>
        <v>5</v>
      </c>
      <c r="M168">
        <f t="shared" si="8"/>
        <v>6</v>
      </c>
      <c r="O168">
        <f>DATEDIF(Table1[[#This Row],[lead_date]], Table1[[#This Row],[delivery_date]], "d")</f>
        <v>15</v>
      </c>
      <c r="P168" s="5" t="str">
        <f>IF(AND(Table1[[#This Row],[customer_rating]]&gt;=8, Table1[[#This Row],[Tat_day]]&lt;=7, Table1[[#This Row],[lead_type]]="Hot"), "High", "Normal")</f>
        <v>Normal</v>
      </c>
      <c r="Q168" s="5" t="str">
        <f>IF(Table1[[#This Row],[customer_rating]]&gt;=9,"Promoter",IF(Table1[[#This Row],[customer_rating]]&gt;=7,"Passive","Detractor"))</f>
        <v>Detractor</v>
      </c>
      <c r="R168" s="5"/>
    </row>
    <row r="169" spans="1:18">
      <c r="A169" t="s">
        <v>195</v>
      </c>
      <c r="B169" t="s">
        <v>21</v>
      </c>
      <c r="C169" t="s">
        <v>30</v>
      </c>
      <c r="D169" s="5">
        <v>45946</v>
      </c>
      <c r="E169" s="5">
        <v>45950</v>
      </c>
      <c r="F169" s="5">
        <v>45952</v>
      </c>
      <c r="G169" s="5">
        <v>45954</v>
      </c>
      <c r="H169" t="s">
        <v>23</v>
      </c>
      <c r="I169" t="s">
        <v>101</v>
      </c>
      <c r="K169" s="15">
        <f t="shared" si="9"/>
        <v>4</v>
      </c>
      <c r="L169">
        <f t="shared" si="7"/>
        <v>2</v>
      </c>
      <c r="M169">
        <f t="shared" si="8"/>
        <v>2</v>
      </c>
      <c r="O169">
        <f>DATEDIF(Table1[[#This Row],[lead_date]], Table1[[#This Row],[delivery_date]], "d")</f>
        <v>8</v>
      </c>
      <c r="P169" s="5" t="str">
        <f>IF(AND(Table1[[#This Row],[customer_rating]]&gt;=8, Table1[[#This Row],[Tat_day]]&lt;=7, Table1[[#This Row],[lead_type]]="Hot"), "High", "Normal")</f>
        <v>Normal</v>
      </c>
      <c r="Q169" s="5" t="str">
        <f>IF(Table1[[#This Row],[customer_rating]]&gt;=9,"Promoter",IF(Table1[[#This Row],[customer_rating]]&gt;=7,"Passive","Detractor"))</f>
        <v>Detractor</v>
      </c>
      <c r="R169" s="5"/>
    </row>
    <row r="170" spans="1:18">
      <c r="A170" t="s">
        <v>196</v>
      </c>
      <c r="B170" t="s">
        <v>21</v>
      </c>
      <c r="C170" t="s">
        <v>15</v>
      </c>
      <c r="D170" s="5">
        <v>45946</v>
      </c>
      <c r="E170" s="5">
        <v>45948</v>
      </c>
      <c r="F170" s="5">
        <v>45953</v>
      </c>
      <c r="G170" s="5">
        <v>45957</v>
      </c>
      <c r="H170" t="s">
        <v>16</v>
      </c>
      <c r="I170" t="s">
        <v>17</v>
      </c>
      <c r="J170" s="5">
        <v>45969</v>
      </c>
      <c r="K170" s="15">
        <f t="shared" si="9"/>
        <v>2</v>
      </c>
      <c r="L170">
        <f t="shared" si="7"/>
        <v>5</v>
      </c>
      <c r="M170">
        <f t="shared" si="8"/>
        <v>4</v>
      </c>
      <c r="N170">
        <v>5</v>
      </c>
      <c r="O170">
        <f>DATEDIF(Table1[[#This Row],[lead_date]], Table1[[#This Row],[delivery_date]], "d")</f>
        <v>11</v>
      </c>
      <c r="P170" s="5" t="str">
        <f>IF(AND(Table1[[#This Row],[customer_rating]]&gt;=8, Table1[[#This Row],[Tat_day]]&lt;=7, Table1[[#This Row],[lead_type]]="Hot"), "High", "Normal")</f>
        <v>Normal</v>
      </c>
      <c r="Q170" s="5" t="str">
        <f>IF(Table1[[#This Row],[customer_rating]]&gt;=9,"Promoter",IF(Table1[[#This Row],[customer_rating]]&gt;=7,"Passive","Detractor"))</f>
        <v>Detractor</v>
      </c>
      <c r="R170" s="5"/>
    </row>
    <row r="171" spans="1:18">
      <c r="A171" t="s">
        <v>197</v>
      </c>
      <c r="B171" t="s">
        <v>19</v>
      </c>
      <c r="C171" t="s">
        <v>30</v>
      </c>
      <c r="D171" s="5">
        <v>45945</v>
      </c>
      <c r="E171" s="5">
        <v>45947</v>
      </c>
      <c r="F171" s="5">
        <v>45948</v>
      </c>
      <c r="G171" s="5">
        <v>45954</v>
      </c>
      <c r="H171" t="s">
        <v>16</v>
      </c>
      <c r="I171" t="s">
        <v>17</v>
      </c>
      <c r="J171" s="5">
        <v>45974</v>
      </c>
      <c r="K171" s="15">
        <f t="shared" si="9"/>
        <v>2</v>
      </c>
      <c r="L171">
        <f t="shared" si="7"/>
        <v>1</v>
      </c>
      <c r="M171">
        <f t="shared" si="8"/>
        <v>6</v>
      </c>
      <c r="N171">
        <v>2</v>
      </c>
      <c r="O171">
        <f>DATEDIF(Table1[[#This Row],[lead_date]], Table1[[#This Row],[delivery_date]], "d")</f>
        <v>9</v>
      </c>
      <c r="P171" s="5" t="str">
        <f>IF(AND(Table1[[#This Row],[customer_rating]]&gt;=8, Table1[[#This Row],[Tat_day]]&lt;=7, Table1[[#This Row],[lead_type]]="Hot"), "High", "Normal")</f>
        <v>Normal</v>
      </c>
      <c r="Q171" s="5" t="str">
        <f>IF(Table1[[#This Row],[customer_rating]]&gt;=9,"Promoter",IF(Table1[[#This Row],[customer_rating]]&gt;=7,"Passive","Detractor"))</f>
        <v>Detractor</v>
      </c>
      <c r="R171" s="5"/>
    </row>
    <row r="172" spans="1:18">
      <c r="A172" t="s">
        <v>198</v>
      </c>
      <c r="B172" t="s">
        <v>32</v>
      </c>
      <c r="C172" t="s">
        <v>22</v>
      </c>
      <c r="D172" s="5">
        <v>45941</v>
      </c>
      <c r="H172" t="s">
        <v>23</v>
      </c>
      <c r="I172" t="s">
        <v>1028</v>
      </c>
      <c r="K172" s="15" t="str">
        <f t="shared" si="9"/>
        <v/>
      </c>
      <c r="L172" t="str">
        <f t="shared" si="7"/>
        <v/>
      </c>
      <c r="M172" t="str">
        <f t="shared" si="8"/>
        <v/>
      </c>
      <c r="O172"/>
      <c r="P172" s="5" t="str">
        <f>IF(AND(Table1[[#This Row],[customer_rating]]&gt;=8, Table1[[#This Row],[Tat_day]]&lt;=7, Table1[[#This Row],[lead_type]]="Hot"), "High", "Normal")</f>
        <v>Normal</v>
      </c>
      <c r="Q172" s="5" t="str">
        <f>IF(Table1[[#This Row],[customer_rating]]&gt;=9,"Promoter",IF(Table1[[#This Row],[customer_rating]]&gt;=7,"Passive","Detractor"))</f>
        <v>Detractor</v>
      </c>
      <c r="R172" s="5"/>
    </row>
    <row r="173" spans="1:18">
      <c r="A173" t="s">
        <v>199</v>
      </c>
      <c r="B173" t="s">
        <v>32</v>
      </c>
      <c r="C173" t="s">
        <v>30</v>
      </c>
      <c r="D173" s="5">
        <v>45936</v>
      </c>
      <c r="E173" s="5">
        <v>45940</v>
      </c>
      <c r="F173" s="5">
        <v>45942</v>
      </c>
      <c r="G173" s="5">
        <v>45946</v>
      </c>
      <c r="H173" t="s">
        <v>16</v>
      </c>
      <c r="I173" t="s">
        <v>17</v>
      </c>
      <c r="J173" s="5">
        <v>45961</v>
      </c>
      <c r="K173" s="15">
        <f t="shared" si="9"/>
        <v>4</v>
      </c>
      <c r="L173">
        <f t="shared" si="7"/>
        <v>2</v>
      </c>
      <c r="M173">
        <f t="shared" si="8"/>
        <v>4</v>
      </c>
      <c r="N173">
        <v>1</v>
      </c>
      <c r="O173">
        <f>DATEDIF(Table1[[#This Row],[lead_date]], Table1[[#This Row],[delivery_date]], "d")</f>
        <v>10</v>
      </c>
      <c r="P173" s="5" t="str">
        <f>IF(AND(Table1[[#This Row],[customer_rating]]&gt;=8, Table1[[#This Row],[Tat_day]]&lt;=7, Table1[[#This Row],[lead_type]]="Hot"), "High", "Normal")</f>
        <v>Normal</v>
      </c>
      <c r="Q173" s="5" t="str">
        <f>IF(Table1[[#This Row],[customer_rating]]&gt;=9,"Promoter",IF(Table1[[#This Row],[customer_rating]]&gt;=7,"Passive","Detractor"))</f>
        <v>Detractor</v>
      </c>
      <c r="R173" s="5"/>
    </row>
    <row r="174" spans="1:18">
      <c r="A174" t="s">
        <v>200</v>
      </c>
      <c r="B174" t="s">
        <v>32</v>
      </c>
      <c r="C174" t="s">
        <v>30</v>
      </c>
      <c r="D174" s="5">
        <v>45961</v>
      </c>
      <c r="E174" s="5">
        <v>45966</v>
      </c>
      <c r="F174" s="5">
        <v>45970</v>
      </c>
      <c r="G174" s="5">
        <v>45976</v>
      </c>
      <c r="H174" t="s">
        <v>16</v>
      </c>
      <c r="I174" t="s">
        <v>17</v>
      </c>
      <c r="J174" s="5">
        <v>45998</v>
      </c>
      <c r="K174" s="15">
        <f t="shared" si="9"/>
        <v>5</v>
      </c>
      <c r="L174">
        <f t="shared" si="7"/>
        <v>4</v>
      </c>
      <c r="M174">
        <f t="shared" si="8"/>
        <v>6</v>
      </c>
      <c r="N174">
        <v>8</v>
      </c>
      <c r="O174">
        <f>DATEDIF(Table1[[#This Row],[lead_date]], Table1[[#This Row],[delivery_date]], "d")</f>
        <v>15</v>
      </c>
      <c r="P174" s="5" t="str">
        <f>IF(AND(Table1[[#This Row],[customer_rating]]&gt;=8, Table1[[#This Row],[Tat_day]]&lt;=7, Table1[[#This Row],[lead_type]]="Hot"), "High", "Normal")</f>
        <v>Normal</v>
      </c>
      <c r="Q174" s="5" t="str">
        <f>IF(Table1[[#This Row],[customer_rating]]&gt;=9,"Promoter",IF(Table1[[#This Row],[customer_rating]]&gt;=7,"Passive","Detractor"))</f>
        <v>Passive</v>
      </c>
      <c r="R174" s="5"/>
    </row>
    <row r="175" spans="1:18">
      <c r="A175" t="s">
        <v>201</v>
      </c>
      <c r="B175" t="s">
        <v>32</v>
      </c>
      <c r="C175" t="s">
        <v>30</v>
      </c>
      <c r="D175" s="5">
        <v>45932</v>
      </c>
      <c r="E175" s="5">
        <v>45934</v>
      </c>
      <c r="F175" s="5">
        <v>45936</v>
      </c>
      <c r="G175" s="5">
        <v>45938</v>
      </c>
      <c r="H175" t="s">
        <v>16</v>
      </c>
      <c r="I175" t="s">
        <v>17</v>
      </c>
      <c r="J175" s="5">
        <v>45953</v>
      </c>
      <c r="K175" s="15">
        <f t="shared" si="9"/>
        <v>2</v>
      </c>
      <c r="L175">
        <f t="shared" si="7"/>
        <v>2</v>
      </c>
      <c r="M175">
        <f t="shared" si="8"/>
        <v>2</v>
      </c>
      <c r="N175">
        <v>6</v>
      </c>
      <c r="O175">
        <f>DATEDIF(Table1[[#This Row],[lead_date]], Table1[[#This Row],[delivery_date]], "d")</f>
        <v>6</v>
      </c>
      <c r="P175" s="5" t="str">
        <f>IF(AND(Table1[[#This Row],[customer_rating]]&gt;=8, Table1[[#This Row],[Tat_day]]&lt;=7, Table1[[#This Row],[lead_type]]="Hot"), "High", "Normal")</f>
        <v>Normal</v>
      </c>
      <c r="Q175" s="5" t="str">
        <f>IF(Table1[[#This Row],[customer_rating]]&gt;=9,"Promoter",IF(Table1[[#This Row],[customer_rating]]&gt;=7,"Passive","Detractor"))</f>
        <v>Detractor</v>
      </c>
      <c r="R175" s="5"/>
    </row>
    <row r="176" spans="1:18">
      <c r="A176" t="s">
        <v>202</v>
      </c>
      <c r="B176" t="s">
        <v>32</v>
      </c>
      <c r="C176" t="s">
        <v>15</v>
      </c>
      <c r="D176" s="5">
        <v>45939</v>
      </c>
      <c r="E176" s="5">
        <v>45944</v>
      </c>
      <c r="F176" s="5">
        <v>45945</v>
      </c>
      <c r="G176" s="5">
        <v>45952</v>
      </c>
      <c r="H176" t="s">
        <v>16</v>
      </c>
      <c r="I176" t="s">
        <v>17</v>
      </c>
      <c r="J176" s="5">
        <v>45964</v>
      </c>
      <c r="K176" s="15">
        <f t="shared" si="9"/>
        <v>5</v>
      </c>
      <c r="L176">
        <f t="shared" si="7"/>
        <v>1</v>
      </c>
      <c r="M176">
        <f t="shared" si="8"/>
        <v>7</v>
      </c>
      <c r="N176">
        <v>6</v>
      </c>
      <c r="O176">
        <f>DATEDIF(Table1[[#This Row],[lead_date]], Table1[[#This Row],[delivery_date]], "d")</f>
        <v>13</v>
      </c>
      <c r="P176" s="5" t="str">
        <f>IF(AND(Table1[[#This Row],[customer_rating]]&gt;=8, Table1[[#This Row],[Tat_day]]&lt;=7, Table1[[#This Row],[lead_type]]="Hot"), "High", "Normal")</f>
        <v>Normal</v>
      </c>
      <c r="Q176" s="5" t="str">
        <f>IF(Table1[[#This Row],[customer_rating]]&gt;=9,"Promoter",IF(Table1[[#This Row],[customer_rating]]&gt;=7,"Passive","Detractor"))</f>
        <v>Detractor</v>
      </c>
      <c r="R176" s="5"/>
    </row>
    <row r="177" spans="1:18">
      <c r="A177" t="s">
        <v>203</v>
      </c>
      <c r="B177" t="s">
        <v>32</v>
      </c>
      <c r="C177" t="s">
        <v>22</v>
      </c>
      <c r="D177" s="5">
        <v>45961</v>
      </c>
      <c r="H177" t="s">
        <v>23</v>
      </c>
      <c r="I177" t="s">
        <v>101</v>
      </c>
      <c r="K177" s="15" t="str">
        <f t="shared" si="9"/>
        <v/>
      </c>
      <c r="L177" t="str">
        <f t="shared" si="7"/>
        <v/>
      </c>
      <c r="M177" t="str">
        <f t="shared" si="8"/>
        <v/>
      </c>
      <c r="O177"/>
      <c r="P177" s="5" t="str">
        <f>IF(AND(Table1[[#This Row],[customer_rating]]&gt;=8, Table1[[#This Row],[Tat_day]]&lt;=7, Table1[[#This Row],[lead_type]]="Hot"), "High", "Normal")</f>
        <v>Normal</v>
      </c>
      <c r="Q177" s="5" t="str">
        <f>IF(Table1[[#This Row],[customer_rating]]&gt;=9,"Promoter",IF(Table1[[#This Row],[customer_rating]]&gt;=7,"Passive","Detractor"))</f>
        <v>Detractor</v>
      </c>
      <c r="R177" s="5"/>
    </row>
    <row r="178" spans="1:18">
      <c r="A178" t="s">
        <v>204</v>
      </c>
      <c r="B178" t="s">
        <v>14</v>
      </c>
      <c r="C178" t="s">
        <v>15</v>
      </c>
      <c r="D178" s="5">
        <v>45958</v>
      </c>
      <c r="E178" s="5">
        <v>45963</v>
      </c>
      <c r="F178" s="5">
        <v>45967</v>
      </c>
      <c r="G178" s="5">
        <v>45972</v>
      </c>
      <c r="H178" t="s">
        <v>16</v>
      </c>
      <c r="I178" t="s">
        <v>17</v>
      </c>
      <c r="J178" s="5">
        <v>45999</v>
      </c>
      <c r="K178" s="15">
        <f t="shared" si="9"/>
        <v>5</v>
      </c>
      <c r="L178">
        <f t="shared" si="7"/>
        <v>4</v>
      </c>
      <c r="M178">
        <f t="shared" si="8"/>
        <v>5</v>
      </c>
      <c r="N178">
        <v>3</v>
      </c>
      <c r="O178">
        <f>DATEDIF(Table1[[#This Row],[lead_date]], Table1[[#This Row],[delivery_date]], "d")</f>
        <v>14</v>
      </c>
      <c r="P178" s="5" t="str">
        <f>IF(AND(Table1[[#This Row],[customer_rating]]&gt;=8, Table1[[#This Row],[Tat_day]]&lt;=7, Table1[[#This Row],[lead_type]]="Hot"), "High", "Normal")</f>
        <v>Normal</v>
      </c>
      <c r="Q178" s="5" t="str">
        <f>IF(Table1[[#This Row],[customer_rating]]&gt;=9,"Promoter",IF(Table1[[#This Row],[customer_rating]]&gt;=7,"Passive","Detractor"))</f>
        <v>Detractor</v>
      </c>
      <c r="R178" s="5"/>
    </row>
    <row r="179" spans="1:18">
      <c r="A179" t="s">
        <v>205</v>
      </c>
      <c r="B179" t="s">
        <v>21</v>
      </c>
      <c r="C179" t="s">
        <v>30</v>
      </c>
      <c r="D179" s="5">
        <v>45946</v>
      </c>
      <c r="E179" s="5">
        <v>45949</v>
      </c>
      <c r="F179" s="5">
        <v>45953</v>
      </c>
      <c r="G179" s="5">
        <v>45959</v>
      </c>
      <c r="H179" t="s">
        <v>16</v>
      </c>
      <c r="I179" t="s">
        <v>17</v>
      </c>
      <c r="J179" s="5">
        <v>45971</v>
      </c>
      <c r="K179" s="15">
        <f t="shared" si="9"/>
        <v>3</v>
      </c>
      <c r="L179">
        <f t="shared" si="7"/>
        <v>4</v>
      </c>
      <c r="M179">
        <f t="shared" si="8"/>
        <v>6</v>
      </c>
      <c r="N179">
        <v>5</v>
      </c>
      <c r="O179">
        <f>DATEDIF(Table1[[#This Row],[lead_date]], Table1[[#This Row],[delivery_date]], "d")</f>
        <v>13</v>
      </c>
      <c r="P179" s="5" t="str">
        <f>IF(AND(Table1[[#This Row],[customer_rating]]&gt;=8, Table1[[#This Row],[Tat_day]]&lt;=7, Table1[[#This Row],[lead_type]]="Hot"), "High", "Normal")</f>
        <v>Normal</v>
      </c>
      <c r="Q179" s="5" t="str">
        <f>IF(Table1[[#This Row],[customer_rating]]&gt;=9,"Promoter",IF(Table1[[#This Row],[customer_rating]]&gt;=7,"Passive","Detractor"))</f>
        <v>Detractor</v>
      </c>
      <c r="R179" s="5"/>
    </row>
    <row r="180" spans="1:18">
      <c r="A180" t="s">
        <v>206</v>
      </c>
      <c r="B180" t="s">
        <v>32</v>
      </c>
      <c r="C180" t="s">
        <v>15</v>
      </c>
      <c r="D180" s="5">
        <v>45934</v>
      </c>
      <c r="E180" s="5">
        <v>45935</v>
      </c>
      <c r="F180" s="5">
        <v>45937</v>
      </c>
      <c r="G180" s="5">
        <v>45940</v>
      </c>
      <c r="H180" t="s">
        <v>16</v>
      </c>
      <c r="I180" t="s">
        <v>17</v>
      </c>
      <c r="J180" s="5">
        <v>45960</v>
      </c>
      <c r="K180" s="15">
        <f t="shared" si="9"/>
        <v>1</v>
      </c>
      <c r="L180">
        <f t="shared" si="7"/>
        <v>2</v>
      </c>
      <c r="M180">
        <f t="shared" si="8"/>
        <v>3</v>
      </c>
      <c r="N180">
        <v>9</v>
      </c>
      <c r="O180">
        <f>DATEDIF(Table1[[#This Row],[lead_date]], Table1[[#This Row],[delivery_date]], "d")</f>
        <v>6</v>
      </c>
      <c r="P180" s="5" t="str">
        <f>IF(AND(Table1[[#This Row],[customer_rating]]&gt;=8, Table1[[#This Row],[Tat_day]]&lt;=7, Table1[[#This Row],[lead_type]]="Hot"), "High", "Normal")</f>
        <v>Normal</v>
      </c>
      <c r="Q180" s="5" t="str">
        <f>IF(Table1[[#This Row],[customer_rating]]&gt;=9,"Promoter",IF(Table1[[#This Row],[customer_rating]]&gt;=7,"Passive","Detractor"))</f>
        <v>Promoter</v>
      </c>
      <c r="R180" s="5"/>
    </row>
    <row r="181" spans="1:18">
      <c r="A181" t="s">
        <v>207</v>
      </c>
      <c r="B181" t="s">
        <v>21</v>
      </c>
      <c r="C181" t="s">
        <v>15</v>
      </c>
      <c r="D181" s="5">
        <v>45957</v>
      </c>
      <c r="E181" s="5">
        <v>45961</v>
      </c>
      <c r="F181" s="5">
        <v>45964</v>
      </c>
      <c r="G181" s="5">
        <v>45969</v>
      </c>
      <c r="H181" t="s">
        <v>16</v>
      </c>
      <c r="I181" t="s">
        <v>17</v>
      </c>
      <c r="J181" s="5">
        <v>45998</v>
      </c>
      <c r="K181" s="15">
        <f t="shared" si="9"/>
        <v>4</v>
      </c>
      <c r="L181">
        <f t="shared" si="7"/>
        <v>3</v>
      </c>
      <c r="M181">
        <f t="shared" si="8"/>
        <v>5</v>
      </c>
      <c r="N181">
        <v>4</v>
      </c>
      <c r="O181">
        <f>DATEDIF(Table1[[#This Row],[lead_date]], Table1[[#This Row],[delivery_date]], "d")</f>
        <v>12</v>
      </c>
      <c r="P181" s="5" t="str">
        <f>IF(AND(Table1[[#This Row],[customer_rating]]&gt;=8, Table1[[#This Row],[Tat_day]]&lt;=7, Table1[[#This Row],[lead_type]]="Hot"), "High", "Normal")</f>
        <v>Normal</v>
      </c>
      <c r="Q181" s="5" t="str">
        <f>IF(Table1[[#This Row],[customer_rating]]&gt;=9,"Promoter",IF(Table1[[#This Row],[customer_rating]]&gt;=7,"Passive","Detractor"))</f>
        <v>Detractor</v>
      </c>
      <c r="R181" s="5"/>
    </row>
    <row r="182" spans="1:18">
      <c r="A182" t="s">
        <v>208</v>
      </c>
      <c r="B182" t="s">
        <v>21</v>
      </c>
      <c r="C182" t="s">
        <v>30</v>
      </c>
      <c r="D182" s="5">
        <v>45933</v>
      </c>
      <c r="E182" s="5">
        <v>45934</v>
      </c>
      <c r="F182" s="5">
        <v>45935</v>
      </c>
      <c r="G182" s="5">
        <v>45937</v>
      </c>
      <c r="H182" t="s">
        <v>16</v>
      </c>
      <c r="I182" t="s">
        <v>17</v>
      </c>
      <c r="J182" s="5">
        <v>45966</v>
      </c>
      <c r="K182" s="15">
        <f t="shared" si="9"/>
        <v>1</v>
      </c>
      <c r="L182">
        <f t="shared" si="7"/>
        <v>1</v>
      </c>
      <c r="M182">
        <f t="shared" si="8"/>
        <v>2</v>
      </c>
      <c r="N182">
        <v>1</v>
      </c>
      <c r="O182">
        <f>DATEDIF(Table1[[#This Row],[lead_date]], Table1[[#This Row],[delivery_date]], "d")</f>
        <v>4</v>
      </c>
      <c r="P182" s="5" t="str">
        <f>IF(AND(Table1[[#This Row],[customer_rating]]&gt;=8, Table1[[#This Row],[Tat_day]]&lt;=7, Table1[[#This Row],[lead_type]]="Hot"), "High", "Normal")</f>
        <v>Normal</v>
      </c>
      <c r="Q182" s="5" t="str">
        <f>IF(Table1[[#This Row],[customer_rating]]&gt;=9,"Promoter",IF(Table1[[#This Row],[customer_rating]]&gt;=7,"Passive","Detractor"))</f>
        <v>Detractor</v>
      </c>
      <c r="R182" s="5"/>
    </row>
    <row r="183" spans="1:18">
      <c r="A183" t="s">
        <v>209</v>
      </c>
      <c r="B183" t="s">
        <v>14</v>
      </c>
      <c r="C183" t="s">
        <v>15</v>
      </c>
      <c r="D183" s="5">
        <v>45943</v>
      </c>
      <c r="E183" s="5">
        <v>45947</v>
      </c>
      <c r="F183" s="5">
        <v>45948</v>
      </c>
      <c r="G183" s="5">
        <v>45955</v>
      </c>
      <c r="H183" t="s">
        <v>16</v>
      </c>
      <c r="I183" t="s">
        <v>17</v>
      </c>
      <c r="J183" s="5">
        <v>45980</v>
      </c>
      <c r="K183" s="15">
        <f t="shared" si="9"/>
        <v>4</v>
      </c>
      <c r="L183">
        <f t="shared" si="7"/>
        <v>1</v>
      </c>
      <c r="M183">
        <f t="shared" si="8"/>
        <v>7</v>
      </c>
      <c r="N183">
        <v>4</v>
      </c>
      <c r="O183">
        <f>DATEDIF(Table1[[#This Row],[lead_date]], Table1[[#This Row],[delivery_date]], "d")</f>
        <v>12</v>
      </c>
      <c r="P183" s="5" t="str">
        <f>IF(AND(Table1[[#This Row],[customer_rating]]&gt;=8, Table1[[#This Row],[Tat_day]]&lt;=7, Table1[[#This Row],[lead_type]]="Hot"), "High", "Normal")</f>
        <v>Normal</v>
      </c>
      <c r="Q183" s="5" t="str">
        <f>IF(Table1[[#This Row],[customer_rating]]&gt;=9,"Promoter",IF(Table1[[#This Row],[customer_rating]]&gt;=7,"Passive","Detractor"))</f>
        <v>Detractor</v>
      </c>
      <c r="R183" s="5"/>
    </row>
    <row r="184" spans="1:18">
      <c r="A184" t="s">
        <v>210</v>
      </c>
      <c r="B184" t="s">
        <v>32</v>
      </c>
      <c r="C184" t="s">
        <v>22</v>
      </c>
      <c r="D184" s="5">
        <v>45946</v>
      </c>
      <c r="H184" t="s">
        <v>23</v>
      </c>
      <c r="I184" t="s">
        <v>1028</v>
      </c>
      <c r="K184" s="15" t="str">
        <f t="shared" si="9"/>
        <v/>
      </c>
      <c r="L184" t="str">
        <f t="shared" si="7"/>
        <v/>
      </c>
      <c r="M184" t="str">
        <f t="shared" si="8"/>
        <v/>
      </c>
      <c r="O184"/>
      <c r="P184" s="5" t="str">
        <f>IF(AND(Table1[[#This Row],[customer_rating]]&gt;=8, Table1[[#This Row],[Tat_day]]&lt;=7, Table1[[#This Row],[lead_type]]="Hot"), "High", "Normal")</f>
        <v>Normal</v>
      </c>
      <c r="Q184" s="5" t="str">
        <f>IF(Table1[[#This Row],[customer_rating]]&gt;=9,"Promoter",IF(Table1[[#This Row],[customer_rating]]&gt;=7,"Passive","Detractor"))</f>
        <v>Detractor</v>
      </c>
      <c r="R184" s="5"/>
    </row>
    <row r="185" spans="1:18">
      <c r="A185" t="s">
        <v>211</v>
      </c>
      <c r="B185" t="s">
        <v>19</v>
      </c>
      <c r="C185" t="s">
        <v>30</v>
      </c>
      <c r="D185" s="5">
        <v>45933</v>
      </c>
      <c r="E185" s="5">
        <v>45934</v>
      </c>
      <c r="F185" s="5">
        <v>45937</v>
      </c>
      <c r="G185" s="5">
        <v>45944</v>
      </c>
      <c r="H185" t="s">
        <v>16</v>
      </c>
      <c r="I185" t="s">
        <v>17</v>
      </c>
      <c r="J185" s="5">
        <v>45954</v>
      </c>
      <c r="K185" s="15">
        <f t="shared" si="9"/>
        <v>1</v>
      </c>
      <c r="L185">
        <f t="shared" si="7"/>
        <v>3</v>
      </c>
      <c r="M185">
        <f t="shared" si="8"/>
        <v>7</v>
      </c>
      <c r="N185">
        <v>6</v>
      </c>
      <c r="O185">
        <f>DATEDIF(Table1[[#This Row],[lead_date]], Table1[[#This Row],[delivery_date]], "d")</f>
        <v>11</v>
      </c>
      <c r="P185" s="5" t="str">
        <f>IF(AND(Table1[[#This Row],[customer_rating]]&gt;=8, Table1[[#This Row],[Tat_day]]&lt;=7, Table1[[#This Row],[lead_type]]="Hot"), "High", "Normal")</f>
        <v>Normal</v>
      </c>
      <c r="Q185" s="5" t="str">
        <f>IF(Table1[[#This Row],[customer_rating]]&gt;=9,"Promoter",IF(Table1[[#This Row],[customer_rating]]&gt;=7,"Passive","Detractor"))</f>
        <v>Detractor</v>
      </c>
      <c r="R185" s="5"/>
    </row>
    <row r="186" spans="1:18">
      <c r="A186" t="s">
        <v>212</v>
      </c>
      <c r="B186" t="s">
        <v>14</v>
      </c>
      <c r="C186" t="s">
        <v>15</v>
      </c>
      <c r="D186" s="5">
        <v>45949</v>
      </c>
      <c r="E186" s="5">
        <v>45953</v>
      </c>
      <c r="F186" s="5">
        <v>45958</v>
      </c>
      <c r="G186" s="5">
        <v>45961</v>
      </c>
      <c r="H186" t="s">
        <v>16</v>
      </c>
      <c r="I186" t="s">
        <v>17</v>
      </c>
      <c r="J186" s="5">
        <v>45984</v>
      </c>
      <c r="K186" s="15">
        <f t="shared" si="9"/>
        <v>4</v>
      </c>
      <c r="L186">
        <f t="shared" si="7"/>
        <v>5</v>
      </c>
      <c r="M186">
        <f t="shared" si="8"/>
        <v>3</v>
      </c>
      <c r="N186">
        <v>3</v>
      </c>
      <c r="O186">
        <f>DATEDIF(Table1[[#This Row],[lead_date]], Table1[[#This Row],[delivery_date]], "d")</f>
        <v>12</v>
      </c>
      <c r="P186" s="5" t="str">
        <f>IF(AND(Table1[[#This Row],[customer_rating]]&gt;=8, Table1[[#This Row],[Tat_day]]&lt;=7, Table1[[#This Row],[lead_type]]="Hot"), "High", "Normal")</f>
        <v>Normal</v>
      </c>
      <c r="Q186" s="5" t="str">
        <f>IF(Table1[[#This Row],[customer_rating]]&gt;=9,"Promoter",IF(Table1[[#This Row],[customer_rating]]&gt;=7,"Passive","Detractor"))</f>
        <v>Detractor</v>
      </c>
      <c r="R186" s="5"/>
    </row>
    <row r="187" spans="1:18">
      <c r="A187" t="s">
        <v>213</v>
      </c>
      <c r="B187" t="s">
        <v>19</v>
      </c>
      <c r="C187" t="s">
        <v>15</v>
      </c>
      <c r="D187" s="5">
        <v>45951</v>
      </c>
      <c r="E187" s="5">
        <v>45952</v>
      </c>
      <c r="F187" s="5">
        <v>45957</v>
      </c>
      <c r="G187" s="5">
        <v>45961</v>
      </c>
      <c r="H187" t="s">
        <v>16</v>
      </c>
      <c r="I187" t="s">
        <v>17</v>
      </c>
      <c r="J187" s="5">
        <v>45991</v>
      </c>
      <c r="K187" s="15">
        <f t="shared" si="9"/>
        <v>1</v>
      </c>
      <c r="L187">
        <f t="shared" si="7"/>
        <v>5</v>
      </c>
      <c r="M187">
        <f t="shared" si="8"/>
        <v>4</v>
      </c>
      <c r="N187">
        <v>2</v>
      </c>
      <c r="O187">
        <f>DATEDIF(Table1[[#This Row],[lead_date]], Table1[[#This Row],[delivery_date]], "d")</f>
        <v>10</v>
      </c>
      <c r="P187" s="5" t="str">
        <f>IF(AND(Table1[[#This Row],[customer_rating]]&gt;=8, Table1[[#This Row],[Tat_day]]&lt;=7, Table1[[#This Row],[lead_type]]="Hot"), "High", "Normal")</f>
        <v>Normal</v>
      </c>
      <c r="Q187" s="5" t="str">
        <f>IF(Table1[[#This Row],[customer_rating]]&gt;=9,"Promoter",IF(Table1[[#This Row],[customer_rating]]&gt;=7,"Passive","Detractor"))</f>
        <v>Detractor</v>
      </c>
      <c r="R187" s="5"/>
    </row>
    <row r="188" spans="1:18">
      <c r="A188" t="s">
        <v>214</v>
      </c>
      <c r="B188" t="s">
        <v>21</v>
      </c>
      <c r="C188" t="s">
        <v>15</v>
      </c>
      <c r="D188" s="5">
        <v>45952</v>
      </c>
      <c r="E188" s="5">
        <v>45955</v>
      </c>
      <c r="F188" s="5">
        <v>45956</v>
      </c>
      <c r="G188" s="5">
        <v>45958</v>
      </c>
      <c r="H188" t="s">
        <v>16</v>
      </c>
      <c r="I188" t="s">
        <v>17</v>
      </c>
      <c r="J188" s="5">
        <v>45973</v>
      </c>
      <c r="K188" s="15">
        <f t="shared" si="9"/>
        <v>3</v>
      </c>
      <c r="L188">
        <f t="shared" si="7"/>
        <v>1</v>
      </c>
      <c r="M188">
        <f t="shared" si="8"/>
        <v>2</v>
      </c>
      <c r="N188">
        <v>3</v>
      </c>
      <c r="O188">
        <f>DATEDIF(Table1[[#This Row],[lead_date]], Table1[[#This Row],[delivery_date]], "d")</f>
        <v>6</v>
      </c>
      <c r="P188" s="5" t="str">
        <f>IF(AND(Table1[[#This Row],[customer_rating]]&gt;=8, Table1[[#This Row],[Tat_day]]&lt;=7, Table1[[#This Row],[lead_type]]="Hot"), "High", "Normal")</f>
        <v>Normal</v>
      </c>
      <c r="Q188" s="5" t="str">
        <f>IF(Table1[[#This Row],[customer_rating]]&gt;=9,"Promoter",IF(Table1[[#This Row],[customer_rating]]&gt;=7,"Passive","Detractor"))</f>
        <v>Detractor</v>
      </c>
      <c r="R188" s="5"/>
    </row>
    <row r="189" spans="1:18">
      <c r="A189" t="s">
        <v>215</v>
      </c>
      <c r="B189" t="s">
        <v>21</v>
      </c>
      <c r="C189" t="s">
        <v>30</v>
      </c>
      <c r="D189" s="5">
        <v>45932</v>
      </c>
      <c r="E189" s="5">
        <v>45937</v>
      </c>
      <c r="F189" s="5">
        <v>45940</v>
      </c>
      <c r="G189" s="5">
        <v>45945</v>
      </c>
      <c r="H189" t="s">
        <v>16</v>
      </c>
      <c r="I189" t="s">
        <v>17</v>
      </c>
      <c r="J189" s="5">
        <v>45974</v>
      </c>
      <c r="K189" s="15">
        <f t="shared" si="9"/>
        <v>5</v>
      </c>
      <c r="L189">
        <f t="shared" si="7"/>
        <v>3</v>
      </c>
      <c r="M189">
        <f t="shared" si="8"/>
        <v>5</v>
      </c>
      <c r="N189">
        <v>7</v>
      </c>
      <c r="O189">
        <f>DATEDIF(Table1[[#This Row],[lead_date]], Table1[[#This Row],[delivery_date]], "d")</f>
        <v>13</v>
      </c>
      <c r="P189" s="5" t="str">
        <f>IF(AND(Table1[[#This Row],[customer_rating]]&gt;=8, Table1[[#This Row],[Tat_day]]&lt;=7, Table1[[#This Row],[lead_type]]="Hot"), "High", "Normal")</f>
        <v>Normal</v>
      </c>
      <c r="Q189" s="5" t="str">
        <f>IF(Table1[[#This Row],[customer_rating]]&gt;=9,"Promoter",IF(Table1[[#This Row],[customer_rating]]&gt;=7,"Passive","Detractor"))</f>
        <v>Passive</v>
      </c>
      <c r="R189" s="5"/>
    </row>
    <row r="190" spans="1:18">
      <c r="A190" t="s">
        <v>216</v>
      </c>
      <c r="B190" t="s">
        <v>14</v>
      </c>
      <c r="C190" t="s">
        <v>30</v>
      </c>
      <c r="D190" s="5">
        <v>45935</v>
      </c>
      <c r="E190" s="5">
        <v>45939</v>
      </c>
      <c r="F190" s="5">
        <v>45942</v>
      </c>
      <c r="G190" s="5">
        <v>45946</v>
      </c>
      <c r="H190" t="s">
        <v>16</v>
      </c>
      <c r="I190" t="s">
        <v>17</v>
      </c>
      <c r="J190" s="5">
        <v>45969</v>
      </c>
      <c r="K190" s="15">
        <f t="shared" si="9"/>
        <v>4</v>
      </c>
      <c r="L190">
        <f t="shared" si="7"/>
        <v>3</v>
      </c>
      <c r="M190">
        <f t="shared" si="8"/>
        <v>4</v>
      </c>
      <c r="N190">
        <v>9</v>
      </c>
      <c r="O190">
        <f>DATEDIF(Table1[[#This Row],[lead_date]], Table1[[#This Row],[delivery_date]], "d")</f>
        <v>11</v>
      </c>
      <c r="P190" s="5" t="str">
        <f>IF(AND(Table1[[#This Row],[customer_rating]]&gt;=8, Table1[[#This Row],[Tat_day]]&lt;=7, Table1[[#This Row],[lead_type]]="Hot"), "High", "Normal")</f>
        <v>Normal</v>
      </c>
      <c r="Q190" s="5" t="str">
        <f>IF(Table1[[#This Row],[customer_rating]]&gt;=9,"Promoter",IF(Table1[[#This Row],[customer_rating]]&gt;=7,"Passive","Detractor"))</f>
        <v>Promoter</v>
      </c>
      <c r="R190" s="5"/>
    </row>
    <row r="191" spans="1:18">
      <c r="A191" t="s">
        <v>217</v>
      </c>
      <c r="B191" t="s">
        <v>14</v>
      </c>
      <c r="C191" t="s">
        <v>22</v>
      </c>
      <c r="D191" s="5">
        <v>45935</v>
      </c>
      <c r="H191" t="s">
        <v>23</v>
      </c>
      <c r="I191" t="s">
        <v>1028</v>
      </c>
      <c r="K191" s="15" t="str">
        <f t="shared" si="9"/>
        <v/>
      </c>
      <c r="L191" t="str">
        <f t="shared" si="7"/>
        <v/>
      </c>
      <c r="M191" t="str">
        <f t="shared" si="8"/>
        <v/>
      </c>
      <c r="O191"/>
      <c r="P191" s="5" t="str">
        <f>IF(AND(Table1[[#This Row],[customer_rating]]&gt;=8, Table1[[#This Row],[Tat_day]]&lt;=7, Table1[[#This Row],[lead_type]]="Hot"), "High", "Normal")</f>
        <v>Normal</v>
      </c>
      <c r="Q191" s="5" t="str">
        <f>IF(Table1[[#This Row],[customer_rating]]&gt;=9,"Promoter",IF(Table1[[#This Row],[customer_rating]]&gt;=7,"Passive","Detractor"))</f>
        <v>Detractor</v>
      </c>
      <c r="R191" s="5"/>
    </row>
    <row r="192" spans="1:18">
      <c r="A192" t="s">
        <v>218</v>
      </c>
      <c r="B192" t="s">
        <v>19</v>
      </c>
      <c r="C192" t="s">
        <v>22</v>
      </c>
      <c r="D192" s="5">
        <v>45956</v>
      </c>
      <c r="H192" t="s">
        <v>23</v>
      </c>
      <c r="I192" t="s">
        <v>24</v>
      </c>
      <c r="K192" s="15" t="str">
        <f t="shared" si="9"/>
        <v/>
      </c>
      <c r="L192" t="str">
        <f t="shared" si="7"/>
        <v/>
      </c>
      <c r="M192" t="str">
        <f t="shared" si="8"/>
        <v/>
      </c>
      <c r="O192"/>
      <c r="P192" s="5" t="str">
        <f>IF(AND(Table1[[#This Row],[customer_rating]]&gt;=8, Table1[[#This Row],[Tat_day]]&lt;=7, Table1[[#This Row],[lead_type]]="Hot"), "High", "Normal")</f>
        <v>Normal</v>
      </c>
      <c r="Q192" s="5" t="str">
        <f>IF(Table1[[#This Row],[customer_rating]]&gt;=9,"Promoter",IF(Table1[[#This Row],[customer_rating]]&gt;=7,"Passive","Detractor"))</f>
        <v>Detractor</v>
      </c>
      <c r="R192" s="5"/>
    </row>
    <row r="193" spans="1:18">
      <c r="A193" t="s">
        <v>219</v>
      </c>
      <c r="B193" t="s">
        <v>32</v>
      </c>
      <c r="C193" t="s">
        <v>15</v>
      </c>
      <c r="D193" s="5">
        <v>45949</v>
      </c>
      <c r="E193" s="5">
        <v>45954</v>
      </c>
      <c r="F193" s="5">
        <v>45958</v>
      </c>
      <c r="G193" s="5">
        <v>45962</v>
      </c>
      <c r="H193" t="s">
        <v>16</v>
      </c>
      <c r="I193" t="s">
        <v>17</v>
      </c>
      <c r="J193" s="5">
        <v>45977</v>
      </c>
      <c r="K193" s="15">
        <f t="shared" si="9"/>
        <v>5</v>
      </c>
      <c r="L193">
        <f t="shared" si="7"/>
        <v>4</v>
      </c>
      <c r="M193">
        <f t="shared" si="8"/>
        <v>4</v>
      </c>
      <c r="N193">
        <v>10</v>
      </c>
      <c r="O193">
        <f>DATEDIF(Table1[[#This Row],[lead_date]], Table1[[#This Row],[delivery_date]], "d")</f>
        <v>13</v>
      </c>
      <c r="P193" s="5" t="str">
        <f>IF(AND(Table1[[#This Row],[customer_rating]]&gt;=8, Table1[[#This Row],[Tat_day]]&lt;=7, Table1[[#This Row],[lead_type]]="Hot"), "High", "Normal")</f>
        <v>Normal</v>
      </c>
      <c r="Q193" s="5" t="str">
        <f>IF(Table1[[#This Row],[customer_rating]]&gt;=9,"Promoter",IF(Table1[[#This Row],[customer_rating]]&gt;=7,"Passive","Detractor"))</f>
        <v>Promoter</v>
      </c>
      <c r="R193" s="5"/>
    </row>
    <row r="194" spans="1:18">
      <c r="A194" t="s">
        <v>220</v>
      </c>
      <c r="B194" t="s">
        <v>19</v>
      </c>
      <c r="C194" t="s">
        <v>15</v>
      </c>
      <c r="D194" s="5">
        <v>45961</v>
      </c>
      <c r="E194" s="5">
        <v>45965</v>
      </c>
      <c r="F194" s="5">
        <v>45970</v>
      </c>
      <c r="G194" s="5">
        <v>45972</v>
      </c>
      <c r="H194" t="s">
        <v>23</v>
      </c>
      <c r="I194" t="s">
        <v>33</v>
      </c>
      <c r="K194" s="15">
        <f t="shared" si="9"/>
        <v>4</v>
      </c>
      <c r="L194">
        <f t="shared" si="7"/>
        <v>5</v>
      </c>
      <c r="M194">
        <f t="shared" si="8"/>
        <v>2</v>
      </c>
      <c r="O194">
        <f>DATEDIF(Table1[[#This Row],[lead_date]], Table1[[#This Row],[delivery_date]], "d")</f>
        <v>11</v>
      </c>
      <c r="P194" s="5" t="str">
        <f>IF(AND(Table1[[#This Row],[customer_rating]]&gt;=8, Table1[[#This Row],[Tat_day]]&lt;=7, Table1[[#This Row],[lead_type]]="Hot"), "High", "Normal")</f>
        <v>Normal</v>
      </c>
      <c r="Q194" s="5" t="str">
        <f>IF(Table1[[#This Row],[customer_rating]]&gt;=9,"Promoter",IF(Table1[[#This Row],[customer_rating]]&gt;=7,"Passive","Detractor"))</f>
        <v>Detractor</v>
      </c>
      <c r="R194" s="5"/>
    </row>
    <row r="195" spans="1:18">
      <c r="A195" t="s">
        <v>221</v>
      </c>
      <c r="B195" t="s">
        <v>14</v>
      </c>
      <c r="C195" t="s">
        <v>15</v>
      </c>
      <c r="D195" s="5">
        <v>45940</v>
      </c>
      <c r="E195" s="5">
        <v>45944</v>
      </c>
      <c r="F195" s="5">
        <v>45949</v>
      </c>
      <c r="G195" s="5">
        <v>45954</v>
      </c>
      <c r="H195" t="s">
        <v>16</v>
      </c>
      <c r="I195" t="s">
        <v>17</v>
      </c>
      <c r="J195" s="5">
        <v>45965</v>
      </c>
      <c r="K195" s="15">
        <f t="shared" si="9"/>
        <v>4</v>
      </c>
      <c r="L195">
        <f t="shared" ref="L195:L258" si="10">IF(OR(E195="", F195=""), "", INT(F195 - E195))</f>
        <v>5</v>
      </c>
      <c r="M195">
        <f t="shared" ref="M195:M258" si="11">IF(OR(F195="", G195=""), "", INT(G195 - F195))</f>
        <v>5</v>
      </c>
      <c r="N195">
        <v>5</v>
      </c>
      <c r="O195">
        <f>DATEDIF(Table1[[#This Row],[lead_date]], Table1[[#This Row],[delivery_date]], "d")</f>
        <v>14</v>
      </c>
      <c r="P195" s="5" t="str">
        <f>IF(AND(Table1[[#This Row],[customer_rating]]&gt;=8, Table1[[#This Row],[Tat_day]]&lt;=7, Table1[[#This Row],[lead_type]]="Hot"), "High", "Normal")</f>
        <v>Normal</v>
      </c>
      <c r="Q195" s="5" t="str">
        <f>IF(Table1[[#This Row],[customer_rating]]&gt;=9,"Promoter",IF(Table1[[#This Row],[customer_rating]]&gt;=7,"Passive","Detractor"))</f>
        <v>Detractor</v>
      </c>
      <c r="R195" s="5"/>
    </row>
    <row r="196" spans="1:18">
      <c r="A196" t="s">
        <v>222</v>
      </c>
      <c r="B196" t="s">
        <v>19</v>
      </c>
      <c r="C196" t="s">
        <v>15</v>
      </c>
      <c r="D196" s="5">
        <v>45933</v>
      </c>
      <c r="E196" s="5">
        <v>45936</v>
      </c>
      <c r="F196" s="5">
        <v>45940</v>
      </c>
      <c r="G196" s="5">
        <v>45942</v>
      </c>
      <c r="H196" t="s">
        <v>16</v>
      </c>
      <c r="I196" t="s">
        <v>17</v>
      </c>
      <c r="J196" s="5">
        <v>45955</v>
      </c>
      <c r="K196" s="15">
        <f t="shared" si="9"/>
        <v>3</v>
      </c>
      <c r="L196">
        <f t="shared" si="10"/>
        <v>4</v>
      </c>
      <c r="M196">
        <f t="shared" si="11"/>
        <v>2</v>
      </c>
      <c r="N196">
        <v>3</v>
      </c>
      <c r="O196">
        <f>DATEDIF(Table1[[#This Row],[lead_date]], Table1[[#This Row],[delivery_date]], "d")</f>
        <v>9</v>
      </c>
      <c r="P196" s="5" t="str">
        <f>IF(AND(Table1[[#This Row],[customer_rating]]&gt;=8, Table1[[#This Row],[Tat_day]]&lt;=7, Table1[[#This Row],[lead_type]]="Hot"), "High", "Normal")</f>
        <v>Normal</v>
      </c>
      <c r="Q196" s="5" t="str">
        <f>IF(Table1[[#This Row],[customer_rating]]&gt;=9,"Promoter",IF(Table1[[#This Row],[customer_rating]]&gt;=7,"Passive","Detractor"))</f>
        <v>Detractor</v>
      </c>
      <c r="R196" s="5"/>
    </row>
    <row r="197" spans="1:18">
      <c r="A197" t="s">
        <v>223</v>
      </c>
      <c r="B197" t="s">
        <v>14</v>
      </c>
      <c r="C197" t="s">
        <v>15</v>
      </c>
      <c r="D197" s="5">
        <v>45938</v>
      </c>
      <c r="E197" s="5">
        <v>45939</v>
      </c>
      <c r="F197" s="5">
        <v>45941</v>
      </c>
      <c r="G197" s="5">
        <v>45944</v>
      </c>
      <c r="H197" t="s">
        <v>16</v>
      </c>
      <c r="I197" t="s">
        <v>17</v>
      </c>
      <c r="J197" s="5">
        <v>45964</v>
      </c>
      <c r="K197" s="15">
        <f t="shared" si="9"/>
        <v>1</v>
      </c>
      <c r="L197">
        <f t="shared" si="10"/>
        <v>2</v>
      </c>
      <c r="M197">
        <f t="shared" si="11"/>
        <v>3</v>
      </c>
      <c r="N197">
        <v>9</v>
      </c>
      <c r="O197">
        <f>DATEDIF(Table1[[#This Row],[lead_date]], Table1[[#This Row],[delivery_date]], "d")</f>
        <v>6</v>
      </c>
      <c r="P197" s="5" t="str">
        <f>IF(AND(Table1[[#This Row],[customer_rating]]&gt;=8, Table1[[#This Row],[Tat_day]]&lt;=7, Table1[[#This Row],[lead_type]]="Hot"), "High", "Normal")</f>
        <v>Normal</v>
      </c>
      <c r="Q197" s="5" t="str">
        <f>IF(Table1[[#This Row],[customer_rating]]&gt;=9,"Promoter",IF(Table1[[#This Row],[customer_rating]]&gt;=7,"Passive","Detractor"))</f>
        <v>Promoter</v>
      </c>
      <c r="R197" s="5"/>
    </row>
    <row r="198" spans="1:18">
      <c r="A198" t="s">
        <v>224</v>
      </c>
      <c r="B198" t="s">
        <v>19</v>
      </c>
      <c r="C198" t="s">
        <v>30</v>
      </c>
      <c r="D198" s="5">
        <v>45934</v>
      </c>
      <c r="E198" s="5">
        <v>45938</v>
      </c>
      <c r="F198" s="5">
        <v>45943</v>
      </c>
      <c r="G198" s="5">
        <v>45946</v>
      </c>
      <c r="H198" t="s">
        <v>16</v>
      </c>
      <c r="I198" t="s">
        <v>17</v>
      </c>
      <c r="J198" s="5">
        <v>45962</v>
      </c>
      <c r="K198" s="15">
        <f t="shared" si="9"/>
        <v>4</v>
      </c>
      <c r="L198">
        <f t="shared" si="10"/>
        <v>5</v>
      </c>
      <c r="M198">
        <f t="shared" si="11"/>
        <v>3</v>
      </c>
      <c r="N198">
        <v>10</v>
      </c>
      <c r="O198">
        <f>DATEDIF(Table1[[#This Row],[lead_date]], Table1[[#This Row],[delivery_date]], "d")</f>
        <v>12</v>
      </c>
      <c r="P198" s="5" t="str">
        <f>IF(AND(Table1[[#This Row],[customer_rating]]&gt;=8, Table1[[#This Row],[Tat_day]]&lt;=7, Table1[[#This Row],[lead_type]]="Hot"), "High", "Normal")</f>
        <v>Normal</v>
      </c>
      <c r="Q198" s="5" t="str">
        <f>IF(Table1[[#This Row],[customer_rating]]&gt;=9,"Promoter",IF(Table1[[#This Row],[customer_rating]]&gt;=7,"Passive","Detractor"))</f>
        <v>Promoter</v>
      </c>
      <c r="R198" s="5"/>
    </row>
    <row r="199" spans="1:18">
      <c r="A199" t="s">
        <v>225</v>
      </c>
      <c r="B199" t="s">
        <v>14</v>
      </c>
      <c r="C199" t="s">
        <v>22</v>
      </c>
      <c r="D199" s="5">
        <v>45948</v>
      </c>
      <c r="H199" t="s">
        <v>23</v>
      </c>
      <c r="I199" t="s">
        <v>33</v>
      </c>
      <c r="K199" s="15" t="str">
        <f t="shared" si="9"/>
        <v/>
      </c>
      <c r="L199" t="str">
        <f t="shared" si="10"/>
        <v/>
      </c>
      <c r="M199" t="str">
        <f t="shared" si="11"/>
        <v/>
      </c>
      <c r="O199"/>
      <c r="P199" s="5" t="str">
        <f>IF(AND(Table1[[#This Row],[customer_rating]]&gt;=8, Table1[[#This Row],[Tat_day]]&lt;=7, Table1[[#This Row],[lead_type]]="Hot"), "High", "Normal")</f>
        <v>Normal</v>
      </c>
      <c r="Q199" s="5" t="str">
        <f>IF(Table1[[#This Row],[customer_rating]]&gt;=9,"Promoter",IF(Table1[[#This Row],[customer_rating]]&gt;=7,"Passive","Detractor"))</f>
        <v>Detractor</v>
      </c>
      <c r="R199" s="5"/>
    </row>
    <row r="200" spans="1:18">
      <c r="A200" t="s">
        <v>226</v>
      </c>
      <c r="B200" t="s">
        <v>14</v>
      </c>
      <c r="C200" t="s">
        <v>15</v>
      </c>
      <c r="D200" s="5">
        <v>45955</v>
      </c>
      <c r="E200" s="5">
        <v>45956</v>
      </c>
      <c r="F200" s="5">
        <v>45960</v>
      </c>
      <c r="G200" s="5">
        <v>45967</v>
      </c>
      <c r="H200" t="s">
        <v>16</v>
      </c>
      <c r="I200" t="s">
        <v>17</v>
      </c>
      <c r="J200" s="5">
        <v>45983</v>
      </c>
      <c r="K200" s="15">
        <f t="shared" si="9"/>
        <v>1</v>
      </c>
      <c r="L200">
        <f t="shared" si="10"/>
        <v>4</v>
      </c>
      <c r="M200">
        <f t="shared" si="11"/>
        <v>7</v>
      </c>
      <c r="N200">
        <v>8</v>
      </c>
      <c r="O200">
        <f>DATEDIF(Table1[[#This Row],[lead_date]], Table1[[#This Row],[delivery_date]], "d")</f>
        <v>12</v>
      </c>
      <c r="P200" s="5" t="str">
        <f>IF(AND(Table1[[#This Row],[customer_rating]]&gt;=8, Table1[[#This Row],[Tat_day]]&lt;=7, Table1[[#This Row],[lead_type]]="Hot"), "High", "Normal")</f>
        <v>Normal</v>
      </c>
      <c r="Q200" s="5" t="str">
        <f>IF(Table1[[#This Row],[customer_rating]]&gt;=9,"Promoter",IF(Table1[[#This Row],[customer_rating]]&gt;=7,"Passive","Detractor"))</f>
        <v>Passive</v>
      </c>
      <c r="R200" s="5"/>
    </row>
    <row r="201" spans="1:18">
      <c r="A201" t="s">
        <v>227</v>
      </c>
      <c r="B201" t="s">
        <v>14</v>
      </c>
      <c r="C201" t="s">
        <v>22</v>
      </c>
      <c r="D201" s="5">
        <v>45944</v>
      </c>
      <c r="H201" t="s">
        <v>23</v>
      </c>
      <c r="I201" t="s">
        <v>1028</v>
      </c>
      <c r="K201" s="15" t="str">
        <f t="shared" ref="K201:K264" si="12">IF(OR(D201="",E201=""),"",INT(E201-D201))</f>
        <v/>
      </c>
      <c r="L201" t="str">
        <f t="shared" si="10"/>
        <v/>
      </c>
      <c r="M201" t="str">
        <f t="shared" si="11"/>
        <v/>
      </c>
      <c r="O201"/>
      <c r="P201" s="5" t="str">
        <f>IF(AND(Table1[[#This Row],[customer_rating]]&gt;=8, Table1[[#This Row],[Tat_day]]&lt;=7, Table1[[#This Row],[lead_type]]="Hot"), "High", "Normal")</f>
        <v>Normal</v>
      </c>
      <c r="Q201" s="5" t="str">
        <f>IF(Table1[[#This Row],[customer_rating]]&gt;=9,"Promoter",IF(Table1[[#This Row],[customer_rating]]&gt;=7,"Passive","Detractor"))</f>
        <v>Detractor</v>
      </c>
      <c r="R201" s="5"/>
    </row>
    <row r="202" spans="1:18">
      <c r="A202" t="s">
        <v>228</v>
      </c>
      <c r="B202" t="s">
        <v>32</v>
      </c>
      <c r="C202" t="s">
        <v>30</v>
      </c>
      <c r="D202" s="5">
        <v>45950</v>
      </c>
      <c r="E202" s="5">
        <v>45953</v>
      </c>
      <c r="F202" s="5">
        <v>45956</v>
      </c>
      <c r="G202" s="5">
        <v>45962</v>
      </c>
      <c r="H202" t="s">
        <v>16</v>
      </c>
      <c r="I202" t="s">
        <v>17</v>
      </c>
      <c r="J202" s="5">
        <v>45985</v>
      </c>
      <c r="K202" s="15">
        <f t="shared" si="12"/>
        <v>3</v>
      </c>
      <c r="L202">
        <f t="shared" si="10"/>
        <v>3</v>
      </c>
      <c r="M202">
        <f t="shared" si="11"/>
        <v>6</v>
      </c>
      <c r="N202">
        <v>6</v>
      </c>
      <c r="O202">
        <f>DATEDIF(Table1[[#This Row],[lead_date]], Table1[[#This Row],[delivery_date]], "d")</f>
        <v>12</v>
      </c>
      <c r="P202" s="5" t="str">
        <f>IF(AND(Table1[[#This Row],[customer_rating]]&gt;=8, Table1[[#This Row],[Tat_day]]&lt;=7, Table1[[#This Row],[lead_type]]="Hot"), "High", "Normal")</f>
        <v>Normal</v>
      </c>
      <c r="Q202" s="5" t="str">
        <f>IF(Table1[[#This Row],[customer_rating]]&gt;=9,"Promoter",IF(Table1[[#This Row],[customer_rating]]&gt;=7,"Passive","Detractor"))</f>
        <v>Detractor</v>
      </c>
      <c r="R202" s="5"/>
    </row>
    <row r="203" spans="1:18">
      <c r="A203" t="s">
        <v>229</v>
      </c>
      <c r="B203" t="s">
        <v>19</v>
      </c>
      <c r="C203" t="s">
        <v>30</v>
      </c>
      <c r="D203" s="5">
        <v>45950</v>
      </c>
      <c r="E203" s="5">
        <v>45952</v>
      </c>
      <c r="F203" s="5">
        <v>45954</v>
      </c>
      <c r="G203" s="5">
        <v>45961</v>
      </c>
      <c r="H203" t="s">
        <v>16</v>
      </c>
      <c r="I203" t="s">
        <v>17</v>
      </c>
      <c r="J203" s="5">
        <v>45988</v>
      </c>
      <c r="K203" s="15">
        <f t="shared" si="12"/>
        <v>2</v>
      </c>
      <c r="L203">
        <f t="shared" si="10"/>
        <v>2</v>
      </c>
      <c r="M203">
        <f t="shared" si="11"/>
        <v>7</v>
      </c>
      <c r="N203">
        <v>2</v>
      </c>
      <c r="O203">
        <f>DATEDIF(Table1[[#This Row],[lead_date]], Table1[[#This Row],[delivery_date]], "d")</f>
        <v>11</v>
      </c>
      <c r="P203" s="5" t="str">
        <f>IF(AND(Table1[[#This Row],[customer_rating]]&gt;=8, Table1[[#This Row],[Tat_day]]&lt;=7, Table1[[#This Row],[lead_type]]="Hot"), "High", "Normal")</f>
        <v>Normal</v>
      </c>
      <c r="Q203" s="5" t="str">
        <f>IF(Table1[[#This Row],[customer_rating]]&gt;=9,"Promoter",IF(Table1[[#This Row],[customer_rating]]&gt;=7,"Passive","Detractor"))</f>
        <v>Detractor</v>
      </c>
      <c r="R203" s="5"/>
    </row>
    <row r="204" spans="1:18">
      <c r="A204" t="s">
        <v>230</v>
      </c>
      <c r="B204" t="s">
        <v>19</v>
      </c>
      <c r="C204" t="s">
        <v>30</v>
      </c>
      <c r="D204" s="5">
        <v>45956</v>
      </c>
      <c r="E204" s="5">
        <v>45961</v>
      </c>
      <c r="F204" s="5">
        <v>45962</v>
      </c>
      <c r="G204" s="5">
        <v>45966</v>
      </c>
      <c r="H204" t="s">
        <v>16</v>
      </c>
      <c r="I204" t="s">
        <v>17</v>
      </c>
      <c r="J204" s="5">
        <v>45993</v>
      </c>
      <c r="K204" s="15">
        <f t="shared" si="12"/>
        <v>5</v>
      </c>
      <c r="L204">
        <f t="shared" si="10"/>
        <v>1</v>
      </c>
      <c r="M204">
        <f t="shared" si="11"/>
        <v>4</v>
      </c>
      <c r="N204">
        <v>2</v>
      </c>
      <c r="O204">
        <f>DATEDIF(Table1[[#This Row],[lead_date]], Table1[[#This Row],[delivery_date]], "d")</f>
        <v>10</v>
      </c>
      <c r="P204" s="5" t="str">
        <f>IF(AND(Table1[[#This Row],[customer_rating]]&gt;=8, Table1[[#This Row],[Tat_day]]&lt;=7, Table1[[#This Row],[lead_type]]="Hot"), "High", "Normal")</f>
        <v>Normal</v>
      </c>
      <c r="Q204" s="5" t="str">
        <f>IF(Table1[[#This Row],[customer_rating]]&gt;=9,"Promoter",IF(Table1[[#This Row],[customer_rating]]&gt;=7,"Passive","Detractor"))</f>
        <v>Detractor</v>
      </c>
      <c r="R204" s="5"/>
    </row>
    <row r="205" spans="1:18">
      <c r="A205" t="s">
        <v>231</v>
      </c>
      <c r="B205" t="s">
        <v>19</v>
      </c>
      <c r="C205" t="s">
        <v>15</v>
      </c>
      <c r="D205" s="5">
        <v>45950</v>
      </c>
      <c r="E205" s="5">
        <v>45954</v>
      </c>
      <c r="F205" s="5">
        <v>45957</v>
      </c>
      <c r="G205" s="5">
        <v>45964</v>
      </c>
      <c r="H205" t="s">
        <v>16</v>
      </c>
      <c r="I205" t="s">
        <v>17</v>
      </c>
      <c r="J205" s="5">
        <v>45982</v>
      </c>
      <c r="K205" s="15">
        <f t="shared" si="12"/>
        <v>4</v>
      </c>
      <c r="L205">
        <f t="shared" si="10"/>
        <v>3</v>
      </c>
      <c r="M205">
        <f t="shared" si="11"/>
        <v>7</v>
      </c>
      <c r="N205">
        <v>9</v>
      </c>
      <c r="O205">
        <f>DATEDIF(Table1[[#This Row],[lead_date]], Table1[[#This Row],[delivery_date]], "d")</f>
        <v>14</v>
      </c>
      <c r="P205" s="5" t="str">
        <f>IF(AND(Table1[[#This Row],[customer_rating]]&gt;=8, Table1[[#This Row],[Tat_day]]&lt;=7, Table1[[#This Row],[lead_type]]="Hot"), "High", "Normal")</f>
        <v>Normal</v>
      </c>
      <c r="Q205" s="5" t="str">
        <f>IF(Table1[[#This Row],[customer_rating]]&gt;=9,"Promoter",IF(Table1[[#This Row],[customer_rating]]&gt;=7,"Passive","Detractor"))</f>
        <v>Promoter</v>
      </c>
      <c r="R205" s="5"/>
    </row>
    <row r="206" spans="1:18">
      <c r="A206" t="s">
        <v>232</v>
      </c>
      <c r="B206" t="s">
        <v>14</v>
      </c>
      <c r="C206" t="s">
        <v>22</v>
      </c>
      <c r="D206" s="5">
        <v>45938</v>
      </c>
      <c r="H206" t="s">
        <v>23</v>
      </c>
      <c r="I206" t="s">
        <v>63</v>
      </c>
      <c r="K206" s="15" t="str">
        <f t="shared" si="12"/>
        <v/>
      </c>
      <c r="L206" t="str">
        <f t="shared" si="10"/>
        <v/>
      </c>
      <c r="M206" t="str">
        <f t="shared" si="11"/>
        <v/>
      </c>
      <c r="O206"/>
      <c r="P206" s="5" t="str">
        <f>IF(AND(Table1[[#This Row],[customer_rating]]&gt;=8, Table1[[#This Row],[Tat_day]]&lt;=7, Table1[[#This Row],[lead_type]]="Hot"), "High", "Normal")</f>
        <v>Normal</v>
      </c>
      <c r="Q206" s="5" t="str">
        <f>IF(Table1[[#This Row],[customer_rating]]&gt;=9,"Promoter",IF(Table1[[#This Row],[customer_rating]]&gt;=7,"Passive","Detractor"))</f>
        <v>Detractor</v>
      </c>
      <c r="R206" s="5"/>
    </row>
    <row r="207" spans="1:18">
      <c r="A207" t="s">
        <v>233</v>
      </c>
      <c r="B207" t="s">
        <v>19</v>
      </c>
      <c r="C207" t="s">
        <v>30</v>
      </c>
      <c r="D207" s="5">
        <v>45955</v>
      </c>
      <c r="E207" s="5">
        <v>45958</v>
      </c>
      <c r="F207" s="5">
        <v>45960</v>
      </c>
      <c r="G207" s="5">
        <v>45966</v>
      </c>
      <c r="H207" t="s">
        <v>16</v>
      </c>
      <c r="I207" t="s">
        <v>17</v>
      </c>
      <c r="J207" s="5">
        <v>45985</v>
      </c>
      <c r="K207" s="15">
        <f t="shared" si="12"/>
        <v>3</v>
      </c>
      <c r="L207">
        <f t="shared" si="10"/>
        <v>2</v>
      </c>
      <c r="M207">
        <f t="shared" si="11"/>
        <v>6</v>
      </c>
      <c r="N207">
        <v>2</v>
      </c>
      <c r="O207">
        <f>DATEDIF(Table1[[#This Row],[lead_date]], Table1[[#This Row],[delivery_date]], "d")</f>
        <v>11</v>
      </c>
      <c r="P207" s="5" t="str">
        <f>IF(AND(Table1[[#This Row],[customer_rating]]&gt;=8, Table1[[#This Row],[Tat_day]]&lt;=7, Table1[[#This Row],[lead_type]]="Hot"), "High", "Normal")</f>
        <v>Normal</v>
      </c>
      <c r="Q207" s="5" t="str">
        <f>IF(Table1[[#This Row],[customer_rating]]&gt;=9,"Promoter",IF(Table1[[#This Row],[customer_rating]]&gt;=7,"Passive","Detractor"))</f>
        <v>Detractor</v>
      </c>
      <c r="R207" s="5"/>
    </row>
    <row r="208" spans="1:18">
      <c r="A208" t="s">
        <v>234</v>
      </c>
      <c r="B208" t="s">
        <v>19</v>
      </c>
      <c r="C208" t="s">
        <v>22</v>
      </c>
      <c r="D208" s="5">
        <v>45947</v>
      </c>
      <c r="H208" t="s">
        <v>23</v>
      </c>
      <c r="I208" t="s">
        <v>63</v>
      </c>
      <c r="K208" s="15" t="str">
        <f t="shared" si="12"/>
        <v/>
      </c>
      <c r="L208" t="str">
        <f t="shared" si="10"/>
        <v/>
      </c>
      <c r="M208" t="str">
        <f t="shared" si="11"/>
        <v/>
      </c>
      <c r="O208"/>
      <c r="P208" s="5" t="str">
        <f>IF(AND(Table1[[#This Row],[customer_rating]]&gt;=8, Table1[[#This Row],[Tat_day]]&lt;=7, Table1[[#This Row],[lead_type]]="Hot"), "High", "Normal")</f>
        <v>Normal</v>
      </c>
      <c r="Q208" s="5" t="str">
        <f>IF(Table1[[#This Row],[customer_rating]]&gt;=9,"Promoter",IF(Table1[[#This Row],[customer_rating]]&gt;=7,"Passive","Detractor"))</f>
        <v>Detractor</v>
      </c>
      <c r="R208" s="5"/>
    </row>
    <row r="209" spans="1:18">
      <c r="A209" t="s">
        <v>235</v>
      </c>
      <c r="B209" t="s">
        <v>14</v>
      </c>
      <c r="C209" t="s">
        <v>15</v>
      </c>
      <c r="D209" s="5">
        <v>45943</v>
      </c>
      <c r="E209" s="5">
        <v>45944</v>
      </c>
      <c r="F209" s="5">
        <v>45948</v>
      </c>
      <c r="G209" s="5">
        <v>45955</v>
      </c>
      <c r="H209" t="s">
        <v>16</v>
      </c>
      <c r="I209" t="s">
        <v>17</v>
      </c>
      <c r="J209" s="5">
        <v>45974</v>
      </c>
      <c r="K209" s="15">
        <f t="shared" si="12"/>
        <v>1</v>
      </c>
      <c r="L209">
        <f t="shared" si="10"/>
        <v>4</v>
      </c>
      <c r="M209">
        <f t="shared" si="11"/>
        <v>7</v>
      </c>
      <c r="N209">
        <v>7</v>
      </c>
      <c r="O209">
        <f>DATEDIF(Table1[[#This Row],[lead_date]], Table1[[#This Row],[delivery_date]], "d")</f>
        <v>12</v>
      </c>
      <c r="P209" s="5" t="str">
        <f>IF(AND(Table1[[#This Row],[customer_rating]]&gt;=8, Table1[[#This Row],[Tat_day]]&lt;=7, Table1[[#This Row],[lead_type]]="Hot"), "High", "Normal")</f>
        <v>Normal</v>
      </c>
      <c r="Q209" s="5" t="str">
        <f>IF(Table1[[#This Row],[customer_rating]]&gt;=9,"Promoter",IF(Table1[[#This Row],[customer_rating]]&gt;=7,"Passive","Detractor"))</f>
        <v>Passive</v>
      </c>
      <c r="R209" s="5"/>
    </row>
    <row r="210" spans="1:18">
      <c r="A210" t="s">
        <v>236</v>
      </c>
      <c r="B210" t="s">
        <v>21</v>
      </c>
      <c r="C210" t="s">
        <v>22</v>
      </c>
      <c r="D210" s="5">
        <v>45945</v>
      </c>
      <c r="H210" t="s">
        <v>23</v>
      </c>
      <c r="I210" t="s">
        <v>101</v>
      </c>
      <c r="K210" s="15" t="str">
        <f t="shared" si="12"/>
        <v/>
      </c>
      <c r="L210" t="str">
        <f t="shared" si="10"/>
        <v/>
      </c>
      <c r="M210" t="str">
        <f t="shared" si="11"/>
        <v/>
      </c>
      <c r="O210"/>
      <c r="P210" s="5" t="str">
        <f>IF(AND(Table1[[#This Row],[customer_rating]]&gt;=8, Table1[[#This Row],[Tat_day]]&lt;=7, Table1[[#This Row],[lead_type]]="Hot"), "High", "Normal")</f>
        <v>Normal</v>
      </c>
      <c r="Q210" s="5" t="str">
        <f>IF(Table1[[#This Row],[customer_rating]]&gt;=9,"Promoter",IF(Table1[[#This Row],[customer_rating]]&gt;=7,"Passive","Detractor"))</f>
        <v>Detractor</v>
      </c>
      <c r="R210" s="5"/>
    </row>
    <row r="211" spans="1:18">
      <c r="A211" t="s">
        <v>237</v>
      </c>
      <c r="B211" t="s">
        <v>14</v>
      </c>
      <c r="C211" t="s">
        <v>30</v>
      </c>
      <c r="D211" s="5">
        <v>45960</v>
      </c>
      <c r="E211" s="5">
        <v>45964</v>
      </c>
      <c r="F211" s="5">
        <v>45967</v>
      </c>
      <c r="G211" s="5">
        <v>45972</v>
      </c>
      <c r="H211" t="s">
        <v>16</v>
      </c>
      <c r="I211" t="s">
        <v>17</v>
      </c>
      <c r="J211" s="5">
        <v>45989</v>
      </c>
      <c r="K211" s="15">
        <f t="shared" si="12"/>
        <v>4</v>
      </c>
      <c r="L211">
        <f t="shared" si="10"/>
        <v>3</v>
      </c>
      <c r="M211">
        <f t="shared" si="11"/>
        <v>5</v>
      </c>
      <c r="N211">
        <v>9</v>
      </c>
      <c r="O211">
        <f>DATEDIF(Table1[[#This Row],[lead_date]], Table1[[#This Row],[delivery_date]], "d")</f>
        <v>12</v>
      </c>
      <c r="P211" s="5" t="str">
        <f>IF(AND(Table1[[#This Row],[customer_rating]]&gt;=8, Table1[[#This Row],[Tat_day]]&lt;=7, Table1[[#This Row],[lead_type]]="Hot"), "High", "Normal")</f>
        <v>Normal</v>
      </c>
      <c r="Q211" s="5" t="str">
        <f>IF(Table1[[#This Row],[customer_rating]]&gt;=9,"Promoter",IF(Table1[[#This Row],[customer_rating]]&gt;=7,"Passive","Detractor"))</f>
        <v>Promoter</v>
      </c>
      <c r="R211" s="5"/>
    </row>
    <row r="212" spans="1:18">
      <c r="A212" t="s">
        <v>238</v>
      </c>
      <c r="B212" t="s">
        <v>19</v>
      </c>
      <c r="C212" t="s">
        <v>22</v>
      </c>
      <c r="D212" s="5">
        <v>45945</v>
      </c>
      <c r="H212" t="s">
        <v>23</v>
      </c>
      <c r="I212" t="s">
        <v>101</v>
      </c>
      <c r="K212" s="15" t="str">
        <f t="shared" si="12"/>
        <v/>
      </c>
      <c r="L212" t="str">
        <f t="shared" si="10"/>
        <v/>
      </c>
      <c r="M212" t="str">
        <f t="shared" si="11"/>
        <v/>
      </c>
      <c r="O212"/>
      <c r="P212" s="5" t="str">
        <f>IF(AND(Table1[[#This Row],[customer_rating]]&gt;=8, Table1[[#This Row],[Tat_day]]&lt;=7, Table1[[#This Row],[lead_type]]="Hot"), "High", "Normal")</f>
        <v>Normal</v>
      </c>
      <c r="Q212" s="5" t="str">
        <f>IF(Table1[[#This Row],[customer_rating]]&gt;=9,"Promoter",IF(Table1[[#This Row],[customer_rating]]&gt;=7,"Passive","Detractor"))</f>
        <v>Detractor</v>
      </c>
      <c r="R212" s="5"/>
    </row>
    <row r="213" spans="1:18">
      <c r="A213" t="s">
        <v>239</v>
      </c>
      <c r="B213" t="s">
        <v>14</v>
      </c>
      <c r="C213" t="s">
        <v>15</v>
      </c>
      <c r="D213" s="5">
        <v>45940</v>
      </c>
      <c r="E213" s="5">
        <v>45941</v>
      </c>
      <c r="F213" s="5">
        <v>45943</v>
      </c>
      <c r="G213" s="5">
        <v>45946</v>
      </c>
      <c r="H213" t="s">
        <v>23</v>
      </c>
      <c r="I213" t="s">
        <v>24</v>
      </c>
      <c r="K213" s="15">
        <f t="shared" si="12"/>
        <v>1</v>
      </c>
      <c r="L213">
        <f t="shared" si="10"/>
        <v>2</v>
      </c>
      <c r="M213">
        <f t="shared" si="11"/>
        <v>3</v>
      </c>
      <c r="O213">
        <f>DATEDIF(Table1[[#This Row],[lead_date]], Table1[[#This Row],[delivery_date]], "d")</f>
        <v>6</v>
      </c>
      <c r="P213" s="5" t="str">
        <f>IF(AND(Table1[[#This Row],[customer_rating]]&gt;=8, Table1[[#This Row],[Tat_day]]&lt;=7, Table1[[#This Row],[lead_type]]="Hot"), "High", "Normal")</f>
        <v>Normal</v>
      </c>
      <c r="Q213" s="5" t="str">
        <f>IF(Table1[[#This Row],[customer_rating]]&gt;=9,"Promoter",IF(Table1[[#This Row],[customer_rating]]&gt;=7,"Passive","Detractor"))</f>
        <v>Detractor</v>
      </c>
      <c r="R213" s="5"/>
    </row>
    <row r="214" spans="1:18">
      <c r="A214" t="s">
        <v>240</v>
      </c>
      <c r="B214" t="s">
        <v>21</v>
      </c>
      <c r="C214" t="s">
        <v>30</v>
      </c>
      <c r="D214" s="5">
        <v>45958</v>
      </c>
      <c r="E214" s="5">
        <v>45960</v>
      </c>
      <c r="F214" s="5">
        <v>45961</v>
      </c>
      <c r="G214" s="5">
        <v>45967</v>
      </c>
      <c r="H214" t="s">
        <v>16</v>
      </c>
      <c r="I214" t="s">
        <v>17</v>
      </c>
      <c r="J214" s="5">
        <v>45980</v>
      </c>
      <c r="K214" s="15">
        <f t="shared" si="12"/>
        <v>2</v>
      </c>
      <c r="L214">
        <f t="shared" si="10"/>
        <v>1</v>
      </c>
      <c r="M214">
        <f t="shared" si="11"/>
        <v>6</v>
      </c>
      <c r="N214">
        <v>4</v>
      </c>
      <c r="O214">
        <f>DATEDIF(Table1[[#This Row],[lead_date]], Table1[[#This Row],[delivery_date]], "d")</f>
        <v>9</v>
      </c>
      <c r="P214" s="5" t="str">
        <f>IF(AND(Table1[[#This Row],[customer_rating]]&gt;=8, Table1[[#This Row],[Tat_day]]&lt;=7, Table1[[#This Row],[lead_type]]="Hot"), "High", "Normal")</f>
        <v>Normal</v>
      </c>
      <c r="Q214" s="5" t="str">
        <f>IF(Table1[[#This Row],[customer_rating]]&gt;=9,"Promoter",IF(Table1[[#This Row],[customer_rating]]&gt;=7,"Passive","Detractor"))</f>
        <v>Detractor</v>
      </c>
      <c r="R214" s="5"/>
    </row>
    <row r="215" spans="1:18">
      <c r="A215" t="s">
        <v>241</v>
      </c>
      <c r="B215" t="s">
        <v>14</v>
      </c>
      <c r="C215" t="s">
        <v>30</v>
      </c>
      <c r="D215" s="5">
        <v>45949</v>
      </c>
      <c r="E215" s="5">
        <v>45953</v>
      </c>
      <c r="F215" s="5">
        <v>45956</v>
      </c>
      <c r="G215" s="5">
        <v>45959</v>
      </c>
      <c r="H215" t="s">
        <v>16</v>
      </c>
      <c r="I215" t="s">
        <v>17</v>
      </c>
      <c r="J215" s="5">
        <v>45970</v>
      </c>
      <c r="K215" s="15">
        <f t="shared" si="12"/>
        <v>4</v>
      </c>
      <c r="L215">
        <f t="shared" si="10"/>
        <v>3</v>
      </c>
      <c r="M215">
        <f t="shared" si="11"/>
        <v>3</v>
      </c>
      <c r="N215">
        <v>2</v>
      </c>
      <c r="O215">
        <f>DATEDIF(Table1[[#This Row],[lead_date]], Table1[[#This Row],[delivery_date]], "d")</f>
        <v>10</v>
      </c>
      <c r="P215" s="5" t="str">
        <f>IF(AND(Table1[[#This Row],[customer_rating]]&gt;=8, Table1[[#This Row],[Tat_day]]&lt;=7, Table1[[#This Row],[lead_type]]="Hot"), "High", "Normal")</f>
        <v>Normal</v>
      </c>
      <c r="Q215" s="5" t="str">
        <f>IF(Table1[[#This Row],[customer_rating]]&gt;=9,"Promoter",IF(Table1[[#This Row],[customer_rating]]&gt;=7,"Passive","Detractor"))</f>
        <v>Detractor</v>
      </c>
      <c r="R215" s="5"/>
    </row>
    <row r="216" spans="1:18">
      <c r="A216" t="s">
        <v>242</v>
      </c>
      <c r="B216" t="s">
        <v>19</v>
      </c>
      <c r="C216" t="s">
        <v>22</v>
      </c>
      <c r="D216" s="5">
        <v>45944</v>
      </c>
      <c r="H216" t="s">
        <v>23</v>
      </c>
      <c r="I216" t="s">
        <v>1028</v>
      </c>
      <c r="K216" s="15" t="str">
        <f t="shared" si="12"/>
        <v/>
      </c>
      <c r="L216" t="str">
        <f t="shared" si="10"/>
        <v/>
      </c>
      <c r="M216" t="str">
        <f t="shared" si="11"/>
        <v/>
      </c>
      <c r="O216"/>
      <c r="P216" s="5" t="str">
        <f>IF(AND(Table1[[#This Row],[customer_rating]]&gt;=8, Table1[[#This Row],[Tat_day]]&lt;=7, Table1[[#This Row],[lead_type]]="Hot"), "High", "Normal")</f>
        <v>Normal</v>
      </c>
      <c r="Q216" s="5" t="str">
        <f>IF(Table1[[#This Row],[customer_rating]]&gt;=9,"Promoter",IF(Table1[[#This Row],[customer_rating]]&gt;=7,"Passive","Detractor"))</f>
        <v>Detractor</v>
      </c>
      <c r="R216" s="5"/>
    </row>
    <row r="217" spans="1:18">
      <c r="A217" t="s">
        <v>243</v>
      </c>
      <c r="B217" t="s">
        <v>21</v>
      </c>
      <c r="C217" t="s">
        <v>22</v>
      </c>
      <c r="D217" s="5">
        <v>45940</v>
      </c>
      <c r="H217" t="s">
        <v>23</v>
      </c>
      <c r="I217" t="s">
        <v>101</v>
      </c>
      <c r="K217" s="15" t="str">
        <f t="shared" si="12"/>
        <v/>
      </c>
      <c r="L217" t="str">
        <f t="shared" si="10"/>
        <v/>
      </c>
      <c r="M217" t="str">
        <f t="shared" si="11"/>
        <v/>
      </c>
      <c r="O217"/>
      <c r="P217" s="5" t="str">
        <f>IF(AND(Table1[[#This Row],[customer_rating]]&gt;=8, Table1[[#This Row],[Tat_day]]&lt;=7, Table1[[#This Row],[lead_type]]="Hot"), "High", "Normal")</f>
        <v>Normal</v>
      </c>
      <c r="Q217" s="5" t="str">
        <f>IF(Table1[[#This Row],[customer_rating]]&gt;=9,"Promoter",IF(Table1[[#This Row],[customer_rating]]&gt;=7,"Passive","Detractor"))</f>
        <v>Detractor</v>
      </c>
      <c r="R217" s="5"/>
    </row>
    <row r="218" spans="1:18">
      <c r="A218" t="s">
        <v>244</v>
      </c>
      <c r="B218" t="s">
        <v>32</v>
      </c>
      <c r="C218" t="s">
        <v>30</v>
      </c>
      <c r="D218" s="5">
        <v>45949</v>
      </c>
      <c r="E218" s="5">
        <v>45954</v>
      </c>
      <c r="F218" s="5">
        <v>45957</v>
      </c>
      <c r="G218" s="5">
        <v>45960</v>
      </c>
      <c r="H218" t="s">
        <v>16</v>
      </c>
      <c r="I218" t="s">
        <v>17</v>
      </c>
      <c r="J218" s="5">
        <v>45982</v>
      </c>
      <c r="K218" s="15">
        <f t="shared" si="12"/>
        <v>5</v>
      </c>
      <c r="L218">
        <f t="shared" si="10"/>
        <v>3</v>
      </c>
      <c r="M218">
        <f t="shared" si="11"/>
        <v>3</v>
      </c>
      <c r="N218">
        <v>0</v>
      </c>
      <c r="O218">
        <f>DATEDIF(Table1[[#This Row],[lead_date]], Table1[[#This Row],[delivery_date]], "d")</f>
        <v>11</v>
      </c>
      <c r="P218" s="5" t="str">
        <f>IF(AND(Table1[[#This Row],[customer_rating]]&gt;=8, Table1[[#This Row],[Tat_day]]&lt;=7, Table1[[#This Row],[lead_type]]="Hot"), "High", "Normal")</f>
        <v>Normal</v>
      </c>
      <c r="Q218" s="5" t="str">
        <f>IF(Table1[[#This Row],[customer_rating]]&gt;=9,"Promoter",IF(Table1[[#This Row],[customer_rating]]&gt;=7,"Passive","Detractor"))</f>
        <v>Detractor</v>
      </c>
      <c r="R218" s="5"/>
    </row>
    <row r="219" spans="1:18">
      <c r="A219" t="s">
        <v>245</v>
      </c>
      <c r="B219" t="s">
        <v>19</v>
      </c>
      <c r="C219" t="s">
        <v>15</v>
      </c>
      <c r="D219" s="5">
        <v>45950</v>
      </c>
      <c r="E219" s="5">
        <v>45954</v>
      </c>
      <c r="F219" s="5">
        <v>45959</v>
      </c>
      <c r="G219" s="5">
        <v>45962</v>
      </c>
      <c r="H219" t="s">
        <v>23</v>
      </c>
      <c r="I219" t="s">
        <v>101</v>
      </c>
      <c r="K219" s="15">
        <f t="shared" si="12"/>
        <v>4</v>
      </c>
      <c r="L219">
        <f t="shared" si="10"/>
        <v>5</v>
      </c>
      <c r="M219">
        <f t="shared" si="11"/>
        <v>3</v>
      </c>
      <c r="O219">
        <f>DATEDIF(Table1[[#This Row],[lead_date]], Table1[[#This Row],[delivery_date]], "d")</f>
        <v>12</v>
      </c>
      <c r="P219" s="5" t="str">
        <f>IF(AND(Table1[[#This Row],[customer_rating]]&gt;=8, Table1[[#This Row],[Tat_day]]&lt;=7, Table1[[#This Row],[lead_type]]="Hot"), "High", "Normal")</f>
        <v>Normal</v>
      </c>
      <c r="Q219" s="5" t="str">
        <f>IF(Table1[[#This Row],[customer_rating]]&gt;=9,"Promoter",IF(Table1[[#This Row],[customer_rating]]&gt;=7,"Passive","Detractor"))</f>
        <v>Detractor</v>
      </c>
      <c r="R219" s="5"/>
    </row>
    <row r="220" spans="1:18">
      <c r="A220" t="s">
        <v>246</v>
      </c>
      <c r="B220" t="s">
        <v>21</v>
      </c>
      <c r="C220" t="s">
        <v>22</v>
      </c>
      <c r="D220" s="5">
        <v>45932</v>
      </c>
      <c r="H220" t="s">
        <v>23</v>
      </c>
      <c r="I220" t="s">
        <v>1028</v>
      </c>
      <c r="K220" s="15" t="str">
        <f t="shared" si="12"/>
        <v/>
      </c>
      <c r="L220" t="str">
        <f t="shared" si="10"/>
        <v/>
      </c>
      <c r="M220" t="str">
        <f t="shared" si="11"/>
        <v/>
      </c>
      <c r="O220"/>
      <c r="P220" s="5" t="str">
        <f>IF(AND(Table1[[#This Row],[customer_rating]]&gt;=8, Table1[[#This Row],[Tat_day]]&lt;=7, Table1[[#This Row],[lead_type]]="Hot"), "High", "Normal")</f>
        <v>Normal</v>
      </c>
      <c r="Q220" s="5" t="str">
        <f>IF(Table1[[#This Row],[customer_rating]]&gt;=9,"Promoter",IF(Table1[[#This Row],[customer_rating]]&gt;=7,"Passive","Detractor"))</f>
        <v>Detractor</v>
      </c>
      <c r="R220" s="5"/>
    </row>
    <row r="221" spans="1:18">
      <c r="A221" t="s">
        <v>247</v>
      </c>
      <c r="B221" t="s">
        <v>21</v>
      </c>
      <c r="C221" t="s">
        <v>22</v>
      </c>
      <c r="D221" s="5">
        <v>45950</v>
      </c>
      <c r="H221" t="s">
        <v>23</v>
      </c>
      <c r="I221" t="s">
        <v>24</v>
      </c>
      <c r="K221" s="15" t="str">
        <f t="shared" si="12"/>
        <v/>
      </c>
      <c r="L221" t="str">
        <f t="shared" si="10"/>
        <v/>
      </c>
      <c r="M221" t="str">
        <f t="shared" si="11"/>
        <v/>
      </c>
      <c r="O221"/>
      <c r="P221" s="5" t="str">
        <f>IF(AND(Table1[[#This Row],[customer_rating]]&gt;=8, Table1[[#This Row],[Tat_day]]&lt;=7, Table1[[#This Row],[lead_type]]="Hot"), "High", "Normal")</f>
        <v>Normal</v>
      </c>
      <c r="Q221" s="5" t="str">
        <f>IF(Table1[[#This Row],[customer_rating]]&gt;=9,"Promoter",IF(Table1[[#This Row],[customer_rating]]&gt;=7,"Passive","Detractor"))</f>
        <v>Detractor</v>
      </c>
      <c r="R221" s="5"/>
    </row>
    <row r="222" spans="1:18">
      <c r="A222" t="s">
        <v>248</v>
      </c>
      <c r="B222" t="s">
        <v>32</v>
      </c>
      <c r="C222" t="s">
        <v>22</v>
      </c>
      <c r="D222" s="5">
        <v>45961</v>
      </c>
      <c r="H222" t="s">
        <v>23</v>
      </c>
      <c r="I222" t="s">
        <v>101</v>
      </c>
      <c r="K222" s="15" t="str">
        <f t="shared" si="12"/>
        <v/>
      </c>
      <c r="L222" t="str">
        <f t="shared" si="10"/>
        <v/>
      </c>
      <c r="M222" t="str">
        <f t="shared" si="11"/>
        <v/>
      </c>
      <c r="O222"/>
      <c r="P222" s="5" t="str">
        <f>IF(AND(Table1[[#This Row],[customer_rating]]&gt;=8, Table1[[#This Row],[Tat_day]]&lt;=7, Table1[[#This Row],[lead_type]]="Hot"), "High", "Normal")</f>
        <v>Normal</v>
      </c>
      <c r="Q222" s="5" t="str">
        <f>IF(Table1[[#This Row],[customer_rating]]&gt;=9,"Promoter",IF(Table1[[#This Row],[customer_rating]]&gt;=7,"Passive","Detractor"))</f>
        <v>Detractor</v>
      </c>
      <c r="R222" s="5"/>
    </row>
    <row r="223" spans="1:18">
      <c r="A223" t="s">
        <v>249</v>
      </c>
      <c r="B223" t="s">
        <v>14</v>
      </c>
      <c r="C223" t="s">
        <v>15</v>
      </c>
      <c r="D223" s="5">
        <v>45954</v>
      </c>
      <c r="E223" s="5">
        <v>45959</v>
      </c>
      <c r="F223" s="5">
        <v>45961</v>
      </c>
      <c r="G223" s="5">
        <v>45963</v>
      </c>
      <c r="H223" t="s">
        <v>16</v>
      </c>
      <c r="I223" t="s">
        <v>17</v>
      </c>
      <c r="J223" s="5">
        <v>45991</v>
      </c>
      <c r="K223" s="15">
        <f t="shared" si="12"/>
        <v>5</v>
      </c>
      <c r="L223">
        <f t="shared" si="10"/>
        <v>2</v>
      </c>
      <c r="M223">
        <f t="shared" si="11"/>
        <v>2</v>
      </c>
      <c r="N223">
        <v>3</v>
      </c>
      <c r="O223">
        <f>DATEDIF(Table1[[#This Row],[lead_date]], Table1[[#This Row],[delivery_date]], "d")</f>
        <v>9</v>
      </c>
      <c r="P223" s="5" t="str">
        <f>IF(AND(Table1[[#This Row],[customer_rating]]&gt;=8, Table1[[#This Row],[Tat_day]]&lt;=7, Table1[[#This Row],[lead_type]]="Hot"), "High", "Normal")</f>
        <v>Normal</v>
      </c>
      <c r="Q223" s="5" t="str">
        <f>IF(Table1[[#This Row],[customer_rating]]&gt;=9,"Promoter",IF(Table1[[#This Row],[customer_rating]]&gt;=7,"Passive","Detractor"))</f>
        <v>Detractor</v>
      </c>
      <c r="R223" s="5"/>
    </row>
    <row r="224" spans="1:18">
      <c r="A224" t="s">
        <v>250</v>
      </c>
      <c r="B224" t="s">
        <v>14</v>
      </c>
      <c r="C224" t="s">
        <v>15</v>
      </c>
      <c r="D224" s="5">
        <v>45934</v>
      </c>
      <c r="E224" s="5">
        <v>45935</v>
      </c>
      <c r="F224" s="5">
        <v>45937</v>
      </c>
      <c r="G224" s="5">
        <v>45943</v>
      </c>
      <c r="H224" t="s">
        <v>16</v>
      </c>
      <c r="I224" t="s">
        <v>17</v>
      </c>
      <c r="J224" s="5">
        <v>45970</v>
      </c>
      <c r="K224" s="15">
        <f t="shared" si="12"/>
        <v>1</v>
      </c>
      <c r="L224">
        <f t="shared" si="10"/>
        <v>2</v>
      </c>
      <c r="M224">
        <f t="shared" si="11"/>
        <v>6</v>
      </c>
      <c r="N224">
        <v>1</v>
      </c>
      <c r="O224">
        <f>DATEDIF(Table1[[#This Row],[lead_date]], Table1[[#This Row],[delivery_date]], "d")</f>
        <v>9</v>
      </c>
      <c r="P224" s="5" t="str">
        <f>IF(AND(Table1[[#This Row],[customer_rating]]&gt;=8, Table1[[#This Row],[Tat_day]]&lt;=7, Table1[[#This Row],[lead_type]]="Hot"), "High", "Normal")</f>
        <v>Normal</v>
      </c>
      <c r="Q224" s="5" t="str">
        <f>IF(Table1[[#This Row],[customer_rating]]&gt;=9,"Promoter",IF(Table1[[#This Row],[customer_rating]]&gt;=7,"Passive","Detractor"))</f>
        <v>Detractor</v>
      </c>
      <c r="R224" s="5"/>
    </row>
    <row r="225" spans="1:18">
      <c r="A225" t="s">
        <v>251</v>
      </c>
      <c r="B225" t="s">
        <v>19</v>
      </c>
      <c r="C225" t="s">
        <v>15</v>
      </c>
      <c r="D225" s="5">
        <v>45961</v>
      </c>
      <c r="E225" s="5">
        <v>45965</v>
      </c>
      <c r="F225" s="5">
        <v>45970</v>
      </c>
      <c r="G225" s="5">
        <v>45974</v>
      </c>
      <c r="H225" t="s">
        <v>16</v>
      </c>
      <c r="I225" t="s">
        <v>17</v>
      </c>
      <c r="J225" s="5">
        <v>45999</v>
      </c>
      <c r="K225" s="15">
        <f t="shared" si="12"/>
        <v>4</v>
      </c>
      <c r="L225">
        <f t="shared" si="10"/>
        <v>5</v>
      </c>
      <c r="M225">
        <f t="shared" si="11"/>
        <v>4</v>
      </c>
      <c r="N225">
        <v>7</v>
      </c>
      <c r="O225">
        <f>DATEDIF(Table1[[#This Row],[lead_date]], Table1[[#This Row],[delivery_date]], "d")</f>
        <v>13</v>
      </c>
      <c r="P225" s="5" t="str">
        <f>IF(AND(Table1[[#This Row],[customer_rating]]&gt;=8, Table1[[#This Row],[Tat_day]]&lt;=7, Table1[[#This Row],[lead_type]]="Hot"), "High", "Normal")</f>
        <v>Normal</v>
      </c>
      <c r="Q225" s="5" t="str">
        <f>IF(Table1[[#This Row],[customer_rating]]&gt;=9,"Promoter",IF(Table1[[#This Row],[customer_rating]]&gt;=7,"Passive","Detractor"))</f>
        <v>Passive</v>
      </c>
      <c r="R225" s="5"/>
    </row>
    <row r="226" spans="1:18">
      <c r="A226" t="s">
        <v>252</v>
      </c>
      <c r="B226" t="s">
        <v>32</v>
      </c>
      <c r="C226" t="s">
        <v>15</v>
      </c>
      <c r="D226" s="5">
        <v>45955</v>
      </c>
      <c r="E226" s="5">
        <v>45958</v>
      </c>
      <c r="F226" s="5">
        <v>45962</v>
      </c>
      <c r="G226" s="5">
        <v>45968</v>
      </c>
      <c r="H226" t="s">
        <v>16</v>
      </c>
      <c r="I226" t="s">
        <v>17</v>
      </c>
      <c r="J226" s="5">
        <v>45982</v>
      </c>
      <c r="K226" s="15">
        <f t="shared" si="12"/>
        <v>3</v>
      </c>
      <c r="L226">
        <f t="shared" si="10"/>
        <v>4</v>
      </c>
      <c r="M226">
        <f t="shared" si="11"/>
        <v>6</v>
      </c>
      <c r="N226">
        <v>3</v>
      </c>
      <c r="O226">
        <f>DATEDIF(Table1[[#This Row],[lead_date]], Table1[[#This Row],[delivery_date]], "d")</f>
        <v>13</v>
      </c>
      <c r="P226" s="5" t="str">
        <f>IF(AND(Table1[[#This Row],[customer_rating]]&gt;=8, Table1[[#This Row],[Tat_day]]&lt;=7, Table1[[#This Row],[lead_type]]="Hot"), "High", "Normal")</f>
        <v>Normal</v>
      </c>
      <c r="Q226" s="5" t="str">
        <f>IF(Table1[[#This Row],[customer_rating]]&gt;=9,"Promoter",IF(Table1[[#This Row],[customer_rating]]&gt;=7,"Passive","Detractor"))</f>
        <v>Detractor</v>
      </c>
      <c r="R226" s="5"/>
    </row>
    <row r="227" spans="1:18">
      <c r="A227" t="s">
        <v>253</v>
      </c>
      <c r="B227" t="s">
        <v>14</v>
      </c>
      <c r="C227" t="s">
        <v>15</v>
      </c>
      <c r="D227" s="5">
        <v>45937</v>
      </c>
      <c r="E227" s="5">
        <v>45940</v>
      </c>
      <c r="F227" s="5">
        <v>45944</v>
      </c>
      <c r="G227" s="5">
        <v>45948</v>
      </c>
      <c r="H227" t="s">
        <v>23</v>
      </c>
      <c r="I227" t="s">
        <v>24</v>
      </c>
      <c r="K227" s="15">
        <f t="shared" si="12"/>
        <v>3</v>
      </c>
      <c r="L227">
        <f t="shared" si="10"/>
        <v>4</v>
      </c>
      <c r="M227">
        <f t="shared" si="11"/>
        <v>4</v>
      </c>
      <c r="O227">
        <f>DATEDIF(Table1[[#This Row],[lead_date]], Table1[[#This Row],[delivery_date]], "d")</f>
        <v>11</v>
      </c>
      <c r="P227" s="5" t="str">
        <f>IF(AND(Table1[[#This Row],[customer_rating]]&gt;=8, Table1[[#This Row],[Tat_day]]&lt;=7, Table1[[#This Row],[lead_type]]="Hot"), "High", "Normal")</f>
        <v>Normal</v>
      </c>
      <c r="Q227" s="5" t="str">
        <f>IF(Table1[[#This Row],[customer_rating]]&gt;=9,"Promoter",IF(Table1[[#This Row],[customer_rating]]&gt;=7,"Passive","Detractor"))</f>
        <v>Detractor</v>
      </c>
      <c r="R227" s="5"/>
    </row>
    <row r="228" spans="1:18">
      <c r="A228" t="s">
        <v>254</v>
      </c>
      <c r="B228" t="s">
        <v>32</v>
      </c>
      <c r="C228" t="s">
        <v>15</v>
      </c>
      <c r="D228" s="5">
        <v>45951</v>
      </c>
      <c r="E228" s="5">
        <v>45953</v>
      </c>
      <c r="F228" s="5">
        <v>45958</v>
      </c>
      <c r="G228" s="5">
        <v>45964</v>
      </c>
      <c r="H228" t="s">
        <v>23</v>
      </c>
      <c r="I228" t="s">
        <v>33</v>
      </c>
      <c r="K228" s="15">
        <f t="shared" si="12"/>
        <v>2</v>
      </c>
      <c r="L228">
        <f t="shared" si="10"/>
        <v>5</v>
      </c>
      <c r="M228">
        <f t="shared" si="11"/>
        <v>6</v>
      </c>
      <c r="O228">
        <f>DATEDIF(Table1[[#This Row],[lead_date]], Table1[[#This Row],[delivery_date]], "d")</f>
        <v>13</v>
      </c>
      <c r="P228" s="5" t="str">
        <f>IF(AND(Table1[[#This Row],[customer_rating]]&gt;=8, Table1[[#This Row],[Tat_day]]&lt;=7, Table1[[#This Row],[lead_type]]="Hot"), "High", "Normal")</f>
        <v>Normal</v>
      </c>
      <c r="Q228" s="5" t="str">
        <f>IF(Table1[[#This Row],[customer_rating]]&gt;=9,"Promoter",IF(Table1[[#This Row],[customer_rating]]&gt;=7,"Passive","Detractor"))</f>
        <v>Detractor</v>
      </c>
      <c r="R228" s="5"/>
    </row>
    <row r="229" spans="1:18">
      <c r="A229" t="s">
        <v>255</v>
      </c>
      <c r="B229" t="s">
        <v>14</v>
      </c>
      <c r="C229" t="s">
        <v>30</v>
      </c>
      <c r="D229" s="5">
        <v>45937</v>
      </c>
      <c r="E229" s="5">
        <v>45940</v>
      </c>
      <c r="F229" s="5">
        <v>45943</v>
      </c>
      <c r="G229" s="5">
        <v>45949</v>
      </c>
      <c r="H229" t="s">
        <v>16</v>
      </c>
      <c r="I229" t="s">
        <v>17</v>
      </c>
      <c r="J229" s="5">
        <v>45960</v>
      </c>
      <c r="K229" s="15">
        <f t="shared" si="12"/>
        <v>3</v>
      </c>
      <c r="L229">
        <f t="shared" si="10"/>
        <v>3</v>
      </c>
      <c r="M229">
        <f t="shared" si="11"/>
        <v>6</v>
      </c>
      <c r="N229">
        <v>4</v>
      </c>
      <c r="O229">
        <f>DATEDIF(Table1[[#This Row],[lead_date]], Table1[[#This Row],[delivery_date]], "d")</f>
        <v>12</v>
      </c>
      <c r="P229" s="5" t="str">
        <f>IF(AND(Table1[[#This Row],[customer_rating]]&gt;=8, Table1[[#This Row],[Tat_day]]&lt;=7, Table1[[#This Row],[lead_type]]="Hot"), "High", "Normal")</f>
        <v>Normal</v>
      </c>
      <c r="Q229" s="5" t="str">
        <f>IF(Table1[[#This Row],[customer_rating]]&gt;=9,"Promoter",IF(Table1[[#This Row],[customer_rating]]&gt;=7,"Passive","Detractor"))</f>
        <v>Detractor</v>
      </c>
      <c r="R229" s="5"/>
    </row>
    <row r="230" spans="1:18">
      <c r="A230" t="s">
        <v>256</v>
      </c>
      <c r="B230" t="s">
        <v>21</v>
      </c>
      <c r="C230" t="s">
        <v>22</v>
      </c>
      <c r="D230" s="5">
        <v>45939</v>
      </c>
      <c r="H230" t="s">
        <v>23</v>
      </c>
      <c r="I230" t="s">
        <v>24</v>
      </c>
      <c r="K230" s="15" t="str">
        <f t="shared" si="12"/>
        <v/>
      </c>
      <c r="L230" t="str">
        <f t="shared" si="10"/>
        <v/>
      </c>
      <c r="M230" t="str">
        <f t="shared" si="11"/>
        <v/>
      </c>
      <c r="O230"/>
      <c r="P230" s="5" t="str">
        <f>IF(AND(Table1[[#This Row],[customer_rating]]&gt;=8, Table1[[#This Row],[Tat_day]]&lt;=7, Table1[[#This Row],[lead_type]]="Hot"), "High", "Normal")</f>
        <v>Normal</v>
      </c>
      <c r="Q230" s="5" t="str">
        <f>IF(Table1[[#This Row],[customer_rating]]&gt;=9,"Promoter",IF(Table1[[#This Row],[customer_rating]]&gt;=7,"Passive","Detractor"))</f>
        <v>Detractor</v>
      </c>
      <c r="R230" s="5"/>
    </row>
    <row r="231" spans="1:18">
      <c r="A231" t="s">
        <v>257</v>
      </c>
      <c r="B231" t="s">
        <v>14</v>
      </c>
      <c r="C231" t="s">
        <v>15</v>
      </c>
      <c r="D231" s="5">
        <v>45952</v>
      </c>
      <c r="E231" s="5">
        <v>45954</v>
      </c>
      <c r="F231" s="5">
        <v>45955</v>
      </c>
      <c r="G231" s="5">
        <v>45958</v>
      </c>
      <c r="H231" t="s">
        <v>16</v>
      </c>
      <c r="I231" t="s">
        <v>17</v>
      </c>
      <c r="J231" s="5">
        <v>45979</v>
      </c>
      <c r="K231" s="15">
        <f t="shared" si="12"/>
        <v>2</v>
      </c>
      <c r="L231">
        <f t="shared" si="10"/>
        <v>1</v>
      </c>
      <c r="M231">
        <f t="shared" si="11"/>
        <v>3</v>
      </c>
      <c r="N231">
        <v>2</v>
      </c>
      <c r="O231">
        <f>DATEDIF(Table1[[#This Row],[lead_date]], Table1[[#This Row],[delivery_date]], "d")</f>
        <v>6</v>
      </c>
      <c r="P231" s="5" t="str">
        <f>IF(AND(Table1[[#This Row],[customer_rating]]&gt;=8, Table1[[#This Row],[Tat_day]]&lt;=7, Table1[[#This Row],[lead_type]]="Hot"), "High", "Normal")</f>
        <v>Normal</v>
      </c>
      <c r="Q231" s="5" t="str">
        <f>IF(Table1[[#This Row],[customer_rating]]&gt;=9,"Promoter",IF(Table1[[#This Row],[customer_rating]]&gt;=7,"Passive","Detractor"))</f>
        <v>Detractor</v>
      </c>
      <c r="R231" s="5"/>
    </row>
    <row r="232" spans="1:18">
      <c r="A232" t="s">
        <v>258</v>
      </c>
      <c r="B232" t="s">
        <v>32</v>
      </c>
      <c r="C232" t="s">
        <v>15</v>
      </c>
      <c r="D232" s="5">
        <v>45933</v>
      </c>
      <c r="E232" s="5">
        <v>45934</v>
      </c>
      <c r="F232" s="5">
        <v>45938</v>
      </c>
      <c r="G232" s="5">
        <v>45942</v>
      </c>
      <c r="H232" t="s">
        <v>16</v>
      </c>
      <c r="I232" t="s">
        <v>17</v>
      </c>
      <c r="J232" s="5">
        <v>45952</v>
      </c>
      <c r="K232" s="15">
        <f t="shared" si="12"/>
        <v>1</v>
      </c>
      <c r="L232">
        <f t="shared" si="10"/>
        <v>4</v>
      </c>
      <c r="M232">
        <f t="shared" si="11"/>
        <v>4</v>
      </c>
      <c r="N232">
        <v>2</v>
      </c>
      <c r="O232">
        <f>DATEDIF(Table1[[#This Row],[lead_date]], Table1[[#This Row],[delivery_date]], "d")</f>
        <v>9</v>
      </c>
      <c r="P232" s="5" t="str">
        <f>IF(AND(Table1[[#This Row],[customer_rating]]&gt;=8, Table1[[#This Row],[Tat_day]]&lt;=7, Table1[[#This Row],[lead_type]]="Hot"), "High", "Normal")</f>
        <v>Normal</v>
      </c>
      <c r="Q232" s="5" t="str">
        <f>IF(Table1[[#This Row],[customer_rating]]&gt;=9,"Promoter",IF(Table1[[#This Row],[customer_rating]]&gt;=7,"Passive","Detractor"))</f>
        <v>Detractor</v>
      </c>
      <c r="R232" s="5"/>
    </row>
    <row r="233" spans="1:18">
      <c r="A233" t="s">
        <v>259</v>
      </c>
      <c r="B233" t="s">
        <v>21</v>
      </c>
      <c r="C233" t="s">
        <v>15</v>
      </c>
      <c r="D233" s="5">
        <v>45936</v>
      </c>
      <c r="E233" s="5">
        <v>45941</v>
      </c>
      <c r="F233" s="5">
        <v>45942</v>
      </c>
      <c r="G233" s="5">
        <v>45949</v>
      </c>
      <c r="H233" t="s">
        <v>16</v>
      </c>
      <c r="I233" t="s">
        <v>17</v>
      </c>
      <c r="J233" s="5">
        <v>45972</v>
      </c>
      <c r="K233" s="15">
        <f t="shared" si="12"/>
        <v>5</v>
      </c>
      <c r="L233">
        <f t="shared" si="10"/>
        <v>1</v>
      </c>
      <c r="M233">
        <f t="shared" si="11"/>
        <v>7</v>
      </c>
      <c r="N233">
        <v>8</v>
      </c>
      <c r="O233">
        <f>DATEDIF(Table1[[#This Row],[lead_date]], Table1[[#This Row],[delivery_date]], "d")</f>
        <v>13</v>
      </c>
      <c r="P233" s="5" t="str">
        <f>IF(AND(Table1[[#This Row],[customer_rating]]&gt;=8, Table1[[#This Row],[Tat_day]]&lt;=7, Table1[[#This Row],[lead_type]]="Hot"), "High", "Normal")</f>
        <v>Normal</v>
      </c>
      <c r="Q233" s="5" t="str">
        <f>IF(Table1[[#This Row],[customer_rating]]&gt;=9,"Promoter",IF(Table1[[#This Row],[customer_rating]]&gt;=7,"Passive","Detractor"))</f>
        <v>Passive</v>
      </c>
      <c r="R233" s="5"/>
    </row>
    <row r="234" spans="1:18">
      <c r="A234" t="s">
        <v>260</v>
      </c>
      <c r="B234" t="s">
        <v>21</v>
      </c>
      <c r="C234" t="s">
        <v>15</v>
      </c>
      <c r="D234" s="5">
        <v>45938</v>
      </c>
      <c r="E234" s="5">
        <v>45939</v>
      </c>
      <c r="F234" s="5">
        <v>45941</v>
      </c>
      <c r="G234" s="5">
        <v>45945</v>
      </c>
      <c r="H234" t="s">
        <v>23</v>
      </c>
      <c r="I234" t="s">
        <v>63</v>
      </c>
      <c r="K234" s="15">
        <f t="shared" si="12"/>
        <v>1</v>
      </c>
      <c r="L234">
        <f t="shared" si="10"/>
        <v>2</v>
      </c>
      <c r="M234">
        <f t="shared" si="11"/>
        <v>4</v>
      </c>
      <c r="O234">
        <f>DATEDIF(Table1[[#This Row],[lead_date]], Table1[[#This Row],[delivery_date]], "d")</f>
        <v>7</v>
      </c>
      <c r="P234" s="5" t="str">
        <f>IF(AND(Table1[[#This Row],[customer_rating]]&gt;=8, Table1[[#This Row],[Tat_day]]&lt;=7, Table1[[#This Row],[lead_type]]="Hot"), "High", "Normal")</f>
        <v>Normal</v>
      </c>
      <c r="Q234" s="5" t="str">
        <f>IF(Table1[[#This Row],[customer_rating]]&gt;=9,"Promoter",IF(Table1[[#This Row],[customer_rating]]&gt;=7,"Passive","Detractor"))</f>
        <v>Detractor</v>
      </c>
      <c r="R234" s="5"/>
    </row>
    <row r="235" spans="1:18">
      <c r="A235" t="s">
        <v>261</v>
      </c>
      <c r="B235" t="s">
        <v>21</v>
      </c>
      <c r="C235" t="s">
        <v>30</v>
      </c>
      <c r="D235" s="5">
        <v>45936</v>
      </c>
      <c r="E235" s="5">
        <v>45941</v>
      </c>
      <c r="F235" s="5">
        <v>45943</v>
      </c>
      <c r="G235" s="5">
        <v>45947</v>
      </c>
      <c r="H235" t="s">
        <v>16</v>
      </c>
      <c r="I235" t="s">
        <v>17</v>
      </c>
      <c r="J235" s="5">
        <v>45959</v>
      </c>
      <c r="K235" s="15">
        <f t="shared" si="12"/>
        <v>5</v>
      </c>
      <c r="L235">
        <f t="shared" si="10"/>
        <v>2</v>
      </c>
      <c r="M235">
        <f t="shared" si="11"/>
        <v>4</v>
      </c>
      <c r="N235">
        <v>9</v>
      </c>
      <c r="O235">
        <f>DATEDIF(Table1[[#This Row],[lead_date]], Table1[[#This Row],[delivery_date]], "d")</f>
        <v>11</v>
      </c>
      <c r="P235" s="5" t="str">
        <f>IF(AND(Table1[[#This Row],[customer_rating]]&gt;=8, Table1[[#This Row],[Tat_day]]&lt;=7, Table1[[#This Row],[lead_type]]="Hot"), "High", "Normal")</f>
        <v>Normal</v>
      </c>
      <c r="Q235" s="5" t="str">
        <f>IF(Table1[[#This Row],[customer_rating]]&gt;=9,"Promoter",IF(Table1[[#This Row],[customer_rating]]&gt;=7,"Passive","Detractor"))</f>
        <v>Promoter</v>
      </c>
      <c r="R235" s="5"/>
    </row>
    <row r="236" spans="1:18">
      <c r="A236" t="s">
        <v>262</v>
      </c>
      <c r="B236" t="s">
        <v>32</v>
      </c>
      <c r="C236" t="s">
        <v>30</v>
      </c>
      <c r="D236" s="5">
        <v>45948</v>
      </c>
      <c r="E236" s="5">
        <v>45953</v>
      </c>
      <c r="F236" s="5">
        <v>45957</v>
      </c>
      <c r="G236" s="5">
        <v>45963</v>
      </c>
      <c r="H236" t="s">
        <v>16</v>
      </c>
      <c r="I236" t="s">
        <v>17</v>
      </c>
      <c r="J236" s="5">
        <v>45982</v>
      </c>
      <c r="K236" s="15">
        <f t="shared" si="12"/>
        <v>5</v>
      </c>
      <c r="L236">
        <f t="shared" si="10"/>
        <v>4</v>
      </c>
      <c r="M236">
        <f t="shared" si="11"/>
        <v>6</v>
      </c>
      <c r="N236">
        <v>4</v>
      </c>
      <c r="O236">
        <f>DATEDIF(Table1[[#This Row],[lead_date]], Table1[[#This Row],[delivery_date]], "d")</f>
        <v>15</v>
      </c>
      <c r="P236" s="5" t="str">
        <f>IF(AND(Table1[[#This Row],[customer_rating]]&gt;=8, Table1[[#This Row],[Tat_day]]&lt;=7, Table1[[#This Row],[lead_type]]="Hot"), "High", "Normal")</f>
        <v>Normal</v>
      </c>
      <c r="Q236" s="5" t="str">
        <f>IF(Table1[[#This Row],[customer_rating]]&gt;=9,"Promoter",IF(Table1[[#This Row],[customer_rating]]&gt;=7,"Passive","Detractor"))</f>
        <v>Detractor</v>
      </c>
      <c r="R236" s="5"/>
    </row>
    <row r="237" spans="1:18">
      <c r="A237" t="s">
        <v>263</v>
      </c>
      <c r="B237" t="s">
        <v>19</v>
      </c>
      <c r="C237" t="s">
        <v>30</v>
      </c>
      <c r="D237" s="5">
        <v>45933</v>
      </c>
      <c r="E237" s="5">
        <v>45935</v>
      </c>
      <c r="F237" s="5">
        <v>45938</v>
      </c>
      <c r="G237" s="5">
        <v>45942</v>
      </c>
      <c r="H237" t="s">
        <v>16</v>
      </c>
      <c r="I237" t="s">
        <v>17</v>
      </c>
      <c r="J237" s="5">
        <v>45972</v>
      </c>
      <c r="K237" s="15">
        <f t="shared" si="12"/>
        <v>2</v>
      </c>
      <c r="L237">
        <f t="shared" si="10"/>
        <v>3</v>
      </c>
      <c r="M237">
        <f t="shared" si="11"/>
        <v>4</v>
      </c>
      <c r="N237">
        <v>7</v>
      </c>
      <c r="O237">
        <f>DATEDIF(Table1[[#This Row],[lead_date]], Table1[[#This Row],[delivery_date]], "d")</f>
        <v>9</v>
      </c>
      <c r="P237" s="5" t="str">
        <f>IF(AND(Table1[[#This Row],[customer_rating]]&gt;=8, Table1[[#This Row],[Tat_day]]&lt;=7, Table1[[#This Row],[lead_type]]="Hot"), "High", "Normal")</f>
        <v>Normal</v>
      </c>
      <c r="Q237" s="5" t="str">
        <f>IF(Table1[[#This Row],[customer_rating]]&gt;=9,"Promoter",IF(Table1[[#This Row],[customer_rating]]&gt;=7,"Passive","Detractor"))</f>
        <v>Passive</v>
      </c>
      <c r="R237" s="5"/>
    </row>
    <row r="238" spans="1:18">
      <c r="A238" t="s">
        <v>264</v>
      </c>
      <c r="B238" t="s">
        <v>19</v>
      </c>
      <c r="C238" t="s">
        <v>30</v>
      </c>
      <c r="D238" s="5">
        <v>45936</v>
      </c>
      <c r="E238" s="5">
        <v>45939</v>
      </c>
      <c r="F238" s="5">
        <v>45941</v>
      </c>
      <c r="G238" s="5">
        <v>45947</v>
      </c>
      <c r="H238" t="s">
        <v>16</v>
      </c>
      <c r="I238" t="s">
        <v>17</v>
      </c>
      <c r="J238" s="5">
        <v>45976</v>
      </c>
      <c r="K238" s="15">
        <f t="shared" si="12"/>
        <v>3</v>
      </c>
      <c r="L238">
        <f t="shared" si="10"/>
        <v>2</v>
      </c>
      <c r="M238">
        <f t="shared" si="11"/>
        <v>6</v>
      </c>
      <c r="N238">
        <v>7</v>
      </c>
      <c r="O238">
        <f>DATEDIF(Table1[[#This Row],[lead_date]], Table1[[#This Row],[delivery_date]], "d")</f>
        <v>11</v>
      </c>
      <c r="P238" s="5" t="str">
        <f>IF(AND(Table1[[#This Row],[customer_rating]]&gt;=8, Table1[[#This Row],[Tat_day]]&lt;=7, Table1[[#This Row],[lead_type]]="Hot"), "High", "Normal")</f>
        <v>Normal</v>
      </c>
      <c r="Q238" s="5" t="str">
        <f>IF(Table1[[#This Row],[customer_rating]]&gt;=9,"Promoter",IF(Table1[[#This Row],[customer_rating]]&gt;=7,"Passive","Detractor"))</f>
        <v>Passive</v>
      </c>
      <c r="R238" s="5"/>
    </row>
    <row r="239" spans="1:18">
      <c r="A239" t="s">
        <v>265</v>
      </c>
      <c r="B239" t="s">
        <v>19</v>
      </c>
      <c r="C239" t="s">
        <v>15</v>
      </c>
      <c r="D239" s="5">
        <v>45931</v>
      </c>
      <c r="E239" s="5">
        <v>45934</v>
      </c>
      <c r="F239" s="5">
        <v>45935</v>
      </c>
      <c r="G239" s="5">
        <v>45942</v>
      </c>
      <c r="H239" t="s">
        <v>16</v>
      </c>
      <c r="I239" t="s">
        <v>17</v>
      </c>
      <c r="J239" s="5">
        <v>45967</v>
      </c>
      <c r="K239" s="15">
        <f t="shared" si="12"/>
        <v>3</v>
      </c>
      <c r="L239">
        <f t="shared" si="10"/>
        <v>1</v>
      </c>
      <c r="M239">
        <f t="shared" si="11"/>
        <v>7</v>
      </c>
      <c r="N239">
        <v>0</v>
      </c>
      <c r="O239">
        <f>DATEDIF(Table1[[#This Row],[lead_date]], Table1[[#This Row],[delivery_date]], "d")</f>
        <v>11</v>
      </c>
      <c r="P239" s="5" t="str">
        <f>IF(AND(Table1[[#This Row],[customer_rating]]&gt;=8, Table1[[#This Row],[Tat_day]]&lt;=7, Table1[[#This Row],[lead_type]]="Hot"), "High", "Normal")</f>
        <v>Normal</v>
      </c>
      <c r="Q239" s="5" t="str">
        <f>IF(Table1[[#This Row],[customer_rating]]&gt;=9,"Promoter",IF(Table1[[#This Row],[customer_rating]]&gt;=7,"Passive","Detractor"))</f>
        <v>Detractor</v>
      </c>
      <c r="R239" s="5"/>
    </row>
    <row r="240" spans="1:18">
      <c r="A240" t="s">
        <v>266</v>
      </c>
      <c r="B240" t="s">
        <v>32</v>
      </c>
      <c r="C240" t="s">
        <v>15</v>
      </c>
      <c r="D240" s="5">
        <v>45944</v>
      </c>
      <c r="E240" s="5">
        <v>45946</v>
      </c>
      <c r="F240" s="5">
        <v>45949</v>
      </c>
      <c r="G240" s="5">
        <v>45951</v>
      </c>
      <c r="H240" t="s">
        <v>16</v>
      </c>
      <c r="I240" t="s">
        <v>17</v>
      </c>
      <c r="J240" s="5">
        <v>45967</v>
      </c>
      <c r="K240" s="15">
        <f t="shared" si="12"/>
        <v>2</v>
      </c>
      <c r="L240">
        <f t="shared" si="10"/>
        <v>3</v>
      </c>
      <c r="M240">
        <f t="shared" si="11"/>
        <v>2</v>
      </c>
      <c r="N240">
        <v>1</v>
      </c>
      <c r="O240">
        <f>DATEDIF(Table1[[#This Row],[lead_date]], Table1[[#This Row],[delivery_date]], "d")</f>
        <v>7</v>
      </c>
      <c r="P240" s="5" t="str">
        <f>IF(AND(Table1[[#This Row],[customer_rating]]&gt;=8, Table1[[#This Row],[Tat_day]]&lt;=7, Table1[[#This Row],[lead_type]]="Hot"), "High", "Normal")</f>
        <v>Normal</v>
      </c>
      <c r="Q240" s="5" t="str">
        <f>IF(Table1[[#This Row],[customer_rating]]&gt;=9,"Promoter",IF(Table1[[#This Row],[customer_rating]]&gt;=7,"Passive","Detractor"))</f>
        <v>Detractor</v>
      </c>
      <c r="R240" s="5"/>
    </row>
    <row r="241" spans="1:18">
      <c r="A241" t="s">
        <v>267</v>
      </c>
      <c r="B241" t="s">
        <v>21</v>
      </c>
      <c r="C241" t="s">
        <v>30</v>
      </c>
      <c r="D241" s="5">
        <v>45945</v>
      </c>
      <c r="E241" s="5">
        <v>45947</v>
      </c>
      <c r="F241" s="5">
        <v>45951</v>
      </c>
      <c r="G241" s="5">
        <v>45954</v>
      </c>
      <c r="H241" t="s">
        <v>23</v>
      </c>
      <c r="I241" t="s">
        <v>63</v>
      </c>
      <c r="K241" s="15">
        <f t="shared" si="12"/>
        <v>2</v>
      </c>
      <c r="L241">
        <f t="shared" si="10"/>
        <v>4</v>
      </c>
      <c r="M241">
        <f t="shared" si="11"/>
        <v>3</v>
      </c>
      <c r="O241">
        <f>DATEDIF(Table1[[#This Row],[lead_date]], Table1[[#This Row],[delivery_date]], "d")</f>
        <v>9</v>
      </c>
      <c r="P241" s="5" t="str">
        <f>IF(AND(Table1[[#This Row],[customer_rating]]&gt;=8, Table1[[#This Row],[Tat_day]]&lt;=7, Table1[[#This Row],[lead_type]]="Hot"), "High", "Normal")</f>
        <v>Normal</v>
      </c>
      <c r="Q241" s="5" t="str">
        <f>IF(Table1[[#This Row],[customer_rating]]&gt;=9,"Promoter",IF(Table1[[#This Row],[customer_rating]]&gt;=7,"Passive","Detractor"))</f>
        <v>Detractor</v>
      </c>
      <c r="R241" s="5"/>
    </row>
    <row r="242" spans="1:18">
      <c r="A242" t="s">
        <v>268</v>
      </c>
      <c r="B242" t="s">
        <v>19</v>
      </c>
      <c r="C242" t="s">
        <v>15</v>
      </c>
      <c r="D242" s="5">
        <v>45953</v>
      </c>
      <c r="E242" s="5">
        <v>45954</v>
      </c>
      <c r="F242" s="5">
        <v>45956</v>
      </c>
      <c r="G242" s="5">
        <v>45961</v>
      </c>
      <c r="H242" t="s">
        <v>16</v>
      </c>
      <c r="I242" t="s">
        <v>17</v>
      </c>
      <c r="J242" s="5">
        <v>45974</v>
      </c>
      <c r="K242" s="15">
        <f t="shared" si="12"/>
        <v>1</v>
      </c>
      <c r="L242">
        <f t="shared" si="10"/>
        <v>2</v>
      </c>
      <c r="M242">
        <f t="shared" si="11"/>
        <v>5</v>
      </c>
      <c r="N242">
        <v>9</v>
      </c>
      <c r="O242">
        <f>DATEDIF(Table1[[#This Row],[lead_date]], Table1[[#This Row],[delivery_date]], "d")</f>
        <v>8</v>
      </c>
      <c r="P242" s="5" t="str">
        <f>IF(AND(Table1[[#This Row],[customer_rating]]&gt;=8, Table1[[#This Row],[Tat_day]]&lt;=7, Table1[[#This Row],[lead_type]]="Hot"), "High", "Normal")</f>
        <v>Normal</v>
      </c>
      <c r="Q242" s="5" t="str">
        <f>IF(Table1[[#This Row],[customer_rating]]&gt;=9,"Promoter",IF(Table1[[#This Row],[customer_rating]]&gt;=7,"Passive","Detractor"))</f>
        <v>Promoter</v>
      </c>
      <c r="R242" s="5"/>
    </row>
    <row r="243" spans="1:18">
      <c r="A243" t="s">
        <v>269</v>
      </c>
      <c r="B243" t="s">
        <v>32</v>
      </c>
      <c r="C243" t="s">
        <v>30</v>
      </c>
      <c r="D243" s="5">
        <v>45950</v>
      </c>
      <c r="E243" s="5">
        <v>45952</v>
      </c>
      <c r="F243" s="5">
        <v>45956</v>
      </c>
      <c r="G243" s="5">
        <v>45958</v>
      </c>
      <c r="H243" t="s">
        <v>16</v>
      </c>
      <c r="I243" t="s">
        <v>17</v>
      </c>
      <c r="J243" s="5">
        <v>45968</v>
      </c>
      <c r="K243" s="15">
        <f t="shared" si="12"/>
        <v>2</v>
      </c>
      <c r="L243">
        <f t="shared" si="10"/>
        <v>4</v>
      </c>
      <c r="M243">
        <f t="shared" si="11"/>
        <v>2</v>
      </c>
      <c r="N243">
        <v>1</v>
      </c>
      <c r="O243">
        <f>DATEDIF(Table1[[#This Row],[lead_date]], Table1[[#This Row],[delivery_date]], "d")</f>
        <v>8</v>
      </c>
      <c r="P243" s="5" t="str">
        <f>IF(AND(Table1[[#This Row],[customer_rating]]&gt;=8, Table1[[#This Row],[Tat_day]]&lt;=7, Table1[[#This Row],[lead_type]]="Hot"), "High", "Normal")</f>
        <v>Normal</v>
      </c>
      <c r="Q243" s="5" t="str">
        <f>IF(Table1[[#This Row],[customer_rating]]&gt;=9,"Promoter",IF(Table1[[#This Row],[customer_rating]]&gt;=7,"Passive","Detractor"))</f>
        <v>Detractor</v>
      </c>
      <c r="R243" s="5"/>
    </row>
    <row r="244" spans="1:18">
      <c r="A244" t="s">
        <v>270</v>
      </c>
      <c r="B244" t="s">
        <v>19</v>
      </c>
      <c r="C244" t="s">
        <v>22</v>
      </c>
      <c r="D244" s="5">
        <v>45946</v>
      </c>
      <c r="H244" t="s">
        <v>23</v>
      </c>
      <c r="I244" t="s">
        <v>24</v>
      </c>
      <c r="K244" s="15" t="str">
        <f t="shared" si="12"/>
        <v/>
      </c>
      <c r="L244" t="str">
        <f t="shared" si="10"/>
        <v/>
      </c>
      <c r="M244" t="str">
        <f t="shared" si="11"/>
        <v/>
      </c>
      <c r="O244"/>
      <c r="P244" s="5" t="str">
        <f>IF(AND(Table1[[#This Row],[customer_rating]]&gt;=8, Table1[[#This Row],[Tat_day]]&lt;=7, Table1[[#This Row],[lead_type]]="Hot"), "High", "Normal")</f>
        <v>Normal</v>
      </c>
      <c r="Q244" s="5" t="str">
        <f>IF(Table1[[#This Row],[customer_rating]]&gt;=9,"Promoter",IF(Table1[[#This Row],[customer_rating]]&gt;=7,"Passive","Detractor"))</f>
        <v>Detractor</v>
      </c>
      <c r="R244" s="5"/>
    </row>
    <row r="245" spans="1:18">
      <c r="A245" t="s">
        <v>271</v>
      </c>
      <c r="B245" t="s">
        <v>14</v>
      </c>
      <c r="C245" t="s">
        <v>22</v>
      </c>
      <c r="D245" s="5">
        <v>45940</v>
      </c>
      <c r="H245" t="s">
        <v>23</v>
      </c>
      <c r="I245" t="s">
        <v>63</v>
      </c>
      <c r="K245" s="15" t="str">
        <f t="shared" si="12"/>
        <v/>
      </c>
      <c r="L245" t="str">
        <f t="shared" si="10"/>
        <v/>
      </c>
      <c r="M245" t="str">
        <f t="shared" si="11"/>
        <v/>
      </c>
      <c r="O245"/>
      <c r="P245" s="5" t="str">
        <f>IF(AND(Table1[[#This Row],[customer_rating]]&gt;=8, Table1[[#This Row],[Tat_day]]&lt;=7, Table1[[#This Row],[lead_type]]="Hot"), "High", "Normal")</f>
        <v>Normal</v>
      </c>
      <c r="Q245" s="5" t="str">
        <f>IF(Table1[[#This Row],[customer_rating]]&gt;=9,"Promoter",IF(Table1[[#This Row],[customer_rating]]&gt;=7,"Passive","Detractor"))</f>
        <v>Detractor</v>
      </c>
      <c r="R245" s="5"/>
    </row>
    <row r="246" spans="1:18">
      <c r="A246" t="s">
        <v>272</v>
      </c>
      <c r="B246" t="s">
        <v>19</v>
      </c>
      <c r="C246" t="s">
        <v>30</v>
      </c>
      <c r="D246" s="5">
        <v>45932</v>
      </c>
      <c r="E246" s="5">
        <v>45935</v>
      </c>
      <c r="F246" s="5">
        <v>45938</v>
      </c>
      <c r="G246" s="5">
        <v>45942</v>
      </c>
      <c r="H246" t="s">
        <v>16</v>
      </c>
      <c r="I246" t="s">
        <v>17</v>
      </c>
      <c r="J246" s="5">
        <v>45958</v>
      </c>
      <c r="K246" s="15">
        <f t="shared" si="12"/>
        <v>3</v>
      </c>
      <c r="L246">
        <f t="shared" si="10"/>
        <v>3</v>
      </c>
      <c r="M246">
        <f t="shared" si="11"/>
        <v>4</v>
      </c>
      <c r="N246">
        <v>6</v>
      </c>
      <c r="O246">
        <f>DATEDIF(Table1[[#This Row],[lead_date]], Table1[[#This Row],[delivery_date]], "d")</f>
        <v>10</v>
      </c>
      <c r="P246" s="5" t="str">
        <f>IF(AND(Table1[[#This Row],[customer_rating]]&gt;=8, Table1[[#This Row],[Tat_day]]&lt;=7, Table1[[#This Row],[lead_type]]="Hot"), "High", "Normal")</f>
        <v>Normal</v>
      </c>
      <c r="Q246" s="5" t="str">
        <f>IF(Table1[[#This Row],[customer_rating]]&gt;=9,"Promoter",IF(Table1[[#This Row],[customer_rating]]&gt;=7,"Passive","Detractor"))</f>
        <v>Detractor</v>
      </c>
      <c r="R246" s="5"/>
    </row>
    <row r="247" spans="1:18">
      <c r="A247" t="s">
        <v>273</v>
      </c>
      <c r="B247" t="s">
        <v>19</v>
      </c>
      <c r="C247" t="s">
        <v>15</v>
      </c>
      <c r="D247" s="5">
        <v>45938</v>
      </c>
      <c r="E247" s="5">
        <v>45940</v>
      </c>
      <c r="F247" s="5">
        <v>45943</v>
      </c>
      <c r="G247" s="5">
        <v>45950</v>
      </c>
      <c r="H247" t="s">
        <v>23</v>
      </c>
      <c r="I247" t="s">
        <v>33</v>
      </c>
      <c r="K247" s="15">
        <f t="shared" si="12"/>
        <v>2</v>
      </c>
      <c r="L247">
        <f t="shared" si="10"/>
        <v>3</v>
      </c>
      <c r="M247">
        <f t="shared" si="11"/>
        <v>7</v>
      </c>
      <c r="O247">
        <f>DATEDIF(Table1[[#This Row],[lead_date]], Table1[[#This Row],[delivery_date]], "d")</f>
        <v>12</v>
      </c>
      <c r="P247" s="5" t="str">
        <f>IF(AND(Table1[[#This Row],[customer_rating]]&gt;=8, Table1[[#This Row],[Tat_day]]&lt;=7, Table1[[#This Row],[lead_type]]="Hot"), "High", "Normal")</f>
        <v>Normal</v>
      </c>
      <c r="Q247" s="5" t="str">
        <f>IF(Table1[[#This Row],[customer_rating]]&gt;=9,"Promoter",IF(Table1[[#This Row],[customer_rating]]&gt;=7,"Passive","Detractor"))</f>
        <v>Detractor</v>
      </c>
      <c r="R247" s="5"/>
    </row>
    <row r="248" spans="1:18">
      <c r="A248" t="s">
        <v>274</v>
      </c>
      <c r="B248" t="s">
        <v>21</v>
      </c>
      <c r="C248" t="s">
        <v>30</v>
      </c>
      <c r="D248" s="5">
        <v>45940</v>
      </c>
      <c r="E248" s="5">
        <v>45942</v>
      </c>
      <c r="F248" s="5">
        <v>45945</v>
      </c>
      <c r="G248" s="5">
        <v>45948</v>
      </c>
      <c r="H248" t="s">
        <v>16</v>
      </c>
      <c r="I248" t="s">
        <v>17</v>
      </c>
      <c r="J248" s="5">
        <v>45963</v>
      </c>
      <c r="K248" s="15">
        <f t="shared" si="12"/>
        <v>2</v>
      </c>
      <c r="L248">
        <f t="shared" si="10"/>
        <v>3</v>
      </c>
      <c r="M248">
        <f t="shared" si="11"/>
        <v>3</v>
      </c>
      <c r="N248">
        <v>6</v>
      </c>
      <c r="O248">
        <f>DATEDIF(Table1[[#This Row],[lead_date]], Table1[[#This Row],[delivery_date]], "d")</f>
        <v>8</v>
      </c>
      <c r="P248" s="5" t="str">
        <f>IF(AND(Table1[[#This Row],[customer_rating]]&gt;=8, Table1[[#This Row],[Tat_day]]&lt;=7, Table1[[#This Row],[lead_type]]="Hot"), "High", "Normal")</f>
        <v>Normal</v>
      </c>
      <c r="Q248" s="5" t="str">
        <f>IF(Table1[[#This Row],[customer_rating]]&gt;=9,"Promoter",IF(Table1[[#This Row],[customer_rating]]&gt;=7,"Passive","Detractor"))</f>
        <v>Detractor</v>
      </c>
      <c r="R248" s="5"/>
    </row>
    <row r="249" spans="1:18">
      <c r="A249" t="s">
        <v>275</v>
      </c>
      <c r="B249" t="s">
        <v>32</v>
      </c>
      <c r="C249" t="s">
        <v>15</v>
      </c>
      <c r="D249" s="5">
        <v>45953</v>
      </c>
      <c r="E249" s="5">
        <v>45958</v>
      </c>
      <c r="F249" s="5">
        <v>45963</v>
      </c>
      <c r="G249" s="5">
        <v>45970</v>
      </c>
      <c r="H249" t="s">
        <v>16</v>
      </c>
      <c r="I249" t="s">
        <v>17</v>
      </c>
      <c r="J249" s="5">
        <v>46000</v>
      </c>
      <c r="K249" s="15">
        <f t="shared" si="12"/>
        <v>5</v>
      </c>
      <c r="L249">
        <f t="shared" si="10"/>
        <v>5</v>
      </c>
      <c r="M249">
        <f t="shared" si="11"/>
        <v>7</v>
      </c>
      <c r="N249">
        <v>4</v>
      </c>
      <c r="O249">
        <f>DATEDIF(Table1[[#This Row],[lead_date]], Table1[[#This Row],[delivery_date]], "d")</f>
        <v>17</v>
      </c>
      <c r="P249" s="5" t="str">
        <f>IF(AND(Table1[[#This Row],[customer_rating]]&gt;=8, Table1[[#This Row],[Tat_day]]&lt;=7, Table1[[#This Row],[lead_type]]="Hot"), "High", "Normal")</f>
        <v>Normal</v>
      </c>
      <c r="Q249" s="5" t="str">
        <f>IF(Table1[[#This Row],[customer_rating]]&gt;=9,"Promoter",IF(Table1[[#This Row],[customer_rating]]&gt;=7,"Passive","Detractor"))</f>
        <v>Detractor</v>
      </c>
      <c r="R249" s="5"/>
    </row>
    <row r="250" spans="1:18">
      <c r="A250" t="s">
        <v>276</v>
      </c>
      <c r="B250" t="s">
        <v>21</v>
      </c>
      <c r="C250" t="s">
        <v>15</v>
      </c>
      <c r="D250" s="5">
        <v>45940</v>
      </c>
      <c r="E250" s="5">
        <v>45942</v>
      </c>
      <c r="F250" s="5">
        <v>45947</v>
      </c>
      <c r="G250" s="5">
        <v>45950</v>
      </c>
      <c r="H250" t="s">
        <v>16</v>
      </c>
      <c r="I250" t="s">
        <v>17</v>
      </c>
      <c r="J250" s="5">
        <v>45969</v>
      </c>
      <c r="K250" s="15">
        <f t="shared" si="12"/>
        <v>2</v>
      </c>
      <c r="L250">
        <f t="shared" si="10"/>
        <v>5</v>
      </c>
      <c r="M250">
        <f t="shared" si="11"/>
        <v>3</v>
      </c>
      <c r="N250">
        <v>7</v>
      </c>
      <c r="O250">
        <f>DATEDIF(Table1[[#This Row],[lead_date]], Table1[[#This Row],[delivery_date]], "d")</f>
        <v>10</v>
      </c>
      <c r="P250" s="5" t="str">
        <f>IF(AND(Table1[[#This Row],[customer_rating]]&gt;=8, Table1[[#This Row],[Tat_day]]&lt;=7, Table1[[#This Row],[lead_type]]="Hot"), "High", "Normal")</f>
        <v>Normal</v>
      </c>
      <c r="Q250" s="5" t="str">
        <f>IF(Table1[[#This Row],[customer_rating]]&gt;=9,"Promoter",IF(Table1[[#This Row],[customer_rating]]&gt;=7,"Passive","Detractor"))</f>
        <v>Passive</v>
      </c>
      <c r="R250" s="5"/>
    </row>
    <row r="251" spans="1:18">
      <c r="A251" t="s">
        <v>277</v>
      </c>
      <c r="B251" t="s">
        <v>21</v>
      </c>
      <c r="C251" t="s">
        <v>30</v>
      </c>
      <c r="D251" s="5">
        <v>45953</v>
      </c>
      <c r="E251" s="5">
        <v>45954</v>
      </c>
      <c r="F251" s="5">
        <v>45955</v>
      </c>
      <c r="G251" s="5">
        <v>45958</v>
      </c>
      <c r="H251" t="s">
        <v>16</v>
      </c>
      <c r="I251" t="s">
        <v>17</v>
      </c>
      <c r="J251" s="5">
        <v>45970</v>
      </c>
      <c r="K251" s="15">
        <f t="shared" si="12"/>
        <v>1</v>
      </c>
      <c r="L251">
        <f t="shared" si="10"/>
        <v>1</v>
      </c>
      <c r="M251">
        <f t="shared" si="11"/>
        <v>3</v>
      </c>
      <c r="N251">
        <v>3</v>
      </c>
      <c r="O251">
        <f>DATEDIF(Table1[[#This Row],[lead_date]], Table1[[#This Row],[delivery_date]], "d")</f>
        <v>5</v>
      </c>
      <c r="P251" s="5" t="str">
        <f>IF(AND(Table1[[#This Row],[customer_rating]]&gt;=8, Table1[[#This Row],[Tat_day]]&lt;=7, Table1[[#This Row],[lead_type]]="Hot"), "High", "Normal")</f>
        <v>Normal</v>
      </c>
      <c r="Q251" s="5" t="str">
        <f>IF(Table1[[#This Row],[customer_rating]]&gt;=9,"Promoter",IF(Table1[[#This Row],[customer_rating]]&gt;=7,"Passive","Detractor"))</f>
        <v>Detractor</v>
      </c>
      <c r="R251" s="5"/>
    </row>
    <row r="252" spans="1:18">
      <c r="A252" t="s">
        <v>278</v>
      </c>
      <c r="B252" t="s">
        <v>21</v>
      </c>
      <c r="C252" t="s">
        <v>15</v>
      </c>
      <c r="D252" s="5">
        <v>45958</v>
      </c>
      <c r="E252" s="5">
        <v>45960</v>
      </c>
      <c r="F252" s="5">
        <v>45963</v>
      </c>
      <c r="G252" s="5">
        <v>45966</v>
      </c>
      <c r="H252" t="s">
        <v>16</v>
      </c>
      <c r="I252" t="s">
        <v>17</v>
      </c>
      <c r="J252" s="5">
        <v>45991</v>
      </c>
      <c r="K252" s="15">
        <f t="shared" si="12"/>
        <v>2</v>
      </c>
      <c r="L252">
        <f t="shared" si="10"/>
        <v>3</v>
      </c>
      <c r="M252">
        <f t="shared" si="11"/>
        <v>3</v>
      </c>
      <c r="N252">
        <v>2</v>
      </c>
      <c r="O252">
        <f>DATEDIF(Table1[[#This Row],[lead_date]], Table1[[#This Row],[delivery_date]], "d")</f>
        <v>8</v>
      </c>
      <c r="P252" s="5" t="str">
        <f>IF(AND(Table1[[#This Row],[customer_rating]]&gt;=8, Table1[[#This Row],[Tat_day]]&lt;=7, Table1[[#This Row],[lead_type]]="Hot"), "High", "Normal")</f>
        <v>Normal</v>
      </c>
      <c r="Q252" s="5" t="str">
        <f>IF(Table1[[#This Row],[customer_rating]]&gt;=9,"Promoter",IF(Table1[[#This Row],[customer_rating]]&gt;=7,"Passive","Detractor"))</f>
        <v>Detractor</v>
      </c>
      <c r="R252" s="5"/>
    </row>
    <row r="253" spans="1:18">
      <c r="A253" t="s">
        <v>279</v>
      </c>
      <c r="B253" t="s">
        <v>21</v>
      </c>
      <c r="C253" t="s">
        <v>30</v>
      </c>
      <c r="D253" s="5">
        <v>45945</v>
      </c>
      <c r="E253" s="5">
        <v>45949</v>
      </c>
      <c r="F253" s="5">
        <v>45952</v>
      </c>
      <c r="G253" s="5">
        <v>45959</v>
      </c>
      <c r="H253" t="s">
        <v>16</v>
      </c>
      <c r="I253" t="s">
        <v>17</v>
      </c>
      <c r="J253" s="5">
        <v>45972</v>
      </c>
      <c r="K253" s="15">
        <f t="shared" si="12"/>
        <v>4</v>
      </c>
      <c r="L253">
        <f t="shared" si="10"/>
        <v>3</v>
      </c>
      <c r="M253">
        <f t="shared" si="11"/>
        <v>7</v>
      </c>
      <c r="N253">
        <v>6</v>
      </c>
      <c r="O253">
        <f>DATEDIF(Table1[[#This Row],[lead_date]], Table1[[#This Row],[delivery_date]], "d")</f>
        <v>14</v>
      </c>
      <c r="P253" s="5" t="str">
        <f>IF(AND(Table1[[#This Row],[customer_rating]]&gt;=8, Table1[[#This Row],[Tat_day]]&lt;=7, Table1[[#This Row],[lead_type]]="Hot"), "High", "Normal")</f>
        <v>Normal</v>
      </c>
      <c r="Q253" s="5" t="str">
        <f>IF(Table1[[#This Row],[customer_rating]]&gt;=9,"Promoter",IF(Table1[[#This Row],[customer_rating]]&gt;=7,"Passive","Detractor"))</f>
        <v>Detractor</v>
      </c>
      <c r="R253" s="5"/>
    </row>
    <row r="254" spans="1:18">
      <c r="A254" t="s">
        <v>280</v>
      </c>
      <c r="B254" t="s">
        <v>21</v>
      </c>
      <c r="C254" t="s">
        <v>30</v>
      </c>
      <c r="D254" s="5">
        <v>45933</v>
      </c>
      <c r="E254" s="5">
        <v>45937</v>
      </c>
      <c r="F254" s="5">
        <v>45939</v>
      </c>
      <c r="G254" s="5">
        <v>45943</v>
      </c>
      <c r="H254" t="s">
        <v>16</v>
      </c>
      <c r="I254" t="s">
        <v>17</v>
      </c>
      <c r="J254" s="5">
        <v>45962</v>
      </c>
      <c r="K254" s="15">
        <f t="shared" si="12"/>
        <v>4</v>
      </c>
      <c r="L254">
        <f t="shared" si="10"/>
        <v>2</v>
      </c>
      <c r="M254">
        <f t="shared" si="11"/>
        <v>4</v>
      </c>
      <c r="N254">
        <v>10</v>
      </c>
      <c r="O254">
        <f>DATEDIF(Table1[[#This Row],[lead_date]], Table1[[#This Row],[delivery_date]], "d")</f>
        <v>10</v>
      </c>
      <c r="P254" s="5" t="str">
        <f>IF(AND(Table1[[#This Row],[customer_rating]]&gt;=8, Table1[[#This Row],[Tat_day]]&lt;=7, Table1[[#This Row],[lead_type]]="Hot"), "High", "Normal")</f>
        <v>Normal</v>
      </c>
      <c r="Q254" s="5" t="str">
        <f>IF(Table1[[#This Row],[customer_rating]]&gt;=9,"Promoter",IF(Table1[[#This Row],[customer_rating]]&gt;=7,"Passive","Detractor"))</f>
        <v>Promoter</v>
      </c>
      <c r="R254" s="5"/>
    </row>
    <row r="255" spans="1:18">
      <c r="A255" t="s">
        <v>281</v>
      </c>
      <c r="B255" t="s">
        <v>19</v>
      </c>
      <c r="C255" t="s">
        <v>15</v>
      </c>
      <c r="D255" s="5">
        <v>45952</v>
      </c>
      <c r="E255" s="5">
        <v>45957</v>
      </c>
      <c r="F255" s="5">
        <v>45958</v>
      </c>
      <c r="G255" s="5">
        <v>45961</v>
      </c>
      <c r="H255" t="s">
        <v>16</v>
      </c>
      <c r="I255" t="s">
        <v>17</v>
      </c>
      <c r="J255" s="5">
        <v>45983</v>
      </c>
      <c r="K255" s="15">
        <f t="shared" si="12"/>
        <v>5</v>
      </c>
      <c r="L255">
        <f t="shared" si="10"/>
        <v>1</v>
      </c>
      <c r="M255">
        <f t="shared" si="11"/>
        <v>3</v>
      </c>
      <c r="N255">
        <v>4</v>
      </c>
      <c r="O255">
        <f>DATEDIF(Table1[[#This Row],[lead_date]], Table1[[#This Row],[delivery_date]], "d")</f>
        <v>9</v>
      </c>
      <c r="P255" s="5" t="str">
        <f>IF(AND(Table1[[#This Row],[customer_rating]]&gt;=8, Table1[[#This Row],[Tat_day]]&lt;=7, Table1[[#This Row],[lead_type]]="Hot"), "High", "Normal")</f>
        <v>Normal</v>
      </c>
      <c r="Q255" s="5" t="str">
        <f>IF(Table1[[#This Row],[customer_rating]]&gt;=9,"Promoter",IF(Table1[[#This Row],[customer_rating]]&gt;=7,"Passive","Detractor"))</f>
        <v>Detractor</v>
      </c>
      <c r="R255" s="5"/>
    </row>
    <row r="256" spans="1:18">
      <c r="A256" t="s">
        <v>282</v>
      </c>
      <c r="B256" t="s">
        <v>21</v>
      </c>
      <c r="C256" t="s">
        <v>15</v>
      </c>
      <c r="D256" s="5">
        <v>45938</v>
      </c>
      <c r="E256" s="5">
        <v>45943</v>
      </c>
      <c r="F256" s="5">
        <v>45944</v>
      </c>
      <c r="G256" s="5">
        <v>45951</v>
      </c>
      <c r="H256" t="s">
        <v>16</v>
      </c>
      <c r="I256" t="s">
        <v>17</v>
      </c>
      <c r="J256" s="5">
        <v>45976</v>
      </c>
      <c r="K256" s="15">
        <f t="shared" si="12"/>
        <v>5</v>
      </c>
      <c r="L256">
        <f t="shared" si="10"/>
        <v>1</v>
      </c>
      <c r="M256">
        <f t="shared" si="11"/>
        <v>7</v>
      </c>
      <c r="N256">
        <v>5</v>
      </c>
      <c r="O256">
        <f>DATEDIF(Table1[[#This Row],[lead_date]], Table1[[#This Row],[delivery_date]], "d")</f>
        <v>13</v>
      </c>
      <c r="P256" s="5" t="str">
        <f>IF(AND(Table1[[#This Row],[customer_rating]]&gt;=8, Table1[[#This Row],[Tat_day]]&lt;=7, Table1[[#This Row],[lead_type]]="Hot"), "High", "Normal")</f>
        <v>Normal</v>
      </c>
      <c r="Q256" s="5" t="str">
        <f>IF(Table1[[#This Row],[customer_rating]]&gt;=9,"Promoter",IF(Table1[[#This Row],[customer_rating]]&gt;=7,"Passive","Detractor"))</f>
        <v>Detractor</v>
      </c>
      <c r="R256" s="5"/>
    </row>
    <row r="257" spans="1:18">
      <c r="A257" t="s">
        <v>283</v>
      </c>
      <c r="B257" t="s">
        <v>21</v>
      </c>
      <c r="C257" t="s">
        <v>15</v>
      </c>
      <c r="D257" s="5">
        <v>45960</v>
      </c>
      <c r="E257" s="5">
        <v>45964</v>
      </c>
      <c r="F257" s="5">
        <v>45968</v>
      </c>
      <c r="G257" s="5">
        <v>45973</v>
      </c>
      <c r="H257" t="s">
        <v>23</v>
      </c>
      <c r="I257" t="s">
        <v>1028</v>
      </c>
      <c r="K257" s="15">
        <f t="shared" si="12"/>
        <v>4</v>
      </c>
      <c r="L257">
        <f t="shared" si="10"/>
        <v>4</v>
      </c>
      <c r="M257">
        <f t="shared" si="11"/>
        <v>5</v>
      </c>
      <c r="O257">
        <f>DATEDIF(Table1[[#This Row],[lead_date]], Table1[[#This Row],[delivery_date]], "d")</f>
        <v>13</v>
      </c>
      <c r="P257" s="5" t="str">
        <f>IF(AND(Table1[[#This Row],[customer_rating]]&gt;=8, Table1[[#This Row],[Tat_day]]&lt;=7, Table1[[#This Row],[lead_type]]="Hot"), "High", "Normal")</f>
        <v>Normal</v>
      </c>
      <c r="Q257" s="5" t="str">
        <f>IF(Table1[[#This Row],[customer_rating]]&gt;=9,"Promoter",IF(Table1[[#This Row],[customer_rating]]&gt;=7,"Passive","Detractor"))</f>
        <v>Detractor</v>
      </c>
      <c r="R257" s="5"/>
    </row>
    <row r="258" spans="1:18">
      <c r="A258" t="s">
        <v>284</v>
      </c>
      <c r="B258" t="s">
        <v>32</v>
      </c>
      <c r="C258" t="s">
        <v>15</v>
      </c>
      <c r="D258" s="5">
        <v>45939</v>
      </c>
      <c r="E258" s="5">
        <v>45944</v>
      </c>
      <c r="F258" s="5">
        <v>45947</v>
      </c>
      <c r="G258" s="5">
        <v>45952</v>
      </c>
      <c r="H258" t="s">
        <v>16</v>
      </c>
      <c r="I258" t="s">
        <v>17</v>
      </c>
      <c r="J258" s="5">
        <v>45977</v>
      </c>
      <c r="K258" s="15">
        <f t="shared" si="12"/>
        <v>5</v>
      </c>
      <c r="L258">
        <f t="shared" si="10"/>
        <v>3</v>
      </c>
      <c r="M258">
        <f t="shared" si="11"/>
        <v>5</v>
      </c>
      <c r="N258">
        <v>3</v>
      </c>
      <c r="O258">
        <f>DATEDIF(Table1[[#This Row],[lead_date]], Table1[[#This Row],[delivery_date]], "d")</f>
        <v>13</v>
      </c>
      <c r="P258" s="5" t="str">
        <f>IF(AND(Table1[[#This Row],[customer_rating]]&gt;=8, Table1[[#This Row],[Tat_day]]&lt;=7, Table1[[#This Row],[lead_type]]="Hot"), "High", "Normal")</f>
        <v>Normal</v>
      </c>
      <c r="Q258" s="5" t="str">
        <f>IF(Table1[[#This Row],[customer_rating]]&gt;=9,"Promoter",IF(Table1[[#This Row],[customer_rating]]&gt;=7,"Passive","Detractor"))</f>
        <v>Detractor</v>
      </c>
      <c r="R258" s="5"/>
    </row>
    <row r="259" spans="1:18">
      <c r="A259" t="s">
        <v>285</v>
      </c>
      <c r="B259" t="s">
        <v>14</v>
      </c>
      <c r="C259" t="s">
        <v>22</v>
      </c>
      <c r="D259" s="5">
        <v>45956</v>
      </c>
      <c r="H259" t="s">
        <v>23</v>
      </c>
      <c r="I259" t="s">
        <v>63</v>
      </c>
      <c r="K259" s="15" t="str">
        <f t="shared" si="12"/>
        <v/>
      </c>
      <c r="L259" t="str">
        <f t="shared" ref="L259:L322" si="13">IF(OR(E259="", F259=""), "", INT(F259 - E259))</f>
        <v/>
      </c>
      <c r="M259" t="str">
        <f t="shared" ref="M259:M322" si="14">IF(OR(F259="", G259=""), "", INT(G259 - F259))</f>
        <v/>
      </c>
      <c r="O259"/>
      <c r="P259" s="5" t="str">
        <f>IF(AND(Table1[[#This Row],[customer_rating]]&gt;=8, Table1[[#This Row],[Tat_day]]&lt;=7, Table1[[#This Row],[lead_type]]="Hot"), "High", "Normal")</f>
        <v>Normal</v>
      </c>
      <c r="Q259" s="5" t="str">
        <f>IF(Table1[[#This Row],[customer_rating]]&gt;=9,"Promoter",IF(Table1[[#This Row],[customer_rating]]&gt;=7,"Passive","Detractor"))</f>
        <v>Detractor</v>
      </c>
      <c r="R259" s="5"/>
    </row>
    <row r="260" spans="1:18">
      <c r="A260" t="s">
        <v>286</v>
      </c>
      <c r="B260" t="s">
        <v>19</v>
      </c>
      <c r="C260" t="s">
        <v>30</v>
      </c>
      <c r="D260" s="5">
        <v>45956</v>
      </c>
      <c r="E260" s="5">
        <v>45961</v>
      </c>
      <c r="F260" s="5">
        <v>45963</v>
      </c>
      <c r="G260" s="5">
        <v>45966</v>
      </c>
      <c r="H260" t="s">
        <v>23</v>
      </c>
      <c r="I260" t="s">
        <v>63</v>
      </c>
      <c r="K260" s="15">
        <f t="shared" si="12"/>
        <v>5</v>
      </c>
      <c r="L260">
        <f t="shared" si="13"/>
        <v>2</v>
      </c>
      <c r="M260">
        <f t="shared" si="14"/>
        <v>3</v>
      </c>
      <c r="O260">
        <f>DATEDIF(Table1[[#This Row],[lead_date]], Table1[[#This Row],[delivery_date]], "d")</f>
        <v>10</v>
      </c>
      <c r="P260" s="5" t="str">
        <f>IF(AND(Table1[[#This Row],[customer_rating]]&gt;=8, Table1[[#This Row],[Tat_day]]&lt;=7, Table1[[#This Row],[lead_type]]="Hot"), "High", "Normal")</f>
        <v>Normal</v>
      </c>
      <c r="Q260" s="5" t="str">
        <f>IF(Table1[[#This Row],[customer_rating]]&gt;=9,"Promoter",IF(Table1[[#This Row],[customer_rating]]&gt;=7,"Passive","Detractor"))</f>
        <v>Detractor</v>
      </c>
      <c r="R260" s="5"/>
    </row>
    <row r="261" spans="1:18">
      <c r="A261" t="s">
        <v>287</v>
      </c>
      <c r="B261" t="s">
        <v>19</v>
      </c>
      <c r="C261" t="s">
        <v>15</v>
      </c>
      <c r="D261" s="5">
        <v>45951</v>
      </c>
      <c r="E261" s="5">
        <v>45954</v>
      </c>
      <c r="F261" s="5">
        <v>45958</v>
      </c>
      <c r="G261" s="5">
        <v>45964</v>
      </c>
      <c r="H261" t="s">
        <v>16</v>
      </c>
      <c r="I261" t="s">
        <v>17</v>
      </c>
      <c r="J261" s="5">
        <v>45982</v>
      </c>
      <c r="K261" s="15">
        <f t="shared" si="12"/>
        <v>3</v>
      </c>
      <c r="L261">
        <f t="shared" si="13"/>
        <v>4</v>
      </c>
      <c r="M261">
        <f t="shared" si="14"/>
        <v>6</v>
      </c>
      <c r="N261">
        <v>4</v>
      </c>
      <c r="O261">
        <f>DATEDIF(Table1[[#This Row],[lead_date]], Table1[[#This Row],[delivery_date]], "d")</f>
        <v>13</v>
      </c>
      <c r="P261" s="5" t="str">
        <f>IF(AND(Table1[[#This Row],[customer_rating]]&gt;=8, Table1[[#This Row],[Tat_day]]&lt;=7, Table1[[#This Row],[lead_type]]="Hot"), "High", "Normal")</f>
        <v>Normal</v>
      </c>
      <c r="Q261" s="5" t="str">
        <f>IF(Table1[[#This Row],[customer_rating]]&gt;=9,"Promoter",IF(Table1[[#This Row],[customer_rating]]&gt;=7,"Passive","Detractor"))</f>
        <v>Detractor</v>
      </c>
      <c r="R261" s="5"/>
    </row>
    <row r="262" spans="1:18">
      <c r="A262" t="s">
        <v>288</v>
      </c>
      <c r="B262" t="s">
        <v>19</v>
      </c>
      <c r="C262" t="s">
        <v>15</v>
      </c>
      <c r="D262" s="5">
        <v>45949</v>
      </c>
      <c r="E262" s="5">
        <v>45952</v>
      </c>
      <c r="F262" s="5">
        <v>45957</v>
      </c>
      <c r="G262" s="5">
        <v>45964</v>
      </c>
      <c r="H262" t="s">
        <v>16</v>
      </c>
      <c r="I262" t="s">
        <v>17</v>
      </c>
      <c r="J262" s="5">
        <v>45976</v>
      </c>
      <c r="K262" s="15">
        <f t="shared" si="12"/>
        <v>3</v>
      </c>
      <c r="L262">
        <f t="shared" si="13"/>
        <v>5</v>
      </c>
      <c r="M262">
        <f t="shared" si="14"/>
        <v>7</v>
      </c>
      <c r="N262">
        <v>2</v>
      </c>
      <c r="O262">
        <f>DATEDIF(Table1[[#This Row],[lead_date]], Table1[[#This Row],[delivery_date]], "d")</f>
        <v>15</v>
      </c>
      <c r="P262" s="5" t="str">
        <f>IF(AND(Table1[[#This Row],[customer_rating]]&gt;=8, Table1[[#This Row],[Tat_day]]&lt;=7, Table1[[#This Row],[lead_type]]="Hot"), "High", "Normal")</f>
        <v>Normal</v>
      </c>
      <c r="Q262" s="5" t="str">
        <f>IF(Table1[[#This Row],[customer_rating]]&gt;=9,"Promoter",IF(Table1[[#This Row],[customer_rating]]&gt;=7,"Passive","Detractor"))</f>
        <v>Detractor</v>
      </c>
      <c r="R262" s="5"/>
    </row>
    <row r="263" spans="1:18">
      <c r="A263" t="s">
        <v>289</v>
      </c>
      <c r="B263" t="s">
        <v>21</v>
      </c>
      <c r="C263" t="s">
        <v>15</v>
      </c>
      <c r="D263" s="5">
        <v>45952</v>
      </c>
      <c r="E263" s="5">
        <v>45954</v>
      </c>
      <c r="F263" s="5">
        <v>45957</v>
      </c>
      <c r="G263" s="5">
        <v>45961</v>
      </c>
      <c r="H263" t="s">
        <v>16</v>
      </c>
      <c r="I263" t="s">
        <v>17</v>
      </c>
      <c r="J263" s="5">
        <v>45991</v>
      </c>
      <c r="K263" s="15">
        <f t="shared" si="12"/>
        <v>2</v>
      </c>
      <c r="L263">
        <f t="shared" si="13"/>
        <v>3</v>
      </c>
      <c r="M263">
        <f t="shared" si="14"/>
        <v>4</v>
      </c>
      <c r="N263">
        <v>9</v>
      </c>
      <c r="O263">
        <f>DATEDIF(Table1[[#This Row],[lead_date]], Table1[[#This Row],[delivery_date]], "d")</f>
        <v>9</v>
      </c>
      <c r="P263" s="5" t="str">
        <f>IF(AND(Table1[[#This Row],[customer_rating]]&gt;=8, Table1[[#This Row],[Tat_day]]&lt;=7, Table1[[#This Row],[lead_type]]="Hot"), "High", "Normal")</f>
        <v>Normal</v>
      </c>
      <c r="Q263" s="5" t="str">
        <f>IF(Table1[[#This Row],[customer_rating]]&gt;=9,"Promoter",IF(Table1[[#This Row],[customer_rating]]&gt;=7,"Passive","Detractor"))</f>
        <v>Promoter</v>
      </c>
      <c r="R263" s="5"/>
    </row>
    <row r="264" spans="1:18">
      <c r="A264" t="s">
        <v>290</v>
      </c>
      <c r="B264" t="s">
        <v>21</v>
      </c>
      <c r="C264" t="s">
        <v>22</v>
      </c>
      <c r="D264" s="5">
        <v>45956</v>
      </c>
      <c r="H264" t="s">
        <v>23</v>
      </c>
      <c r="I264" t="s">
        <v>24</v>
      </c>
      <c r="K264" s="15" t="str">
        <f t="shared" si="12"/>
        <v/>
      </c>
      <c r="L264" t="str">
        <f t="shared" si="13"/>
        <v/>
      </c>
      <c r="M264" t="str">
        <f t="shared" si="14"/>
        <v/>
      </c>
      <c r="O264"/>
      <c r="P264" s="5" t="str">
        <f>IF(AND(Table1[[#This Row],[customer_rating]]&gt;=8, Table1[[#This Row],[Tat_day]]&lt;=7, Table1[[#This Row],[lead_type]]="Hot"), "High", "Normal")</f>
        <v>Normal</v>
      </c>
      <c r="Q264" s="5" t="str">
        <f>IF(Table1[[#This Row],[customer_rating]]&gt;=9,"Promoter",IF(Table1[[#This Row],[customer_rating]]&gt;=7,"Passive","Detractor"))</f>
        <v>Detractor</v>
      </c>
      <c r="R264" s="5"/>
    </row>
    <row r="265" spans="1:18">
      <c r="A265" t="s">
        <v>291</v>
      </c>
      <c r="B265" t="s">
        <v>21</v>
      </c>
      <c r="C265" t="s">
        <v>15</v>
      </c>
      <c r="D265" s="5">
        <v>45960</v>
      </c>
      <c r="E265" s="5">
        <v>45964</v>
      </c>
      <c r="F265" s="5">
        <v>45965</v>
      </c>
      <c r="G265" s="5">
        <v>45972</v>
      </c>
      <c r="H265" t="s">
        <v>16</v>
      </c>
      <c r="I265" t="s">
        <v>17</v>
      </c>
      <c r="J265" s="5">
        <v>45999</v>
      </c>
      <c r="K265" s="15">
        <f t="shared" ref="K265:K328" si="15">IF(OR(D265="",E265=""),"",INT(E265-D265))</f>
        <v>4</v>
      </c>
      <c r="L265">
        <f t="shared" si="13"/>
        <v>1</v>
      </c>
      <c r="M265">
        <f t="shared" si="14"/>
        <v>7</v>
      </c>
      <c r="N265">
        <v>5</v>
      </c>
      <c r="O265">
        <f>DATEDIF(Table1[[#This Row],[lead_date]], Table1[[#This Row],[delivery_date]], "d")</f>
        <v>12</v>
      </c>
      <c r="P265" s="5" t="str">
        <f>IF(AND(Table1[[#This Row],[customer_rating]]&gt;=8, Table1[[#This Row],[Tat_day]]&lt;=7, Table1[[#This Row],[lead_type]]="Hot"), "High", "Normal")</f>
        <v>Normal</v>
      </c>
      <c r="Q265" s="5" t="str">
        <f>IF(Table1[[#This Row],[customer_rating]]&gt;=9,"Promoter",IF(Table1[[#This Row],[customer_rating]]&gt;=7,"Passive","Detractor"))</f>
        <v>Detractor</v>
      </c>
      <c r="R265" s="5"/>
    </row>
    <row r="266" spans="1:18">
      <c r="A266" t="s">
        <v>292</v>
      </c>
      <c r="B266" t="s">
        <v>32</v>
      </c>
      <c r="C266" t="s">
        <v>15</v>
      </c>
      <c r="D266" s="5">
        <v>45937</v>
      </c>
      <c r="E266" s="5">
        <v>45938</v>
      </c>
      <c r="F266" s="5">
        <v>45941</v>
      </c>
      <c r="G266" s="5">
        <v>45946</v>
      </c>
      <c r="H266" t="s">
        <v>16</v>
      </c>
      <c r="I266" t="s">
        <v>17</v>
      </c>
      <c r="J266" s="5">
        <v>45968</v>
      </c>
      <c r="K266" s="15">
        <f t="shared" si="15"/>
        <v>1</v>
      </c>
      <c r="L266">
        <f t="shared" si="13"/>
        <v>3</v>
      </c>
      <c r="M266">
        <f t="shared" si="14"/>
        <v>5</v>
      </c>
      <c r="N266">
        <v>7</v>
      </c>
      <c r="O266">
        <f>DATEDIF(Table1[[#This Row],[lead_date]], Table1[[#This Row],[delivery_date]], "d")</f>
        <v>9</v>
      </c>
      <c r="P266" s="5" t="str">
        <f>IF(AND(Table1[[#This Row],[customer_rating]]&gt;=8, Table1[[#This Row],[Tat_day]]&lt;=7, Table1[[#This Row],[lead_type]]="Hot"), "High", "Normal")</f>
        <v>Normal</v>
      </c>
      <c r="Q266" s="5" t="str">
        <f>IF(Table1[[#This Row],[customer_rating]]&gt;=9,"Promoter",IF(Table1[[#This Row],[customer_rating]]&gt;=7,"Passive","Detractor"))</f>
        <v>Passive</v>
      </c>
      <c r="R266" s="5"/>
    </row>
    <row r="267" spans="1:18">
      <c r="A267" t="s">
        <v>293</v>
      </c>
      <c r="B267" t="s">
        <v>14</v>
      </c>
      <c r="C267" t="s">
        <v>15</v>
      </c>
      <c r="D267" s="5">
        <v>45944</v>
      </c>
      <c r="E267" s="5">
        <v>45948</v>
      </c>
      <c r="F267" s="5">
        <v>45951</v>
      </c>
      <c r="G267" s="5">
        <v>45956</v>
      </c>
      <c r="H267" t="s">
        <v>16</v>
      </c>
      <c r="I267" t="s">
        <v>17</v>
      </c>
      <c r="J267" s="5">
        <v>45971</v>
      </c>
      <c r="K267" s="15">
        <f t="shared" si="15"/>
        <v>4</v>
      </c>
      <c r="L267">
        <f t="shared" si="13"/>
        <v>3</v>
      </c>
      <c r="M267">
        <f t="shared" si="14"/>
        <v>5</v>
      </c>
      <c r="N267">
        <v>5</v>
      </c>
      <c r="O267">
        <f>DATEDIF(Table1[[#This Row],[lead_date]], Table1[[#This Row],[delivery_date]], "d")</f>
        <v>12</v>
      </c>
      <c r="P267" s="5" t="str">
        <f>IF(AND(Table1[[#This Row],[customer_rating]]&gt;=8, Table1[[#This Row],[Tat_day]]&lt;=7, Table1[[#This Row],[lead_type]]="Hot"), "High", "Normal")</f>
        <v>Normal</v>
      </c>
      <c r="Q267" s="5" t="str">
        <f>IF(Table1[[#This Row],[customer_rating]]&gt;=9,"Promoter",IF(Table1[[#This Row],[customer_rating]]&gt;=7,"Passive","Detractor"))</f>
        <v>Detractor</v>
      </c>
      <c r="R267" s="5"/>
    </row>
    <row r="268" spans="1:18">
      <c r="A268" t="s">
        <v>294</v>
      </c>
      <c r="B268" t="s">
        <v>21</v>
      </c>
      <c r="C268" t="s">
        <v>22</v>
      </c>
      <c r="D268" s="5">
        <v>45934</v>
      </c>
      <c r="H268" t="s">
        <v>23</v>
      </c>
      <c r="I268" t="s">
        <v>33</v>
      </c>
      <c r="K268" s="15" t="str">
        <f t="shared" si="15"/>
        <v/>
      </c>
      <c r="L268" t="str">
        <f t="shared" si="13"/>
        <v/>
      </c>
      <c r="M268" t="str">
        <f t="shared" si="14"/>
        <v/>
      </c>
      <c r="O268"/>
      <c r="P268" s="5" t="str">
        <f>IF(AND(Table1[[#This Row],[customer_rating]]&gt;=8, Table1[[#This Row],[Tat_day]]&lt;=7, Table1[[#This Row],[lead_type]]="Hot"), "High", "Normal")</f>
        <v>Normal</v>
      </c>
      <c r="Q268" s="5" t="str">
        <f>IF(Table1[[#This Row],[customer_rating]]&gt;=9,"Promoter",IF(Table1[[#This Row],[customer_rating]]&gt;=7,"Passive","Detractor"))</f>
        <v>Detractor</v>
      </c>
      <c r="R268" s="5"/>
    </row>
    <row r="269" spans="1:18">
      <c r="A269" t="s">
        <v>295</v>
      </c>
      <c r="B269" t="s">
        <v>14</v>
      </c>
      <c r="C269" t="s">
        <v>22</v>
      </c>
      <c r="D269" s="5">
        <v>45948</v>
      </c>
      <c r="H269" t="s">
        <v>23</v>
      </c>
      <c r="I269" t="s">
        <v>1028</v>
      </c>
      <c r="K269" s="15" t="str">
        <f t="shared" si="15"/>
        <v/>
      </c>
      <c r="L269" t="str">
        <f t="shared" si="13"/>
        <v/>
      </c>
      <c r="M269" t="str">
        <f t="shared" si="14"/>
        <v/>
      </c>
      <c r="O269"/>
      <c r="P269" s="5" t="str">
        <f>IF(AND(Table1[[#This Row],[customer_rating]]&gt;=8, Table1[[#This Row],[Tat_day]]&lt;=7, Table1[[#This Row],[lead_type]]="Hot"), "High", "Normal")</f>
        <v>Normal</v>
      </c>
      <c r="Q269" s="5" t="str">
        <f>IF(Table1[[#This Row],[customer_rating]]&gt;=9,"Promoter",IF(Table1[[#This Row],[customer_rating]]&gt;=7,"Passive","Detractor"))</f>
        <v>Detractor</v>
      </c>
      <c r="R269" s="5"/>
    </row>
    <row r="270" spans="1:18">
      <c r="A270" t="s">
        <v>296</v>
      </c>
      <c r="B270" t="s">
        <v>32</v>
      </c>
      <c r="C270" t="s">
        <v>15</v>
      </c>
      <c r="D270" s="5">
        <v>45938</v>
      </c>
      <c r="E270" s="5">
        <v>45942</v>
      </c>
      <c r="F270" s="5">
        <v>45947</v>
      </c>
      <c r="G270" s="5">
        <v>45952</v>
      </c>
      <c r="H270" t="s">
        <v>16</v>
      </c>
      <c r="I270" t="s">
        <v>17</v>
      </c>
      <c r="J270" s="5">
        <v>45973</v>
      </c>
      <c r="K270" s="15">
        <f t="shared" si="15"/>
        <v>4</v>
      </c>
      <c r="L270">
        <f t="shared" si="13"/>
        <v>5</v>
      </c>
      <c r="M270">
        <f t="shared" si="14"/>
        <v>5</v>
      </c>
      <c r="N270">
        <v>6</v>
      </c>
      <c r="O270">
        <f>DATEDIF(Table1[[#This Row],[lead_date]], Table1[[#This Row],[delivery_date]], "d")</f>
        <v>14</v>
      </c>
      <c r="P270" s="5" t="str">
        <f>IF(AND(Table1[[#This Row],[customer_rating]]&gt;=8, Table1[[#This Row],[Tat_day]]&lt;=7, Table1[[#This Row],[lead_type]]="Hot"), "High", "Normal")</f>
        <v>Normal</v>
      </c>
      <c r="Q270" s="5" t="str">
        <f>IF(Table1[[#This Row],[customer_rating]]&gt;=9,"Promoter",IF(Table1[[#This Row],[customer_rating]]&gt;=7,"Passive","Detractor"))</f>
        <v>Detractor</v>
      </c>
      <c r="R270" s="5"/>
    </row>
    <row r="271" spans="1:18">
      <c r="A271" t="s">
        <v>297</v>
      </c>
      <c r="B271" t="s">
        <v>19</v>
      </c>
      <c r="C271" t="s">
        <v>15</v>
      </c>
      <c r="D271" s="5">
        <v>45951</v>
      </c>
      <c r="E271" s="5">
        <v>45954</v>
      </c>
      <c r="F271" s="5">
        <v>45956</v>
      </c>
      <c r="G271" s="5">
        <v>45958</v>
      </c>
      <c r="H271" t="s">
        <v>16</v>
      </c>
      <c r="I271" t="s">
        <v>17</v>
      </c>
      <c r="J271" s="5">
        <v>45980</v>
      </c>
      <c r="K271" s="15">
        <f t="shared" si="15"/>
        <v>3</v>
      </c>
      <c r="L271">
        <f t="shared" si="13"/>
        <v>2</v>
      </c>
      <c r="M271">
        <f t="shared" si="14"/>
        <v>2</v>
      </c>
      <c r="N271">
        <v>1</v>
      </c>
      <c r="O271">
        <f>DATEDIF(Table1[[#This Row],[lead_date]], Table1[[#This Row],[delivery_date]], "d")</f>
        <v>7</v>
      </c>
      <c r="P271" s="5" t="str">
        <f>IF(AND(Table1[[#This Row],[customer_rating]]&gt;=8, Table1[[#This Row],[Tat_day]]&lt;=7, Table1[[#This Row],[lead_type]]="Hot"), "High", "Normal")</f>
        <v>Normal</v>
      </c>
      <c r="Q271" s="5" t="str">
        <f>IF(Table1[[#This Row],[customer_rating]]&gt;=9,"Promoter",IF(Table1[[#This Row],[customer_rating]]&gt;=7,"Passive","Detractor"))</f>
        <v>Detractor</v>
      </c>
      <c r="R271" s="5"/>
    </row>
    <row r="272" spans="1:18">
      <c r="A272" t="s">
        <v>298</v>
      </c>
      <c r="B272" t="s">
        <v>21</v>
      </c>
      <c r="C272" t="s">
        <v>30</v>
      </c>
      <c r="D272" s="5">
        <v>45935</v>
      </c>
      <c r="E272" s="5">
        <v>45938</v>
      </c>
      <c r="F272" s="5">
        <v>45940</v>
      </c>
      <c r="G272" s="5">
        <v>45947</v>
      </c>
      <c r="H272" t="s">
        <v>16</v>
      </c>
      <c r="I272" t="s">
        <v>17</v>
      </c>
      <c r="J272" s="5">
        <v>45968</v>
      </c>
      <c r="K272" s="15">
        <f t="shared" si="15"/>
        <v>3</v>
      </c>
      <c r="L272">
        <f t="shared" si="13"/>
        <v>2</v>
      </c>
      <c r="M272">
        <f t="shared" si="14"/>
        <v>7</v>
      </c>
      <c r="N272">
        <v>5</v>
      </c>
      <c r="O272">
        <f>DATEDIF(Table1[[#This Row],[lead_date]], Table1[[#This Row],[delivery_date]], "d")</f>
        <v>12</v>
      </c>
      <c r="P272" s="5" t="str">
        <f>IF(AND(Table1[[#This Row],[customer_rating]]&gt;=8, Table1[[#This Row],[Tat_day]]&lt;=7, Table1[[#This Row],[lead_type]]="Hot"), "High", "Normal")</f>
        <v>Normal</v>
      </c>
      <c r="Q272" s="5" t="str">
        <f>IF(Table1[[#This Row],[customer_rating]]&gt;=9,"Promoter",IF(Table1[[#This Row],[customer_rating]]&gt;=7,"Passive","Detractor"))</f>
        <v>Detractor</v>
      </c>
      <c r="R272" s="5"/>
    </row>
    <row r="273" spans="1:18">
      <c r="A273" t="s">
        <v>299</v>
      </c>
      <c r="B273" t="s">
        <v>14</v>
      </c>
      <c r="C273" t="s">
        <v>30</v>
      </c>
      <c r="D273" s="5">
        <v>45960</v>
      </c>
      <c r="E273" s="5">
        <v>45965</v>
      </c>
      <c r="F273" s="5">
        <v>45967</v>
      </c>
      <c r="G273" s="5">
        <v>45969</v>
      </c>
      <c r="H273" t="s">
        <v>16</v>
      </c>
      <c r="I273" t="s">
        <v>17</v>
      </c>
      <c r="J273" s="5">
        <v>45984</v>
      </c>
      <c r="K273" s="15">
        <f t="shared" si="15"/>
        <v>5</v>
      </c>
      <c r="L273">
        <f t="shared" si="13"/>
        <v>2</v>
      </c>
      <c r="M273">
        <f t="shared" si="14"/>
        <v>2</v>
      </c>
      <c r="N273">
        <v>6</v>
      </c>
      <c r="O273">
        <f>DATEDIF(Table1[[#This Row],[lead_date]], Table1[[#This Row],[delivery_date]], "d")</f>
        <v>9</v>
      </c>
      <c r="P273" s="5" t="str">
        <f>IF(AND(Table1[[#This Row],[customer_rating]]&gt;=8, Table1[[#This Row],[Tat_day]]&lt;=7, Table1[[#This Row],[lead_type]]="Hot"), "High", "Normal")</f>
        <v>Normal</v>
      </c>
      <c r="Q273" s="5" t="str">
        <f>IF(Table1[[#This Row],[customer_rating]]&gt;=9,"Promoter",IF(Table1[[#This Row],[customer_rating]]&gt;=7,"Passive","Detractor"))</f>
        <v>Detractor</v>
      </c>
      <c r="R273" s="5"/>
    </row>
    <row r="274" spans="1:18">
      <c r="A274" t="s">
        <v>300</v>
      </c>
      <c r="B274" t="s">
        <v>14</v>
      </c>
      <c r="C274" t="s">
        <v>15</v>
      </c>
      <c r="D274" s="5">
        <v>45939</v>
      </c>
      <c r="E274" s="5">
        <v>45940</v>
      </c>
      <c r="F274" s="5">
        <v>45944</v>
      </c>
      <c r="G274" s="5">
        <v>45949</v>
      </c>
      <c r="H274" t="s">
        <v>16</v>
      </c>
      <c r="I274" t="s">
        <v>17</v>
      </c>
      <c r="J274" s="5">
        <v>45973</v>
      </c>
      <c r="K274" s="15">
        <f t="shared" si="15"/>
        <v>1</v>
      </c>
      <c r="L274">
        <f t="shared" si="13"/>
        <v>4</v>
      </c>
      <c r="M274">
        <f t="shared" si="14"/>
        <v>5</v>
      </c>
      <c r="N274">
        <v>9</v>
      </c>
      <c r="O274">
        <f>DATEDIF(Table1[[#This Row],[lead_date]], Table1[[#This Row],[delivery_date]], "d")</f>
        <v>10</v>
      </c>
      <c r="P274" s="5" t="str">
        <f>IF(AND(Table1[[#This Row],[customer_rating]]&gt;=8, Table1[[#This Row],[Tat_day]]&lt;=7, Table1[[#This Row],[lead_type]]="Hot"), "High", "Normal")</f>
        <v>Normal</v>
      </c>
      <c r="Q274" s="5" t="str">
        <f>IF(Table1[[#This Row],[customer_rating]]&gt;=9,"Promoter",IF(Table1[[#This Row],[customer_rating]]&gt;=7,"Passive","Detractor"))</f>
        <v>Promoter</v>
      </c>
      <c r="R274" s="5"/>
    </row>
    <row r="275" spans="1:18">
      <c r="A275" t="s">
        <v>301</v>
      </c>
      <c r="B275" t="s">
        <v>21</v>
      </c>
      <c r="C275" t="s">
        <v>30</v>
      </c>
      <c r="D275" s="5">
        <v>45957</v>
      </c>
      <c r="E275" s="5">
        <v>45960</v>
      </c>
      <c r="F275" s="5">
        <v>45962</v>
      </c>
      <c r="G275" s="5">
        <v>45968</v>
      </c>
      <c r="H275" t="s">
        <v>16</v>
      </c>
      <c r="I275" t="s">
        <v>17</v>
      </c>
      <c r="J275" s="5">
        <v>45979</v>
      </c>
      <c r="K275" s="15">
        <f t="shared" si="15"/>
        <v>3</v>
      </c>
      <c r="L275">
        <f t="shared" si="13"/>
        <v>2</v>
      </c>
      <c r="M275">
        <f t="shared" si="14"/>
        <v>6</v>
      </c>
      <c r="N275">
        <v>2</v>
      </c>
      <c r="O275">
        <f>DATEDIF(Table1[[#This Row],[lead_date]], Table1[[#This Row],[delivery_date]], "d")</f>
        <v>11</v>
      </c>
      <c r="P275" s="5" t="str">
        <f>IF(AND(Table1[[#This Row],[customer_rating]]&gt;=8, Table1[[#This Row],[Tat_day]]&lt;=7, Table1[[#This Row],[lead_type]]="Hot"), "High", "Normal")</f>
        <v>Normal</v>
      </c>
      <c r="Q275" s="5" t="str">
        <f>IF(Table1[[#This Row],[customer_rating]]&gt;=9,"Promoter",IF(Table1[[#This Row],[customer_rating]]&gt;=7,"Passive","Detractor"))</f>
        <v>Detractor</v>
      </c>
      <c r="R275" s="5"/>
    </row>
    <row r="276" spans="1:18">
      <c r="A276" t="s">
        <v>302</v>
      </c>
      <c r="B276" t="s">
        <v>19</v>
      </c>
      <c r="C276" t="s">
        <v>15</v>
      </c>
      <c r="D276" s="5">
        <v>45935</v>
      </c>
      <c r="E276" s="5">
        <v>45940</v>
      </c>
      <c r="F276" s="5">
        <v>45944</v>
      </c>
      <c r="G276" s="5">
        <v>45951</v>
      </c>
      <c r="H276" t="s">
        <v>16</v>
      </c>
      <c r="I276" t="s">
        <v>17</v>
      </c>
      <c r="J276" s="5">
        <v>45969</v>
      </c>
      <c r="K276" s="15">
        <f t="shared" si="15"/>
        <v>5</v>
      </c>
      <c r="L276">
        <f t="shared" si="13"/>
        <v>4</v>
      </c>
      <c r="M276">
        <f t="shared" si="14"/>
        <v>7</v>
      </c>
      <c r="N276">
        <v>3</v>
      </c>
      <c r="O276">
        <f>DATEDIF(Table1[[#This Row],[lead_date]], Table1[[#This Row],[delivery_date]], "d")</f>
        <v>16</v>
      </c>
      <c r="P276" s="5" t="str">
        <f>IF(AND(Table1[[#This Row],[customer_rating]]&gt;=8, Table1[[#This Row],[Tat_day]]&lt;=7, Table1[[#This Row],[lead_type]]="Hot"), "High", "Normal")</f>
        <v>Normal</v>
      </c>
      <c r="Q276" s="5" t="str">
        <f>IF(Table1[[#This Row],[customer_rating]]&gt;=9,"Promoter",IF(Table1[[#This Row],[customer_rating]]&gt;=7,"Passive","Detractor"))</f>
        <v>Detractor</v>
      </c>
      <c r="R276" s="5"/>
    </row>
    <row r="277" spans="1:18">
      <c r="A277" t="s">
        <v>303</v>
      </c>
      <c r="B277" t="s">
        <v>19</v>
      </c>
      <c r="C277" t="s">
        <v>30</v>
      </c>
      <c r="D277" s="5">
        <v>45933</v>
      </c>
      <c r="E277" s="5">
        <v>45934</v>
      </c>
      <c r="F277" s="5">
        <v>45939</v>
      </c>
      <c r="G277" s="5">
        <v>45943</v>
      </c>
      <c r="H277" t="s">
        <v>16</v>
      </c>
      <c r="I277" t="s">
        <v>17</v>
      </c>
      <c r="J277" s="5">
        <v>45967</v>
      </c>
      <c r="K277" s="15">
        <f t="shared" si="15"/>
        <v>1</v>
      </c>
      <c r="L277">
        <f t="shared" si="13"/>
        <v>5</v>
      </c>
      <c r="M277">
        <f t="shared" si="14"/>
        <v>4</v>
      </c>
      <c r="N277">
        <v>10</v>
      </c>
      <c r="O277">
        <f>DATEDIF(Table1[[#This Row],[lead_date]], Table1[[#This Row],[delivery_date]], "d")</f>
        <v>10</v>
      </c>
      <c r="P277" s="5" t="str">
        <f>IF(AND(Table1[[#This Row],[customer_rating]]&gt;=8, Table1[[#This Row],[Tat_day]]&lt;=7, Table1[[#This Row],[lead_type]]="Hot"), "High", "Normal")</f>
        <v>Normal</v>
      </c>
      <c r="Q277" s="5" t="str">
        <f>IF(Table1[[#This Row],[customer_rating]]&gt;=9,"Promoter",IF(Table1[[#This Row],[customer_rating]]&gt;=7,"Passive","Detractor"))</f>
        <v>Promoter</v>
      </c>
      <c r="R277" s="5"/>
    </row>
    <row r="278" spans="1:18">
      <c r="A278" t="s">
        <v>304</v>
      </c>
      <c r="B278" t="s">
        <v>19</v>
      </c>
      <c r="C278" t="s">
        <v>15</v>
      </c>
      <c r="D278" s="5">
        <v>45932</v>
      </c>
      <c r="E278" s="5">
        <v>45935</v>
      </c>
      <c r="F278" s="5">
        <v>45938</v>
      </c>
      <c r="G278" s="5">
        <v>45945</v>
      </c>
      <c r="H278" t="s">
        <v>16</v>
      </c>
      <c r="I278" t="s">
        <v>17</v>
      </c>
      <c r="J278" s="5">
        <v>45969</v>
      </c>
      <c r="K278" s="15">
        <f t="shared" si="15"/>
        <v>3</v>
      </c>
      <c r="L278">
        <f t="shared" si="13"/>
        <v>3</v>
      </c>
      <c r="M278">
        <f t="shared" si="14"/>
        <v>7</v>
      </c>
      <c r="N278">
        <v>8</v>
      </c>
      <c r="O278">
        <f>DATEDIF(Table1[[#This Row],[lead_date]], Table1[[#This Row],[delivery_date]], "d")</f>
        <v>13</v>
      </c>
      <c r="P278" s="5" t="str">
        <f>IF(AND(Table1[[#This Row],[customer_rating]]&gt;=8, Table1[[#This Row],[Tat_day]]&lt;=7, Table1[[#This Row],[lead_type]]="Hot"), "High", "Normal")</f>
        <v>Normal</v>
      </c>
      <c r="Q278" s="5" t="str">
        <f>IF(Table1[[#This Row],[customer_rating]]&gt;=9,"Promoter",IF(Table1[[#This Row],[customer_rating]]&gt;=7,"Passive","Detractor"))</f>
        <v>Passive</v>
      </c>
      <c r="R278" s="5"/>
    </row>
    <row r="279" spans="1:18">
      <c r="A279" t="s">
        <v>305</v>
      </c>
      <c r="B279" t="s">
        <v>32</v>
      </c>
      <c r="C279" t="s">
        <v>15</v>
      </c>
      <c r="D279" s="5">
        <v>45936</v>
      </c>
      <c r="E279" s="5">
        <v>45940</v>
      </c>
      <c r="F279" s="5">
        <v>45944</v>
      </c>
      <c r="G279" s="5">
        <v>45948</v>
      </c>
      <c r="H279" t="s">
        <v>16</v>
      </c>
      <c r="I279" t="s">
        <v>17</v>
      </c>
      <c r="J279" s="5">
        <v>45966</v>
      </c>
      <c r="K279" s="15">
        <f t="shared" si="15"/>
        <v>4</v>
      </c>
      <c r="L279">
        <f t="shared" si="13"/>
        <v>4</v>
      </c>
      <c r="M279">
        <f t="shared" si="14"/>
        <v>4</v>
      </c>
      <c r="N279">
        <v>1</v>
      </c>
      <c r="O279">
        <f>DATEDIF(Table1[[#This Row],[lead_date]], Table1[[#This Row],[delivery_date]], "d")</f>
        <v>12</v>
      </c>
      <c r="P279" s="5" t="str">
        <f>IF(AND(Table1[[#This Row],[customer_rating]]&gt;=8, Table1[[#This Row],[Tat_day]]&lt;=7, Table1[[#This Row],[lead_type]]="Hot"), "High", "Normal")</f>
        <v>Normal</v>
      </c>
      <c r="Q279" s="5" t="str">
        <f>IF(Table1[[#This Row],[customer_rating]]&gt;=9,"Promoter",IF(Table1[[#This Row],[customer_rating]]&gt;=7,"Passive","Detractor"))</f>
        <v>Detractor</v>
      </c>
      <c r="R279" s="5"/>
    </row>
    <row r="280" spans="1:18">
      <c r="A280" t="s">
        <v>306</v>
      </c>
      <c r="B280" t="s">
        <v>14</v>
      </c>
      <c r="C280" t="s">
        <v>22</v>
      </c>
      <c r="D280" s="5">
        <v>45956</v>
      </c>
      <c r="H280" t="s">
        <v>23</v>
      </c>
      <c r="I280" t="s">
        <v>24</v>
      </c>
      <c r="K280" s="15" t="str">
        <f t="shared" si="15"/>
        <v/>
      </c>
      <c r="L280" t="str">
        <f t="shared" si="13"/>
        <v/>
      </c>
      <c r="M280" t="str">
        <f t="shared" si="14"/>
        <v/>
      </c>
      <c r="O280"/>
      <c r="P280" s="5" t="str">
        <f>IF(AND(Table1[[#This Row],[customer_rating]]&gt;=8, Table1[[#This Row],[Tat_day]]&lt;=7, Table1[[#This Row],[lead_type]]="Hot"), "High", "Normal")</f>
        <v>Normal</v>
      </c>
      <c r="Q280" s="5" t="str">
        <f>IF(Table1[[#This Row],[customer_rating]]&gt;=9,"Promoter",IF(Table1[[#This Row],[customer_rating]]&gt;=7,"Passive","Detractor"))</f>
        <v>Detractor</v>
      </c>
      <c r="R280" s="5"/>
    </row>
    <row r="281" spans="1:18">
      <c r="A281" t="s">
        <v>307</v>
      </c>
      <c r="B281" t="s">
        <v>14</v>
      </c>
      <c r="C281" t="s">
        <v>30</v>
      </c>
      <c r="D281" s="5">
        <v>45940</v>
      </c>
      <c r="E281" s="5">
        <v>45944</v>
      </c>
      <c r="F281" s="5">
        <v>45949</v>
      </c>
      <c r="G281" s="5">
        <v>45954</v>
      </c>
      <c r="H281" t="s">
        <v>23</v>
      </c>
      <c r="I281" t="s">
        <v>24</v>
      </c>
      <c r="K281" s="15">
        <f t="shared" si="15"/>
        <v>4</v>
      </c>
      <c r="L281">
        <f t="shared" si="13"/>
        <v>5</v>
      </c>
      <c r="M281">
        <f t="shared" si="14"/>
        <v>5</v>
      </c>
      <c r="O281">
        <f>DATEDIF(Table1[[#This Row],[lead_date]], Table1[[#This Row],[delivery_date]], "d")</f>
        <v>14</v>
      </c>
      <c r="P281" s="5" t="str">
        <f>IF(AND(Table1[[#This Row],[customer_rating]]&gt;=8, Table1[[#This Row],[Tat_day]]&lt;=7, Table1[[#This Row],[lead_type]]="Hot"), "High", "Normal")</f>
        <v>Normal</v>
      </c>
      <c r="Q281" s="5" t="str">
        <f>IF(Table1[[#This Row],[customer_rating]]&gt;=9,"Promoter",IF(Table1[[#This Row],[customer_rating]]&gt;=7,"Passive","Detractor"))</f>
        <v>Detractor</v>
      </c>
      <c r="R281" s="5"/>
    </row>
    <row r="282" spans="1:18">
      <c r="A282" t="s">
        <v>308</v>
      </c>
      <c r="B282" t="s">
        <v>14</v>
      </c>
      <c r="C282" t="s">
        <v>15</v>
      </c>
      <c r="D282" s="5">
        <v>45950</v>
      </c>
      <c r="E282" s="5">
        <v>45951</v>
      </c>
      <c r="F282" s="5">
        <v>45955</v>
      </c>
      <c r="G282" s="5">
        <v>45960</v>
      </c>
      <c r="H282" t="s">
        <v>16</v>
      </c>
      <c r="I282" t="s">
        <v>17</v>
      </c>
      <c r="J282" s="5">
        <v>45977</v>
      </c>
      <c r="K282" s="15">
        <f t="shared" si="15"/>
        <v>1</v>
      </c>
      <c r="L282">
        <f t="shared" si="13"/>
        <v>4</v>
      </c>
      <c r="M282">
        <f t="shared" si="14"/>
        <v>5</v>
      </c>
      <c r="N282">
        <v>8</v>
      </c>
      <c r="O282">
        <f>DATEDIF(Table1[[#This Row],[lead_date]], Table1[[#This Row],[delivery_date]], "d")</f>
        <v>10</v>
      </c>
      <c r="P282" s="5" t="str">
        <f>IF(AND(Table1[[#This Row],[customer_rating]]&gt;=8, Table1[[#This Row],[Tat_day]]&lt;=7, Table1[[#This Row],[lead_type]]="Hot"), "High", "Normal")</f>
        <v>Normal</v>
      </c>
      <c r="Q282" s="5" t="str">
        <f>IF(Table1[[#This Row],[customer_rating]]&gt;=9,"Promoter",IF(Table1[[#This Row],[customer_rating]]&gt;=7,"Passive","Detractor"))</f>
        <v>Passive</v>
      </c>
      <c r="R282" s="5"/>
    </row>
    <row r="283" spans="1:18">
      <c r="A283" t="s">
        <v>309</v>
      </c>
      <c r="B283" t="s">
        <v>32</v>
      </c>
      <c r="C283" t="s">
        <v>22</v>
      </c>
      <c r="D283" s="5">
        <v>45954</v>
      </c>
      <c r="H283" t="s">
        <v>23</v>
      </c>
      <c r="I283" t="s">
        <v>33</v>
      </c>
      <c r="K283" s="15" t="str">
        <f t="shared" si="15"/>
        <v/>
      </c>
      <c r="L283" t="str">
        <f t="shared" si="13"/>
        <v/>
      </c>
      <c r="M283" t="str">
        <f t="shared" si="14"/>
        <v/>
      </c>
      <c r="O283"/>
      <c r="P283" s="5" t="str">
        <f>IF(AND(Table1[[#This Row],[customer_rating]]&gt;=8, Table1[[#This Row],[Tat_day]]&lt;=7, Table1[[#This Row],[lead_type]]="Hot"), "High", "Normal")</f>
        <v>Normal</v>
      </c>
      <c r="Q283" s="5" t="str">
        <f>IF(Table1[[#This Row],[customer_rating]]&gt;=9,"Promoter",IF(Table1[[#This Row],[customer_rating]]&gt;=7,"Passive","Detractor"))</f>
        <v>Detractor</v>
      </c>
      <c r="R283" s="5"/>
    </row>
    <row r="284" spans="1:18">
      <c r="A284" t="s">
        <v>310</v>
      </c>
      <c r="B284" t="s">
        <v>14</v>
      </c>
      <c r="C284" t="s">
        <v>30</v>
      </c>
      <c r="D284" s="5">
        <v>45957</v>
      </c>
      <c r="E284" s="5">
        <v>45958</v>
      </c>
      <c r="F284" s="5">
        <v>45963</v>
      </c>
      <c r="G284" s="5">
        <v>45967</v>
      </c>
      <c r="H284" t="s">
        <v>23</v>
      </c>
      <c r="I284" t="s">
        <v>1028</v>
      </c>
      <c r="K284" s="15">
        <f t="shared" si="15"/>
        <v>1</v>
      </c>
      <c r="L284">
        <f t="shared" si="13"/>
        <v>5</v>
      </c>
      <c r="M284">
        <f t="shared" si="14"/>
        <v>4</v>
      </c>
      <c r="O284">
        <f>DATEDIF(Table1[[#This Row],[lead_date]], Table1[[#This Row],[delivery_date]], "d")</f>
        <v>10</v>
      </c>
      <c r="P284" s="5" t="str">
        <f>IF(AND(Table1[[#This Row],[customer_rating]]&gt;=8, Table1[[#This Row],[Tat_day]]&lt;=7, Table1[[#This Row],[lead_type]]="Hot"), "High", "Normal")</f>
        <v>Normal</v>
      </c>
      <c r="Q284" s="5" t="str">
        <f>IF(Table1[[#This Row],[customer_rating]]&gt;=9,"Promoter",IF(Table1[[#This Row],[customer_rating]]&gt;=7,"Passive","Detractor"))</f>
        <v>Detractor</v>
      </c>
      <c r="R284" s="5"/>
    </row>
    <row r="285" spans="1:18">
      <c r="A285" t="s">
        <v>311</v>
      </c>
      <c r="B285" t="s">
        <v>32</v>
      </c>
      <c r="C285" t="s">
        <v>22</v>
      </c>
      <c r="D285" s="5">
        <v>45949</v>
      </c>
      <c r="H285" t="s">
        <v>23</v>
      </c>
      <c r="I285" t="s">
        <v>33</v>
      </c>
      <c r="K285" s="15" t="str">
        <f t="shared" si="15"/>
        <v/>
      </c>
      <c r="L285" t="str">
        <f t="shared" si="13"/>
        <v/>
      </c>
      <c r="M285" t="str">
        <f t="shared" si="14"/>
        <v/>
      </c>
      <c r="O285"/>
      <c r="P285" s="5" t="str">
        <f>IF(AND(Table1[[#This Row],[customer_rating]]&gt;=8, Table1[[#This Row],[Tat_day]]&lt;=7, Table1[[#This Row],[lead_type]]="Hot"), "High", "Normal")</f>
        <v>Normal</v>
      </c>
      <c r="Q285" s="5" t="str">
        <f>IF(Table1[[#This Row],[customer_rating]]&gt;=9,"Promoter",IF(Table1[[#This Row],[customer_rating]]&gt;=7,"Passive","Detractor"))</f>
        <v>Detractor</v>
      </c>
      <c r="R285" s="5"/>
    </row>
    <row r="286" spans="1:18">
      <c r="A286" t="s">
        <v>312</v>
      </c>
      <c r="B286" t="s">
        <v>19</v>
      </c>
      <c r="C286" t="s">
        <v>15</v>
      </c>
      <c r="D286" s="5">
        <v>45960</v>
      </c>
      <c r="E286" s="5">
        <v>45963</v>
      </c>
      <c r="F286" s="5">
        <v>45965</v>
      </c>
      <c r="G286" s="5">
        <v>45971</v>
      </c>
      <c r="H286" t="s">
        <v>16</v>
      </c>
      <c r="I286" t="s">
        <v>17</v>
      </c>
      <c r="J286" s="5">
        <v>45989</v>
      </c>
      <c r="K286" s="15">
        <f t="shared" si="15"/>
        <v>3</v>
      </c>
      <c r="L286">
        <f t="shared" si="13"/>
        <v>2</v>
      </c>
      <c r="M286">
        <f t="shared" si="14"/>
        <v>6</v>
      </c>
      <c r="N286">
        <v>4</v>
      </c>
      <c r="O286">
        <f>DATEDIF(Table1[[#This Row],[lead_date]], Table1[[#This Row],[delivery_date]], "d")</f>
        <v>11</v>
      </c>
      <c r="P286" s="5" t="str">
        <f>IF(AND(Table1[[#This Row],[customer_rating]]&gt;=8, Table1[[#This Row],[Tat_day]]&lt;=7, Table1[[#This Row],[lead_type]]="Hot"), "High", "Normal")</f>
        <v>Normal</v>
      </c>
      <c r="Q286" s="5" t="str">
        <f>IF(Table1[[#This Row],[customer_rating]]&gt;=9,"Promoter",IF(Table1[[#This Row],[customer_rating]]&gt;=7,"Passive","Detractor"))</f>
        <v>Detractor</v>
      </c>
      <c r="R286" s="5"/>
    </row>
    <row r="287" spans="1:18">
      <c r="A287" t="s">
        <v>313</v>
      </c>
      <c r="B287" t="s">
        <v>21</v>
      </c>
      <c r="C287" t="s">
        <v>15</v>
      </c>
      <c r="D287" s="5">
        <v>45940</v>
      </c>
      <c r="E287" s="5">
        <v>45943</v>
      </c>
      <c r="F287" s="5">
        <v>45945</v>
      </c>
      <c r="G287" s="5">
        <v>45947</v>
      </c>
      <c r="H287" t="s">
        <v>16</v>
      </c>
      <c r="I287" t="s">
        <v>17</v>
      </c>
      <c r="J287" s="5">
        <v>45975</v>
      </c>
      <c r="K287" s="15">
        <f t="shared" si="15"/>
        <v>3</v>
      </c>
      <c r="L287">
        <f t="shared" si="13"/>
        <v>2</v>
      </c>
      <c r="M287">
        <f t="shared" si="14"/>
        <v>2</v>
      </c>
      <c r="N287">
        <v>9</v>
      </c>
      <c r="O287">
        <f>DATEDIF(Table1[[#This Row],[lead_date]], Table1[[#This Row],[delivery_date]], "d")</f>
        <v>7</v>
      </c>
      <c r="P287" s="5" t="str">
        <f>IF(AND(Table1[[#This Row],[customer_rating]]&gt;=8, Table1[[#This Row],[Tat_day]]&lt;=7, Table1[[#This Row],[lead_type]]="Hot"), "High", "Normal")</f>
        <v>Normal</v>
      </c>
      <c r="Q287" s="5" t="str">
        <f>IF(Table1[[#This Row],[customer_rating]]&gt;=9,"Promoter",IF(Table1[[#This Row],[customer_rating]]&gt;=7,"Passive","Detractor"))</f>
        <v>Promoter</v>
      </c>
      <c r="R287" s="5"/>
    </row>
    <row r="288" spans="1:18">
      <c r="A288" t="s">
        <v>314</v>
      </c>
      <c r="B288" t="s">
        <v>14</v>
      </c>
      <c r="C288" t="s">
        <v>22</v>
      </c>
      <c r="D288" s="5">
        <v>45945</v>
      </c>
      <c r="H288" t="s">
        <v>23</v>
      </c>
      <c r="I288" t="s">
        <v>1028</v>
      </c>
      <c r="K288" s="15" t="str">
        <f t="shared" si="15"/>
        <v/>
      </c>
      <c r="L288" t="str">
        <f t="shared" si="13"/>
        <v/>
      </c>
      <c r="M288" t="str">
        <f t="shared" si="14"/>
        <v/>
      </c>
      <c r="O288"/>
      <c r="P288" s="5" t="str">
        <f>IF(AND(Table1[[#This Row],[customer_rating]]&gt;=8, Table1[[#This Row],[Tat_day]]&lt;=7, Table1[[#This Row],[lead_type]]="Hot"), "High", "Normal")</f>
        <v>Normal</v>
      </c>
      <c r="Q288" s="5" t="str">
        <f>IF(Table1[[#This Row],[customer_rating]]&gt;=9,"Promoter",IF(Table1[[#This Row],[customer_rating]]&gt;=7,"Passive","Detractor"))</f>
        <v>Detractor</v>
      </c>
      <c r="R288" s="5"/>
    </row>
    <row r="289" spans="1:18">
      <c r="A289" t="s">
        <v>315</v>
      </c>
      <c r="B289" t="s">
        <v>14</v>
      </c>
      <c r="C289" t="s">
        <v>30</v>
      </c>
      <c r="D289" s="5">
        <v>45934</v>
      </c>
      <c r="E289" s="5">
        <v>45935</v>
      </c>
      <c r="F289" s="5">
        <v>45940</v>
      </c>
      <c r="G289" s="5">
        <v>45947</v>
      </c>
      <c r="H289" t="s">
        <v>16</v>
      </c>
      <c r="I289" t="s">
        <v>17</v>
      </c>
      <c r="J289" s="5">
        <v>45958</v>
      </c>
      <c r="K289" s="15">
        <f t="shared" si="15"/>
        <v>1</v>
      </c>
      <c r="L289">
        <f t="shared" si="13"/>
        <v>5</v>
      </c>
      <c r="M289">
        <f t="shared" si="14"/>
        <v>7</v>
      </c>
      <c r="N289">
        <v>2</v>
      </c>
      <c r="O289">
        <f>DATEDIF(Table1[[#This Row],[lead_date]], Table1[[#This Row],[delivery_date]], "d")</f>
        <v>13</v>
      </c>
      <c r="P289" s="5" t="str">
        <f>IF(AND(Table1[[#This Row],[customer_rating]]&gt;=8, Table1[[#This Row],[Tat_day]]&lt;=7, Table1[[#This Row],[lead_type]]="Hot"), "High", "Normal")</f>
        <v>Normal</v>
      </c>
      <c r="Q289" s="5" t="str">
        <f>IF(Table1[[#This Row],[customer_rating]]&gt;=9,"Promoter",IF(Table1[[#This Row],[customer_rating]]&gt;=7,"Passive","Detractor"))</f>
        <v>Detractor</v>
      </c>
      <c r="R289" s="5"/>
    </row>
    <row r="290" spans="1:18">
      <c r="A290" t="s">
        <v>316</v>
      </c>
      <c r="B290" t="s">
        <v>19</v>
      </c>
      <c r="C290" t="s">
        <v>15</v>
      </c>
      <c r="D290" s="5">
        <v>45945</v>
      </c>
      <c r="E290" s="5">
        <v>45946</v>
      </c>
      <c r="F290" s="5">
        <v>45947</v>
      </c>
      <c r="G290" s="5">
        <v>45949</v>
      </c>
      <c r="H290" t="s">
        <v>23</v>
      </c>
      <c r="I290" t="s">
        <v>33</v>
      </c>
      <c r="K290" s="15">
        <f t="shared" si="15"/>
        <v>1</v>
      </c>
      <c r="L290">
        <f t="shared" si="13"/>
        <v>1</v>
      </c>
      <c r="M290">
        <f t="shared" si="14"/>
        <v>2</v>
      </c>
      <c r="O290">
        <f>DATEDIF(Table1[[#This Row],[lead_date]], Table1[[#This Row],[delivery_date]], "d")</f>
        <v>4</v>
      </c>
      <c r="P290" s="5" t="str">
        <f>IF(AND(Table1[[#This Row],[customer_rating]]&gt;=8, Table1[[#This Row],[Tat_day]]&lt;=7, Table1[[#This Row],[lead_type]]="Hot"), "High", "Normal")</f>
        <v>Normal</v>
      </c>
      <c r="Q290" s="5" t="str">
        <f>IF(Table1[[#This Row],[customer_rating]]&gt;=9,"Promoter",IF(Table1[[#This Row],[customer_rating]]&gt;=7,"Passive","Detractor"))</f>
        <v>Detractor</v>
      </c>
      <c r="R290" s="5"/>
    </row>
    <row r="291" spans="1:18">
      <c r="A291" t="s">
        <v>317</v>
      </c>
      <c r="B291" t="s">
        <v>21</v>
      </c>
      <c r="C291" t="s">
        <v>22</v>
      </c>
      <c r="D291" s="5">
        <v>45953</v>
      </c>
      <c r="H291" t="s">
        <v>23</v>
      </c>
      <c r="I291" t="s">
        <v>24</v>
      </c>
      <c r="K291" s="15" t="str">
        <f t="shared" si="15"/>
        <v/>
      </c>
      <c r="L291" t="str">
        <f t="shared" si="13"/>
        <v/>
      </c>
      <c r="M291" t="str">
        <f t="shared" si="14"/>
        <v/>
      </c>
      <c r="O291"/>
      <c r="P291" s="5" t="str">
        <f>IF(AND(Table1[[#This Row],[customer_rating]]&gt;=8, Table1[[#This Row],[Tat_day]]&lt;=7, Table1[[#This Row],[lead_type]]="Hot"), "High", "Normal")</f>
        <v>Normal</v>
      </c>
      <c r="Q291" s="5" t="str">
        <f>IF(Table1[[#This Row],[customer_rating]]&gt;=9,"Promoter",IF(Table1[[#This Row],[customer_rating]]&gt;=7,"Passive","Detractor"))</f>
        <v>Detractor</v>
      </c>
      <c r="R291" s="5"/>
    </row>
    <row r="292" spans="1:18">
      <c r="A292" t="s">
        <v>318</v>
      </c>
      <c r="B292" t="s">
        <v>32</v>
      </c>
      <c r="C292" t="s">
        <v>30</v>
      </c>
      <c r="D292" s="5">
        <v>45940</v>
      </c>
      <c r="E292" s="5">
        <v>45945</v>
      </c>
      <c r="F292" s="5">
        <v>45950</v>
      </c>
      <c r="G292" s="5">
        <v>45957</v>
      </c>
      <c r="H292" t="s">
        <v>16</v>
      </c>
      <c r="I292" t="s">
        <v>17</v>
      </c>
      <c r="J292" s="5">
        <v>45971</v>
      </c>
      <c r="K292" s="15">
        <f t="shared" si="15"/>
        <v>5</v>
      </c>
      <c r="L292">
        <f t="shared" si="13"/>
        <v>5</v>
      </c>
      <c r="M292">
        <f t="shared" si="14"/>
        <v>7</v>
      </c>
      <c r="N292">
        <v>4</v>
      </c>
      <c r="O292">
        <f>DATEDIF(Table1[[#This Row],[lead_date]], Table1[[#This Row],[delivery_date]], "d")</f>
        <v>17</v>
      </c>
      <c r="P292" s="5" t="str">
        <f>IF(AND(Table1[[#This Row],[customer_rating]]&gt;=8, Table1[[#This Row],[Tat_day]]&lt;=7, Table1[[#This Row],[lead_type]]="Hot"), "High", "Normal")</f>
        <v>Normal</v>
      </c>
      <c r="Q292" s="5" t="str">
        <f>IF(Table1[[#This Row],[customer_rating]]&gt;=9,"Promoter",IF(Table1[[#This Row],[customer_rating]]&gt;=7,"Passive","Detractor"))</f>
        <v>Detractor</v>
      </c>
      <c r="R292" s="5"/>
    </row>
    <row r="293" spans="1:18">
      <c r="A293" t="s">
        <v>319</v>
      </c>
      <c r="B293" t="s">
        <v>21</v>
      </c>
      <c r="C293" t="s">
        <v>15</v>
      </c>
      <c r="D293" s="5">
        <v>45953</v>
      </c>
      <c r="E293" s="5">
        <v>45958</v>
      </c>
      <c r="F293" s="5">
        <v>45962</v>
      </c>
      <c r="G293" s="5">
        <v>45967</v>
      </c>
      <c r="H293" t="s">
        <v>16</v>
      </c>
      <c r="I293" t="s">
        <v>17</v>
      </c>
      <c r="J293" s="5">
        <v>45980</v>
      </c>
      <c r="K293" s="15">
        <f t="shared" si="15"/>
        <v>5</v>
      </c>
      <c r="L293">
        <f t="shared" si="13"/>
        <v>4</v>
      </c>
      <c r="M293">
        <f t="shared" si="14"/>
        <v>5</v>
      </c>
      <c r="N293">
        <v>1</v>
      </c>
      <c r="O293">
        <f>DATEDIF(Table1[[#This Row],[lead_date]], Table1[[#This Row],[delivery_date]], "d")</f>
        <v>14</v>
      </c>
      <c r="P293" s="5" t="str">
        <f>IF(AND(Table1[[#This Row],[customer_rating]]&gt;=8, Table1[[#This Row],[Tat_day]]&lt;=7, Table1[[#This Row],[lead_type]]="Hot"), "High", "Normal")</f>
        <v>Normal</v>
      </c>
      <c r="Q293" s="5" t="str">
        <f>IF(Table1[[#This Row],[customer_rating]]&gt;=9,"Promoter",IF(Table1[[#This Row],[customer_rating]]&gt;=7,"Passive","Detractor"))</f>
        <v>Detractor</v>
      </c>
      <c r="R293" s="5"/>
    </row>
    <row r="294" spans="1:18">
      <c r="A294" t="s">
        <v>320</v>
      </c>
      <c r="B294" t="s">
        <v>19</v>
      </c>
      <c r="C294" t="s">
        <v>22</v>
      </c>
      <c r="D294" s="5">
        <v>45943</v>
      </c>
      <c r="H294" t="s">
        <v>23</v>
      </c>
      <c r="I294" t="s">
        <v>24</v>
      </c>
      <c r="K294" s="15" t="str">
        <f t="shared" si="15"/>
        <v/>
      </c>
      <c r="L294" t="str">
        <f t="shared" si="13"/>
        <v/>
      </c>
      <c r="M294" t="str">
        <f t="shared" si="14"/>
        <v/>
      </c>
      <c r="O294"/>
      <c r="P294" s="5" t="str">
        <f>IF(AND(Table1[[#This Row],[customer_rating]]&gt;=8, Table1[[#This Row],[Tat_day]]&lt;=7, Table1[[#This Row],[lead_type]]="Hot"), "High", "Normal")</f>
        <v>Normal</v>
      </c>
      <c r="Q294" s="5" t="str">
        <f>IF(Table1[[#This Row],[customer_rating]]&gt;=9,"Promoter",IF(Table1[[#This Row],[customer_rating]]&gt;=7,"Passive","Detractor"))</f>
        <v>Detractor</v>
      </c>
      <c r="R294" s="5"/>
    </row>
    <row r="295" spans="1:18">
      <c r="A295" t="s">
        <v>321</v>
      </c>
      <c r="B295" t="s">
        <v>19</v>
      </c>
      <c r="C295" t="s">
        <v>30</v>
      </c>
      <c r="D295" s="5">
        <v>45961</v>
      </c>
      <c r="E295" s="5">
        <v>45966</v>
      </c>
      <c r="F295" s="5">
        <v>45971</v>
      </c>
      <c r="G295" s="5">
        <v>45978</v>
      </c>
      <c r="H295" t="s">
        <v>16</v>
      </c>
      <c r="I295" t="s">
        <v>17</v>
      </c>
      <c r="J295" s="5">
        <v>45990</v>
      </c>
      <c r="K295" s="15">
        <f t="shared" si="15"/>
        <v>5</v>
      </c>
      <c r="L295">
        <f t="shared" si="13"/>
        <v>5</v>
      </c>
      <c r="M295">
        <f t="shared" si="14"/>
        <v>7</v>
      </c>
      <c r="N295">
        <v>6</v>
      </c>
      <c r="O295">
        <f>DATEDIF(Table1[[#This Row],[lead_date]], Table1[[#This Row],[delivery_date]], "d")</f>
        <v>17</v>
      </c>
      <c r="P295" s="5" t="str">
        <f>IF(AND(Table1[[#This Row],[customer_rating]]&gt;=8, Table1[[#This Row],[Tat_day]]&lt;=7, Table1[[#This Row],[lead_type]]="Hot"), "High", "Normal")</f>
        <v>Normal</v>
      </c>
      <c r="Q295" s="5" t="str">
        <f>IF(Table1[[#This Row],[customer_rating]]&gt;=9,"Promoter",IF(Table1[[#This Row],[customer_rating]]&gt;=7,"Passive","Detractor"))</f>
        <v>Detractor</v>
      </c>
      <c r="R295" s="5"/>
    </row>
    <row r="296" spans="1:18">
      <c r="A296" t="s">
        <v>322</v>
      </c>
      <c r="B296" t="s">
        <v>21</v>
      </c>
      <c r="C296" t="s">
        <v>22</v>
      </c>
      <c r="D296" s="5">
        <v>45939</v>
      </c>
      <c r="H296" t="s">
        <v>23</v>
      </c>
      <c r="I296" t="s">
        <v>101</v>
      </c>
      <c r="K296" s="15" t="str">
        <f t="shared" si="15"/>
        <v/>
      </c>
      <c r="L296" t="str">
        <f t="shared" si="13"/>
        <v/>
      </c>
      <c r="M296" t="str">
        <f t="shared" si="14"/>
        <v/>
      </c>
      <c r="O296"/>
      <c r="P296" s="5" t="str">
        <f>IF(AND(Table1[[#This Row],[customer_rating]]&gt;=8, Table1[[#This Row],[Tat_day]]&lt;=7, Table1[[#This Row],[lead_type]]="Hot"), "High", "Normal")</f>
        <v>Normal</v>
      </c>
      <c r="Q296" s="5" t="str">
        <f>IF(Table1[[#This Row],[customer_rating]]&gt;=9,"Promoter",IF(Table1[[#This Row],[customer_rating]]&gt;=7,"Passive","Detractor"))</f>
        <v>Detractor</v>
      </c>
      <c r="R296" s="5"/>
    </row>
    <row r="297" spans="1:18">
      <c r="A297" t="s">
        <v>323</v>
      </c>
      <c r="B297" t="s">
        <v>32</v>
      </c>
      <c r="C297" t="s">
        <v>15</v>
      </c>
      <c r="D297" s="5">
        <v>45947</v>
      </c>
      <c r="E297" s="5">
        <v>45951</v>
      </c>
      <c r="F297" s="5">
        <v>45954</v>
      </c>
      <c r="G297" s="5">
        <v>45961</v>
      </c>
      <c r="H297" t="s">
        <v>23</v>
      </c>
      <c r="I297" t="s">
        <v>63</v>
      </c>
      <c r="K297" s="15">
        <f t="shared" si="15"/>
        <v>4</v>
      </c>
      <c r="L297">
        <f t="shared" si="13"/>
        <v>3</v>
      </c>
      <c r="M297">
        <f t="shared" si="14"/>
        <v>7</v>
      </c>
      <c r="O297">
        <f>DATEDIF(Table1[[#This Row],[lead_date]], Table1[[#This Row],[delivery_date]], "d")</f>
        <v>14</v>
      </c>
      <c r="P297" s="5" t="str">
        <f>IF(AND(Table1[[#This Row],[customer_rating]]&gt;=8, Table1[[#This Row],[Tat_day]]&lt;=7, Table1[[#This Row],[lead_type]]="Hot"), "High", "Normal")</f>
        <v>Normal</v>
      </c>
      <c r="Q297" s="5" t="str">
        <f>IF(Table1[[#This Row],[customer_rating]]&gt;=9,"Promoter",IF(Table1[[#This Row],[customer_rating]]&gt;=7,"Passive","Detractor"))</f>
        <v>Detractor</v>
      </c>
      <c r="R297" s="5"/>
    </row>
    <row r="298" spans="1:18">
      <c r="A298" t="s">
        <v>324</v>
      </c>
      <c r="B298" t="s">
        <v>32</v>
      </c>
      <c r="C298" t="s">
        <v>15</v>
      </c>
      <c r="D298" s="5">
        <v>45948</v>
      </c>
      <c r="E298" s="5">
        <v>45952</v>
      </c>
      <c r="F298" s="5">
        <v>45953</v>
      </c>
      <c r="G298" s="5">
        <v>45960</v>
      </c>
      <c r="H298" t="s">
        <v>16</v>
      </c>
      <c r="I298" t="s">
        <v>17</v>
      </c>
      <c r="J298" s="5">
        <v>45981</v>
      </c>
      <c r="K298" s="15">
        <f t="shared" si="15"/>
        <v>4</v>
      </c>
      <c r="L298">
        <f t="shared" si="13"/>
        <v>1</v>
      </c>
      <c r="M298">
        <f t="shared" si="14"/>
        <v>7</v>
      </c>
      <c r="N298">
        <v>6</v>
      </c>
      <c r="O298">
        <f>DATEDIF(Table1[[#This Row],[lead_date]], Table1[[#This Row],[delivery_date]], "d")</f>
        <v>12</v>
      </c>
      <c r="P298" s="5" t="str">
        <f>IF(AND(Table1[[#This Row],[customer_rating]]&gt;=8, Table1[[#This Row],[Tat_day]]&lt;=7, Table1[[#This Row],[lead_type]]="Hot"), "High", "Normal")</f>
        <v>Normal</v>
      </c>
      <c r="Q298" s="5" t="str">
        <f>IF(Table1[[#This Row],[customer_rating]]&gt;=9,"Promoter",IF(Table1[[#This Row],[customer_rating]]&gt;=7,"Passive","Detractor"))</f>
        <v>Detractor</v>
      </c>
      <c r="R298" s="5"/>
    </row>
    <row r="299" spans="1:18">
      <c r="A299" t="s">
        <v>325</v>
      </c>
      <c r="B299" t="s">
        <v>14</v>
      </c>
      <c r="C299" t="s">
        <v>15</v>
      </c>
      <c r="D299" s="5">
        <v>45946</v>
      </c>
      <c r="E299" s="5">
        <v>45951</v>
      </c>
      <c r="F299" s="5">
        <v>45956</v>
      </c>
      <c r="G299" s="5">
        <v>45960</v>
      </c>
      <c r="H299" t="s">
        <v>16</v>
      </c>
      <c r="I299" t="s">
        <v>17</v>
      </c>
      <c r="J299" s="5">
        <v>45987</v>
      </c>
      <c r="K299" s="15">
        <f t="shared" si="15"/>
        <v>5</v>
      </c>
      <c r="L299">
        <f t="shared" si="13"/>
        <v>5</v>
      </c>
      <c r="M299">
        <f t="shared" si="14"/>
        <v>4</v>
      </c>
      <c r="N299">
        <v>10</v>
      </c>
      <c r="O299">
        <f>DATEDIF(Table1[[#This Row],[lead_date]], Table1[[#This Row],[delivery_date]], "d")</f>
        <v>14</v>
      </c>
      <c r="P299" s="5" t="str">
        <f>IF(AND(Table1[[#This Row],[customer_rating]]&gt;=8, Table1[[#This Row],[Tat_day]]&lt;=7, Table1[[#This Row],[lead_type]]="Hot"), "High", "Normal")</f>
        <v>Normal</v>
      </c>
      <c r="Q299" s="5" t="str">
        <f>IF(Table1[[#This Row],[customer_rating]]&gt;=9,"Promoter",IF(Table1[[#This Row],[customer_rating]]&gt;=7,"Passive","Detractor"))</f>
        <v>Promoter</v>
      </c>
      <c r="R299" s="5"/>
    </row>
    <row r="300" spans="1:18">
      <c r="A300" t="s">
        <v>326</v>
      </c>
      <c r="B300" t="s">
        <v>32</v>
      </c>
      <c r="C300" t="s">
        <v>30</v>
      </c>
      <c r="D300" s="5">
        <v>45945</v>
      </c>
      <c r="E300" s="5">
        <v>45950</v>
      </c>
      <c r="F300" s="5">
        <v>45951</v>
      </c>
      <c r="G300" s="5">
        <v>45953</v>
      </c>
      <c r="H300" t="s">
        <v>16</v>
      </c>
      <c r="I300" t="s">
        <v>17</v>
      </c>
      <c r="J300" s="5">
        <v>45976</v>
      </c>
      <c r="K300" s="15">
        <f t="shared" si="15"/>
        <v>5</v>
      </c>
      <c r="L300">
        <f t="shared" si="13"/>
        <v>1</v>
      </c>
      <c r="M300">
        <f t="shared" si="14"/>
        <v>2</v>
      </c>
      <c r="N300">
        <v>10</v>
      </c>
      <c r="O300">
        <f>DATEDIF(Table1[[#This Row],[lead_date]], Table1[[#This Row],[delivery_date]], "d")</f>
        <v>8</v>
      </c>
      <c r="P300" s="5" t="str">
        <f>IF(AND(Table1[[#This Row],[customer_rating]]&gt;=8, Table1[[#This Row],[Tat_day]]&lt;=7, Table1[[#This Row],[lead_type]]="Hot"), "High", "Normal")</f>
        <v>Normal</v>
      </c>
      <c r="Q300" s="5" t="str">
        <f>IF(Table1[[#This Row],[customer_rating]]&gt;=9,"Promoter",IF(Table1[[#This Row],[customer_rating]]&gt;=7,"Passive","Detractor"))</f>
        <v>Promoter</v>
      </c>
      <c r="R300" s="5"/>
    </row>
    <row r="301" spans="1:18">
      <c r="A301" t="s">
        <v>327</v>
      </c>
      <c r="B301" t="s">
        <v>21</v>
      </c>
      <c r="C301" t="s">
        <v>22</v>
      </c>
      <c r="D301" s="5">
        <v>45933</v>
      </c>
      <c r="H301" t="s">
        <v>23</v>
      </c>
      <c r="I301" t="s">
        <v>33</v>
      </c>
      <c r="K301" s="15" t="str">
        <f t="shared" si="15"/>
        <v/>
      </c>
      <c r="L301" t="str">
        <f t="shared" si="13"/>
        <v/>
      </c>
      <c r="M301" t="str">
        <f t="shared" si="14"/>
        <v/>
      </c>
      <c r="O301"/>
      <c r="P301" s="5" t="str">
        <f>IF(AND(Table1[[#This Row],[customer_rating]]&gt;=8, Table1[[#This Row],[Tat_day]]&lt;=7, Table1[[#This Row],[lead_type]]="Hot"), "High", "Normal")</f>
        <v>Normal</v>
      </c>
      <c r="Q301" s="5" t="str">
        <f>IF(Table1[[#This Row],[customer_rating]]&gt;=9,"Promoter",IF(Table1[[#This Row],[customer_rating]]&gt;=7,"Passive","Detractor"))</f>
        <v>Detractor</v>
      </c>
      <c r="R301" s="5"/>
    </row>
    <row r="302" spans="1:18">
      <c r="A302" t="s">
        <v>328</v>
      </c>
      <c r="B302" t="s">
        <v>19</v>
      </c>
      <c r="C302" t="s">
        <v>22</v>
      </c>
      <c r="D302" s="5">
        <v>45950</v>
      </c>
      <c r="H302" t="s">
        <v>23</v>
      </c>
      <c r="I302" t="s">
        <v>101</v>
      </c>
      <c r="K302" s="15" t="str">
        <f t="shared" si="15"/>
        <v/>
      </c>
      <c r="L302" t="str">
        <f t="shared" si="13"/>
        <v/>
      </c>
      <c r="M302" t="str">
        <f t="shared" si="14"/>
        <v/>
      </c>
      <c r="O302"/>
      <c r="P302" s="5" t="str">
        <f>IF(AND(Table1[[#This Row],[customer_rating]]&gt;=8, Table1[[#This Row],[Tat_day]]&lt;=7, Table1[[#This Row],[lead_type]]="Hot"), "High", "Normal")</f>
        <v>Normal</v>
      </c>
      <c r="Q302" s="5" t="str">
        <f>IF(Table1[[#This Row],[customer_rating]]&gt;=9,"Promoter",IF(Table1[[#This Row],[customer_rating]]&gt;=7,"Passive","Detractor"))</f>
        <v>Detractor</v>
      </c>
      <c r="R302" s="5"/>
    </row>
    <row r="303" spans="1:18">
      <c r="A303" t="s">
        <v>329</v>
      </c>
      <c r="B303" t="s">
        <v>14</v>
      </c>
      <c r="C303" t="s">
        <v>15</v>
      </c>
      <c r="D303" s="5">
        <v>45932</v>
      </c>
      <c r="E303" s="5">
        <v>45933</v>
      </c>
      <c r="F303" s="5">
        <v>45934</v>
      </c>
      <c r="G303" s="5">
        <v>45940</v>
      </c>
      <c r="H303" t="s">
        <v>16</v>
      </c>
      <c r="I303" t="s">
        <v>17</v>
      </c>
      <c r="J303" s="5">
        <v>45968</v>
      </c>
      <c r="K303" s="15">
        <f t="shared" si="15"/>
        <v>1</v>
      </c>
      <c r="L303">
        <f t="shared" si="13"/>
        <v>1</v>
      </c>
      <c r="M303">
        <f t="shared" si="14"/>
        <v>6</v>
      </c>
      <c r="N303">
        <v>8</v>
      </c>
      <c r="O303">
        <f>DATEDIF(Table1[[#This Row],[lead_date]], Table1[[#This Row],[delivery_date]], "d")</f>
        <v>8</v>
      </c>
      <c r="P303" s="5" t="str">
        <f>IF(AND(Table1[[#This Row],[customer_rating]]&gt;=8, Table1[[#This Row],[Tat_day]]&lt;=7, Table1[[#This Row],[lead_type]]="Hot"), "High", "Normal")</f>
        <v>Normal</v>
      </c>
      <c r="Q303" s="5" t="str">
        <f>IF(Table1[[#This Row],[customer_rating]]&gt;=9,"Promoter",IF(Table1[[#This Row],[customer_rating]]&gt;=7,"Passive","Detractor"))</f>
        <v>Passive</v>
      </c>
      <c r="R303" s="5"/>
    </row>
    <row r="304" spans="1:18">
      <c r="A304" t="s">
        <v>330</v>
      </c>
      <c r="B304" t="s">
        <v>14</v>
      </c>
      <c r="C304" t="s">
        <v>15</v>
      </c>
      <c r="D304" s="5">
        <v>45959</v>
      </c>
      <c r="E304" s="5">
        <v>45963</v>
      </c>
      <c r="F304" s="5">
        <v>45968</v>
      </c>
      <c r="G304" s="5">
        <v>45973</v>
      </c>
      <c r="H304" t="s">
        <v>16</v>
      </c>
      <c r="I304" t="s">
        <v>17</v>
      </c>
      <c r="J304" s="5">
        <v>45990</v>
      </c>
      <c r="K304" s="15">
        <f t="shared" si="15"/>
        <v>4</v>
      </c>
      <c r="L304">
        <f t="shared" si="13"/>
        <v>5</v>
      </c>
      <c r="M304">
        <f t="shared" si="14"/>
        <v>5</v>
      </c>
      <c r="N304">
        <v>5</v>
      </c>
      <c r="O304">
        <f>DATEDIF(Table1[[#This Row],[lead_date]], Table1[[#This Row],[delivery_date]], "d")</f>
        <v>14</v>
      </c>
      <c r="P304" s="5" t="str">
        <f>IF(AND(Table1[[#This Row],[customer_rating]]&gt;=8, Table1[[#This Row],[Tat_day]]&lt;=7, Table1[[#This Row],[lead_type]]="Hot"), "High", "Normal")</f>
        <v>Normal</v>
      </c>
      <c r="Q304" s="5" t="str">
        <f>IF(Table1[[#This Row],[customer_rating]]&gt;=9,"Promoter",IF(Table1[[#This Row],[customer_rating]]&gt;=7,"Passive","Detractor"))</f>
        <v>Detractor</v>
      </c>
      <c r="R304" s="5"/>
    </row>
    <row r="305" spans="1:18">
      <c r="A305" t="s">
        <v>331</v>
      </c>
      <c r="B305" t="s">
        <v>19</v>
      </c>
      <c r="C305" t="s">
        <v>15</v>
      </c>
      <c r="D305" s="5">
        <v>45944</v>
      </c>
      <c r="E305" s="5">
        <v>45949</v>
      </c>
      <c r="F305" s="5">
        <v>45954</v>
      </c>
      <c r="G305" s="5">
        <v>45957</v>
      </c>
      <c r="H305" t="s">
        <v>16</v>
      </c>
      <c r="I305" t="s">
        <v>17</v>
      </c>
      <c r="J305" s="5">
        <v>45984</v>
      </c>
      <c r="K305" s="15">
        <f t="shared" si="15"/>
        <v>5</v>
      </c>
      <c r="L305">
        <f t="shared" si="13"/>
        <v>5</v>
      </c>
      <c r="M305">
        <f t="shared" si="14"/>
        <v>3</v>
      </c>
      <c r="N305">
        <v>6</v>
      </c>
      <c r="O305">
        <f>DATEDIF(Table1[[#This Row],[lead_date]], Table1[[#This Row],[delivery_date]], "d")</f>
        <v>13</v>
      </c>
      <c r="P305" s="5" t="str">
        <f>IF(AND(Table1[[#This Row],[customer_rating]]&gt;=8, Table1[[#This Row],[Tat_day]]&lt;=7, Table1[[#This Row],[lead_type]]="Hot"), "High", "Normal")</f>
        <v>Normal</v>
      </c>
      <c r="Q305" s="5" t="str">
        <f>IF(Table1[[#This Row],[customer_rating]]&gt;=9,"Promoter",IF(Table1[[#This Row],[customer_rating]]&gt;=7,"Passive","Detractor"))</f>
        <v>Detractor</v>
      </c>
      <c r="R305" s="5"/>
    </row>
    <row r="306" spans="1:18">
      <c r="A306" t="s">
        <v>332</v>
      </c>
      <c r="B306" t="s">
        <v>32</v>
      </c>
      <c r="C306" t="s">
        <v>15</v>
      </c>
      <c r="D306" s="5">
        <v>45954</v>
      </c>
      <c r="E306" s="5">
        <v>45956</v>
      </c>
      <c r="F306" s="5">
        <v>45958</v>
      </c>
      <c r="G306" s="5">
        <v>45963</v>
      </c>
      <c r="H306" t="s">
        <v>16</v>
      </c>
      <c r="I306" t="s">
        <v>17</v>
      </c>
      <c r="J306" s="5">
        <v>45974</v>
      </c>
      <c r="K306" s="15">
        <f t="shared" si="15"/>
        <v>2</v>
      </c>
      <c r="L306">
        <f t="shared" si="13"/>
        <v>2</v>
      </c>
      <c r="M306">
        <f t="shared" si="14"/>
        <v>5</v>
      </c>
      <c r="N306">
        <v>1</v>
      </c>
      <c r="O306">
        <f>DATEDIF(Table1[[#This Row],[lead_date]], Table1[[#This Row],[delivery_date]], "d")</f>
        <v>9</v>
      </c>
      <c r="P306" s="5" t="str">
        <f>IF(AND(Table1[[#This Row],[customer_rating]]&gt;=8, Table1[[#This Row],[Tat_day]]&lt;=7, Table1[[#This Row],[lead_type]]="Hot"), "High", "Normal")</f>
        <v>Normal</v>
      </c>
      <c r="Q306" s="5" t="str">
        <f>IF(Table1[[#This Row],[customer_rating]]&gt;=9,"Promoter",IF(Table1[[#This Row],[customer_rating]]&gt;=7,"Passive","Detractor"))</f>
        <v>Detractor</v>
      </c>
      <c r="R306" s="5"/>
    </row>
    <row r="307" spans="1:18">
      <c r="A307" t="s">
        <v>333</v>
      </c>
      <c r="B307" t="s">
        <v>19</v>
      </c>
      <c r="C307" t="s">
        <v>15</v>
      </c>
      <c r="D307" s="5">
        <v>45941</v>
      </c>
      <c r="E307" s="5">
        <v>45944</v>
      </c>
      <c r="F307" s="5">
        <v>45949</v>
      </c>
      <c r="G307" s="5">
        <v>45952</v>
      </c>
      <c r="H307" t="s">
        <v>16</v>
      </c>
      <c r="I307" t="s">
        <v>17</v>
      </c>
      <c r="J307" s="5">
        <v>45974</v>
      </c>
      <c r="K307" s="15">
        <f t="shared" si="15"/>
        <v>3</v>
      </c>
      <c r="L307">
        <f t="shared" si="13"/>
        <v>5</v>
      </c>
      <c r="M307">
        <f t="shared" si="14"/>
        <v>3</v>
      </c>
      <c r="N307">
        <v>1</v>
      </c>
      <c r="O307">
        <f>DATEDIF(Table1[[#This Row],[lead_date]], Table1[[#This Row],[delivery_date]], "d")</f>
        <v>11</v>
      </c>
      <c r="P307" s="5" t="str">
        <f>IF(AND(Table1[[#This Row],[customer_rating]]&gt;=8, Table1[[#This Row],[Tat_day]]&lt;=7, Table1[[#This Row],[lead_type]]="Hot"), "High", "Normal")</f>
        <v>Normal</v>
      </c>
      <c r="Q307" s="5" t="str">
        <f>IF(Table1[[#This Row],[customer_rating]]&gt;=9,"Promoter",IF(Table1[[#This Row],[customer_rating]]&gt;=7,"Passive","Detractor"))</f>
        <v>Detractor</v>
      </c>
      <c r="R307" s="5"/>
    </row>
    <row r="308" spans="1:18">
      <c r="A308" t="s">
        <v>334</v>
      </c>
      <c r="B308" t="s">
        <v>32</v>
      </c>
      <c r="C308" t="s">
        <v>15</v>
      </c>
      <c r="D308" s="5">
        <v>45950</v>
      </c>
      <c r="E308" s="5">
        <v>45955</v>
      </c>
      <c r="F308" s="5">
        <v>45960</v>
      </c>
      <c r="G308" s="5">
        <v>45965</v>
      </c>
      <c r="H308" t="s">
        <v>16</v>
      </c>
      <c r="I308" t="s">
        <v>17</v>
      </c>
      <c r="J308" s="5">
        <v>45991</v>
      </c>
      <c r="K308" s="15">
        <f t="shared" si="15"/>
        <v>5</v>
      </c>
      <c r="L308">
        <f t="shared" si="13"/>
        <v>5</v>
      </c>
      <c r="M308">
        <f t="shared" si="14"/>
        <v>5</v>
      </c>
      <c r="N308">
        <v>8</v>
      </c>
      <c r="O308">
        <f>DATEDIF(Table1[[#This Row],[lead_date]], Table1[[#This Row],[delivery_date]], "d")</f>
        <v>15</v>
      </c>
      <c r="P308" s="5" t="str">
        <f>IF(AND(Table1[[#This Row],[customer_rating]]&gt;=8, Table1[[#This Row],[Tat_day]]&lt;=7, Table1[[#This Row],[lead_type]]="Hot"), "High", "Normal")</f>
        <v>Normal</v>
      </c>
      <c r="Q308" s="5" t="str">
        <f>IF(Table1[[#This Row],[customer_rating]]&gt;=9,"Promoter",IF(Table1[[#This Row],[customer_rating]]&gt;=7,"Passive","Detractor"))</f>
        <v>Passive</v>
      </c>
      <c r="R308" s="5"/>
    </row>
    <row r="309" spans="1:18">
      <c r="A309" t="s">
        <v>335</v>
      </c>
      <c r="B309" t="s">
        <v>19</v>
      </c>
      <c r="C309" t="s">
        <v>15</v>
      </c>
      <c r="D309" s="5">
        <v>45939</v>
      </c>
      <c r="E309" s="5">
        <v>45943</v>
      </c>
      <c r="F309" s="5">
        <v>45945</v>
      </c>
      <c r="G309" s="5">
        <v>45949</v>
      </c>
      <c r="H309" t="s">
        <v>16</v>
      </c>
      <c r="I309" t="s">
        <v>17</v>
      </c>
      <c r="J309" s="5">
        <v>45972</v>
      </c>
      <c r="K309" s="15">
        <f t="shared" si="15"/>
        <v>4</v>
      </c>
      <c r="L309">
        <f t="shared" si="13"/>
        <v>2</v>
      </c>
      <c r="M309">
        <f t="shared" si="14"/>
        <v>4</v>
      </c>
      <c r="N309">
        <v>9</v>
      </c>
      <c r="O309">
        <f>DATEDIF(Table1[[#This Row],[lead_date]], Table1[[#This Row],[delivery_date]], "d")</f>
        <v>10</v>
      </c>
      <c r="P309" s="5" t="str">
        <f>IF(AND(Table1[[#This Row],[customer_rating]]&gt;=8, Table1[[#This Row],[Tat_day]]&lt;=7, Table1[[#This Row],[lead_type]]="Hot"), "High", "Normal")</f>
        <v>Normal</v>
      </c>
      <c r="Q309" s="5" t="str">
        <f>IF(Table1[[#This Row],[customer_rating]]&gt;=9,"Promoter",IF(Table1[[#This Row],[customer_rating]]&gt;=7,"Passive","Detractor"))</f>
        <v>Promoter</v>
      </c>
      <c r="R309" s="5"/>
    </row>
    <row r="310" spans="1:18">
      <c r="A310" t="s">
        <v>336</v>
      </c>
      <c r="B310" t="s">
        <v>21</v>
      </c>
      <c r="C310" t="s">
        <v>15</v>
      </c>
      <c r="D310" s="5">
        <v>45931</v>
      </c>
      <c r="E310" s="5">
        <v>45936</v>
      </c>
      <c r="F310" s="5">
        <v>45938</v>
      </c>
      <c r="G310" s="5">
        <v>45942</v>
      </c>
      <c r="H310" t="s">
        <v>16</v>
      </c>
      <c r="I310" t="s">
        <v>17</v>
      </c>
      <c r="J310" s="5">
        <v>45969</v>
      </c>
      <c r="K310" s="15">
        <f t="shared" si="15"/>
        <v>5</v>
      </c>
      <c r="L310">
        <f t="shared" si="13"/>
        <v>2</v>
      </c>
      <c r="M310">
        <f t="shared" si="14"/>
        <v>4</v>
      </c>
      <c r="N310">
        <v>6</v>
      </c>
      <c r="O310">
        <f>DATEDIF(Table1[[#This Row],[lead_date]], Table1[[#This Row],[delivery_date]], "d")</f>
        <v>11</v>
      </c>
      <c r="P310" s="5" t="str">
        <f>IF(AND(Table1[[#This Row],[customer_rating]]&gt;=8, Table1[[#This Row],[Tat_day]]&lt;=7, Table1[[#This Row],[lead_type]]="Hot"), "High", "Normal")</f>
        <v>Normal</v>
      </c>
      <c r="Q310" s="5" t="str">
        <f>IF(Table1[[#This Row],[customer_rating]]&gt;=9,"Promoter",IF(Table1[[#This Row],[customer_rating]]&gt;=7,"Passive","Detractor"))</f>
        <v>Detractor</v>
      </c>
      <c r="R310" s="5"/>
    </row>
    <row r="311" spans="1:18">
      <c r="A311" t="s">
        <v>337</v>
      </c>
      <c r="B311" t="s">
        <v>32</v>
      </c>
      <c r="C311" t="s">
        <v>15</v>
      </c>
      <c r="D311" s="5">
        <v>45933</v>
      </c>
      <c r="E311" s="5">
        <v>45935</v>
      </c>
      <c r="F311" s="5">
        <v>45938</v>
      </c>
      <c r="G311" s="5">
        <v>45942</v>
      </c>
      <c r="H311" t="s">
        <v>16</v>
      </c>
      <c r="I311" t="s">
        <v>17</v>
      </c>
      <c r="J311" s="5">
        <v>45967</v>
      </c>
      <c r="K311" s="15">
        <f t="shared" si="15"/>
        <v>2</v>
      </c>
      <c r="L311">
        <f t="shared" si="13"/>
        <v>3</v>
      </c>
      <c r="M311">
        <f t="shared" si="14"/>
        <v>4</v>
      </c>
      <c r="N311">
        <v>5</v>
      </c>
      <c r="O311">
        <f>DATEDIF(Table1[[#This Row],[lead_date]], Table1[[#This Row],[delivery_date]], "d")</f>
        <v>9</v>
      </c>
      <c r="P311" s="5" t="str">
        <f>IF(AND(Table1[[#This Row],[customer_rating]]&gt;=8, Table1[[#This Row],[Tat_day]]&lt;=7, Table1[[#This Row],[lead_type]]="Hot"), "High", "Normal")</f>
        <v>Normal</v>
      </c>
      <c r="Q311" s="5" t="str">
        <f>IF(Table1[[#This Row],[customer_rating]]&gt;=9,"Promoter",IF(Table1[[#This Row],[customer_rating]]&gt;=7,"Passive","Detractor"))</f>
        <v>Detractor</v>
      </c>
      <c r="R311" s="5"/>
    </row>
    <row r="312" spans="1:18">
      <c r="A312" t="s">
        <v>338</v>
      </c>
      <c r="B312" t="s">
        <v>21</v>
      </c>
      <c r="C312" t="s">
        <v>30</v>
      </c>
      <c r="D312" s="5">
        <v>45938</v>
      </c>
      <c r="E312" s="5">
        <v>45939</v>
      </c>
      <c r="F312" s="5">
        <v>45944</v>
      </c>
      <c r="G312" s="5">
        <v>45948</v>
      </c>
      <c r="H312" t="s">
        <v>16</v>
      </c>
      <c r="I312" t="s">
        <v>17</v>
      </c>
      <c r="J312" s="5">
        <v>45976</v>
      </c>
      <c r="K312" s="15">
        <f t="shared" si="15"/>
        <v>1</v>
      </c>
      <c r="L312">
        <f t="shared" si="13"/>
        <v>5</v>
      </c>
      <c r="M312">
        <f t="shared" si="14"/>
        <v>4</v>
      </c>
      <c r="N312">
        <v>3</v>
      </c>
      <c r="O312">
        <f>DATEDIF(Table1[[#This Row],[lead_date]], Table1[[#This Row],[delivery_date]], "d")</f>
        <v>10</v>
      </c>
      <c r="P312" s="5" t="str">
        <f>IF(AND(Table1[[#This Row],[customer_rating]]&gt;=8, Table1[[#This Row],[Tat_day]]&lt;=7, Table1[[#This Row],[lead_type]]="Hot"), "High", "Normal")</f>
        <v>Normal</v>
      </c>
      <c r="Q312" s="5" t="str">
        <f>IF(Table1[[#This Row],[customer_rating]]&gt;=9,"Promoter",IF(Table1[[#This Row],[customer_rating]]&gt;=7,"Passive","Detractor"))</f>
        <v>Detractor</v>
      </c>
      <c r="R312" s="5"/>
    </row>
    <row r="313" spans="1:18">
      <c r="A313" t="s">
        <v>339</v>
      </c>
      <c r="B313" t="s">
        <v>14</v>
      </c>
      <c r="C313" t="s">
        <v>30</v>
      </c>
      <c r="D313" s="5">
        <v>45961</v>
      </c>
      <c r="E313" s="5">
        <v>45965</v>
      </c>
      <c r="F313" s="5">
        <v>45969</v>
      </c>
      <c r="G313" s="5">
        <v>45975</v>
      </c>
      <c r="H313" t="s">
        <v>16</v>
      </c>
      <c r="I313" t="s">
        <v>17</v>
      </c>
      <c r="J313" s="5">
        <v>45992</v>
      </c>
      <c r="K313" s="15">
        <f t="shared" si="15"/>
        <v>4</v>
      </c>
      <c r="L313">
        <f t="shared" si="13"/>
        <v>4</v>
      </c>
      <c r="M313">
        <f t="shared" si="14"/>
        <v>6</v>
      </c>
      <c r="N313">
        <v>6</v>
      </c>
      <c r="O313">
        <f>DATEDIF(Table1[[#This Row],[lead_date]], Table1[[#This Row],[delivery_date]], "d")</f>
        <v>14</v>
      </c>
      <c r="P313" s="5" t="str">
        <f>IF(AND(Table1[[#This Row],[customer_rating]]&gt;=8, Table1[[#This Row],[Tat_day]]&lt;=7, Table1[[#This Row],[lead_type]]="Hot"), "High", "Normal")</f>
        <v>Normal</v>
      </c>
      <c r="Q313" s="5" t="str">
        <f>IF(Table1[[#This Row],[customer_rating]]&gt;=9,"Promoter",IF(Table1[[#This Row],[customer_rating]]&gt;=7,"Passive","Detractor"))</f>
        <v>Detractor</v>
      </c>
      <c r="R313" s="5"/>
    </row>
    <row r="314" spans="1:18">
      <c r="A314" t="s">
        <v>340</v>
      </c>
      <c r="B314" t="s">
        <v>19</v>
      </c>
      <c r="C314" t="s">
        <v>15</v>
      </c>
      <c r="D314" s="5">
        <v>45952</v>
      </c>
      <c r="E314" s="5">
        <v>45953</v>
      </c>
      <c r="F314" s="5">
        <v>45954</v>
      </c>
      <c r="G314" s="5">
        <v>45960</v>
      </c>
      <c r="H314" t="s">
        <v>16</v>
      </c>
      <c r="I314" t="s">
        <v>17</v>
      </c>
      <c r="J314" s="5">
        <v>45985</v>
      </c>
      <c r="K314" s="15">
        <f t="shared" si="15"/>
        <v>1</v>
      </c>
      <c r="L314">
        <f t="shared" si="13"/>
        <v>1</v>
      </c>
      <c r="M314">
        <f t="shared" si="14"/>
        <v>6</v>
      </c>
      <c r="N314">
        <v>6</v>
      </c>
      <c r="O314">
        <f>DATEDIF(Table1[[#This Row],[lead_date]], Table1[[#This Row],[delivery_date]], "d")</f>
        <v>8</v>
      </c>
      <c r="P314" s="5" t="str">
        <f>IF(AND(Table1[[#This Row],[customer_rating]]&gt;=8, Table1[[#This Row],[Tat_day]]&lt;=7, Table1[[#This Row],[lead_type]]="Hot"), "High", "Normal")</f>
        <v>Normal</v>
      </c>
      <c r="Q314" s="5" t="str">
        <f>IF(Table1[[#This Row],[customer_rating]]&gt;=9,"Promoter",IF(Table1[[#This Row],[customer_rating]]&gt;=7,"Passive","Detractor"))</f>
        <v>Detractor</v>
      </c>
      <c r="R314" s="5"/>
    </row>
    <row r="315" spans="1:18">
      <c r="A315" t="s">
        <v>341</v>
      </c>
      <c r="B315" t="s">
        <v>14</v>
      </c>
      <c r="C315" t="s">
        <v>15</v>
      </c>
      <c r="D315" s="5">
        <v>45957</v>
      </c>
      <c r="E315" s="5">
        <v>45960</v>
      </c>
      <c r="F315" s="5">
        <v>45962</v>
      </c>
      <c r="G315" s="5">
        <v>45965</v>
      </c>
      <c r="H315" t="s">
        <v>16</v>
      </c>
      <c r="I315" t="s">
        <v>17</v>
      </c>
      <c r="J315" s="5">
        <v>45984</v>
      </c>
      <c r="K315" s="15">
        <f t="shared" si="15"/>
        <v>3</v>
      </c>
      <c r="L315">
        <f t="shared" si="13"/>
        <v>2</v>
      </c>
      <c r="M315">
        <f t="shared" si="14"/>
        <v>3</v>
      </c>
      <c r="N315">
        <v>6</v>
      </c>
      <c r="O315">
        <f>DATEDIF(Table1[[#This Row],[lead_date]], Table1[[#This Row],[delivery_date]], "d")</f>
        <v>8</v>
      </c>
      <c r="P315" s="5" t="str">
        <f>IF(AND(Table1[[#This Row],[customer_rating]]&gt;=8, Table1[[#This Row],[Tat_day]]&lt;=7, Table1[[#This Row],[lead_type]]="Hot"), "High", "Normal")</f>
        <v>Normal</v>
      </c>
      <c r="Q315" s="5" t="str">
        <f>IF(Table1[[#This Row],[customer_rating]]&gt;=9,"Promoter",IF(Table1[[#This Row],[customer_rating]]&gt;=7,"Passive","Detractor"))</f>
        <v>Detractor</v>
      </c>
      <c r="R315" s="5"/>
    </row>
    <row r="316" spans="1:18">
      <c r="A316" t="s">
        <v>342</v>
      </c>
      <c r="B316" t="s">
        <v>14</v>
      </c>
      <c r="C316" t="s">
        <v>15</v>
      </c>
      <c r="D316" s="5">
        <v>45958</v>
      </c>
      <c r="E316" s="5">
        <v>45959</v>
      </c>
      <c r="F316" s="5">
        <v>45964</v>
      </c>
      <c r="G316" s="5">
        <v>45970</v>
      </c>
      <c r="H316" t="s">
        <v>16</v>
      </c>
      <c r="I316" t="s">
        <v>17</v>
      </c>
      <c r="J316" s="5">
        <v>45982</v>
      </c>
      <c r="K316" s="15">
        <f t="shared" si="15"/>
        <v>1</v>
      </c>
      <c r="L316">
        <f t="shared" si="13"/>
        <v>5</v>
      </c>
      <c r="M316">
        <f t="shared" si="14"/>
        <v>6</v>
      </c>
      <c r="N316">
        <v>4</v>
      </c>
      <c r="O316">
        <f>DATEDIF(Table1[[#This Row],[lead_date]], Table1[[#This Row],[delivery_date]], "d")</f>
        <v>12</v>
      </c>
      <c r="P316" s="5" t="str">
        <f>IF(AND(Table1[[#This Row],[customer_rating]]&gt;=8, Table1[[#This Row],[Tat_day]]&lt;=7, Table1[[#This Row],[lead_type]]="Hot"), "High", "Normal")</f>
        <v>Normal</v>
      </c>
      <c r="Q316" s="5" t="str">
        <f>IF(Table1[[#This Row],[customer_rating]]&gt;=9,"Promoter",IF(Table1[[#This Row],[customer_rating]]&gt;=7,"Passive","Detractor"))</f>
        <v>Detractor</v>
      </c>
      <c r="R316" s="5"/>
    </row>
    <row r="317" spans="1:18">
      <c r="A317" t="s">
        <v>343</v>
      </c>
      <c r="B317" t="s">
        <v>14</v>
      </c>
      <c r="C317" t="s">
        <v>15</v>
      </c>
      <c r="D317" s="5">
        <v>45949</v>
      </c>
      <c r="E317" s="5">
        <v>45954</v>
      </c>
      <c r="F317" s="5">
        <v>45958</v>
      </c>
      <c r="G317" s="5">
        <v>45963</v>
      </c>
      <c r="H317" t="s">
        <v>16</v>
      </c>
      <c r="I317" t="s">
        <v>17</v>
      </c>
      <c r="J317" s="5">
        <v>45985</v>
      </c>
      <c r="K317" s="15">
        <f t="shared" si="15"/>
        <v>5</v>
      </c>
      <c r="L317">
        <f t="shared" si="13"/>
        <v>4</v>
      </c>
      <c r="M317">
        <f t="shared" si="14"/>
        <v>5</v>
      </c>
      <c r="N317">
        <v>5</v>
      </c>
      <c r="O317">
        <f>DATEDIF(Table1[[#This Row],[lead_date]], Table1[[#This Row],[delivery_date]], "d")</f>
        <v>14</v>
      </c>
      <c r="P317" s="5" t="str">
        <f>IF(AND(Table1[[#This Row],[customer_rating]]&gt;=8, Table1[[#This Row],[Tat_day]]&lt;=7, Table1[[#This Row],[lead_type]]="Hot"), "High", "Normal")</f>
        <v>Normal</v>
      </c>
      <c r="Q317" s="5" t="str">
        <f>IF(Table1[[#This Row],[customer_rating]]&gt;=9,"Promoter",IF(Table1[[#This Row],[customer_rating]]&gt;=7,"Passive","Detractor"))</f>
        <v>Detractor</v>
      </c>
      <c r="R317" s="5"/>
    </row>
    <row r="318" spans="1:18">
      <c r="A318" t="s">
        <v>344</v>
      </c>
      <c r="B318" t="s">
        <v>14</v>
      </c>
      <c r="C318" t="s">
        <v>15</v>
      </c>
      <c r="D318" s="5">
        <v>45949</v>
      </c>
      <c r="E318" s="5">
        <v>45951</v>
      </c>
      <c r="F318" s="5">
        <v>45952</v>
      </c>
      <c r="G318" s="5">
        <v>45956</v>
      </c>
      <c r="H318" t="s">
        <v>16</v>
      </c>
      <c r="I318" t="s">
        <v>17</v>
      </c>
      <c r="J318" s="5">
        <v>45967</v>
      </c>
      <c r="K318" s="15">
        <f t="shared" si="15"/>
        <v>2</v>
      </c>
      <c r="L318">
        <f t="shared" si="13"/>
        <v>1</v>
      </c>
      <c r="M318">
        <f t="shared" si="14"/>
        <v>4</v>
      </c>
      <c r="N318">
        <v>9</v>
      </c>
      <c r="O318">
        <f>DATEDIF(Table1[[#This Row],[lead_date]], Table1[[#This Row],[delivery_date]], "d")</f>
        <v>7</v>
      </c>
      <c r="P318" s="5" t="str">
        <f>IF(AND(Table1[[#This Row],[customer_rating]]&gt;=8, Table1[[#This Row],[Tat_day]]&lt;=7, Table1[[#This Row],[lead_type]]="Hot"), "High", "Normal")</f>
        <v>Normal</v>
      </c>
      <c r="Q318" s="5" t="str">
        <f>IF(Table1[[#This Row],[customer_rating]]&gt;=9,"Promoter",IF(Table1[[#This Row],[customer_rating]]&gt;=7,"Passive","Detractor"))</f>
        <v>Promoter</v>
      </c>
      <c r="R318" s="5"/>
    </row>
    <row r="319" spans="1:18">
      <c r="A319" t="s">
        <v>345</v>
      </c>
      <c r="B319" t="s">
        <v>19</v>
      </c>
      <c r="C319" t="s">
        <v>15</v>
      </c>
      <c r="D319" s="5">
        <v>45961</v>
      </c>
      <c r="E319" s="5">
        <v>45962</v>
      </c>
      <c r="F319" s="5">
        <v>45967</v>
      </c>
      <c r="G319" s="5">
        <v>45974</v>
      </c>
      <c r="H319" t="s">
        <v>23</v>
      </c>
      <c r="I319" t="s">
        <v>63</v>
      </c>
      <c r="K319" s="15">
        <f t="shared" si="15"/>
        <v>1</v>
      </c>
      <c r="L319">
        <f t="shared" si="13"/>
        <v>5</v>
      </c>
      <c r="M319">
        <f t="shared" si="14"/>
        <v>7</v>
      </c>
      <c r="O319">
        <f>DATEDIF(Table1[[#This Row],[lead_date]], Table1[[#This Row],[delivery_date]], "d")</f>
        <v>13</v>
      </c>
      <c r="P319" s="5" t="str">
        <f>IF(AND(Table1[[#This Row],[customer_rating]]&gt;=8, Table1[[#This Row],[Tat_day]]&lt;=7, Table1[[#This Row],[lead_type]]="Hot"), "High", "Normal")</f>
        <v>Normal</v>
      </c>
      <c r="Q319" s="5" t="str">
        <f>IF(Table1[[#This Row],[customer_rating]]&gt;=9,"Promoter",IF(Table1[[#This Row],[customer_rating]]&gt;=7,"Passive","Detractor"))</f>
        <v>Detractor</v>
      </c>
      <c r="R319" s="5"/>
    </row>
    <row r="320" spans="1:18">
      <c r="A320" t="s">
        <v>346</v>
      </c>
      <c r="B320" t="s">
        <v>14</v>
      </c>
      <c r="C320" t="s">
        <v>15</v>
      </c>
      <c r="D320" s="5">
        <v>45931</v>
      </c>
      <c r="E320" s="5">
        <v>45933</v>
      </c>
      <c r="F320" s="5">
        <v>45937</v>
      </c>
      <c r="G320" s="5">
        <v>45939</v>
      </c>
      <c r="H320" t="s">
        <v>16</v>
      </c>
      <c r="I320" t="s">
        <v>17</v>
      </c>
      <c r="J320" s="5">
        <v>45965</v>
      </c>
      <c r="K320" s="15">
        <f t="shared" si="15"/>
        <v>2</v>
      </c>
      <c r="L320">
        <f t="shared" si="13"/>
        <v>4</v>
      </c>
      <c r="M320">
        <f t="shared" si="14"/>
        <v>2</v>
      </c>
      <c r="N320">
        <v>6</v>
      </c>
      <c r="O320">
        <f>DATEDIF(Table1[[#This Row],[lead_date]], Table1[[#This Row],[delivery_date]], "d")</f>
        <v>8</v>
      </c>
      <c r="P320" s="5" t="str">
        <f>IF(AND(Table1[[#This Row],[customer_rating]]&gt;=8, Table1[[#This Row],[Tat_day]]&lt;=7, Table1[[#This Row],[lead_type]]="Hot"), "High", "Normal")</f>
        <v>Normal</v>
      </c>
      <c r="Q320" s="5" t="str">
        <f>IF(Table1[[#This Row],[customer_rating]]&gt;=9,"Promoter",IF(Table1[[#This Row],[customer_rating]]&gt;=7,"Passive","Detractor"))</f>
        <v>Detractor</v>
      </c>
      <c r="R320" s="5"/>
    </row>
    <row r="321" spans="1:18">
      <c r="A321" t="s">
        <v>347</v>
      </c>
      <c r="B321" t="s">
        <v>19</v>
      </c>
      <c r="C321" t="s">
        <v>15</v>
      </c>
      <c r="D321" s="5">
        <v>45955</v>
      </c>
      <c r="E321" s="5">
        <v>45959</v>
      </c>
      <c r="F321" s="5">
        <v>45960</v>
      </c>
      <c r="G321" s="5">
        <v>45962</v>
      </c>
      <c r="H321" t="s">
        <v>23</v>
      </c>
      <c r="I321" t="s">
        <v>33</v>
      </c>
      <c r="K321" s="15">
        <f t="shared" si="15"/>
        <v>4</v>
      </c>
      <c r="L321">
        <f t="shared" si="13"/>
        <v>1</v>
      </c>
      <c r="M321">
        <f t="shared" si="14"/>
        <v>2</v>
      </c>
      <c r="O321">
        <f>DATEDIF(Table1[[#This Row],[lead_date]], Table1[[#This Row],[delivery_date]], "d")</f>
        <v>7</v>
      </c>
      <c r="P321" s="5" t="str">
        <f>IF(AND(Table1[[#This Row],[customer_rating]]&gt;=8, Table1[[#This Row],[Tat_day]]&lt;=7, Table1[[#This Row],[lead_type]]="Hot"), "High", "Normal")</f>
        <v>Normal</v>
      </c>
      <c r="Q321" s="5" t="str">
        <f>IF(Table1[[#This Row],[customer_rating]]&gt;=9,"Promoter",IF(Table1[[#This Row],[customer_rating]]&gt;=7,"Passive","Detractor"))</f>
        <v>Detractor</v>
      </c>
      <c r="R321" s="5"/>
    </row>
    <row r="322" spans="1:18">
      <c r="A322" t="s">
        <v>348</v>
      </c>
      <c r="B322" t="s">
        <v>19</v>
      </c>
      <c r="C322" t="s">
        <v>15</v>
      </c>
      <c r="D322" s="5">
        <v>45952</v>
      </c>
      <c r="E322" s="5">
        <v>45956</v>
      </c>
      <c r="F322" s="5">
        <v>45960</v>
      </c>
      <c r="G322" s="5">
        <v>45962</v>
      </c>
      <c r="H322" t="s">
        <v>16</v>
      </c>
      <c r="I322" t="s">
        <v>17</v>
      </c>
      <c r="J322" s="5">
        <v>45990</v>
      </c>
      <c r="K322" s="15">
        <f t="shared" si="15"/>
        <v>4</v>
      </c>
      <c r="L322">
        <f t="shared" si="13"/>
        <v>4</v>
      </c>
      <c r="M322">
        <f t="shared" si="14"/>
        <v>2</v>
      </c>
      <c r="N322">
        <v>4</v>
      </c>
      <c r="O322">
        <f>DATEDIF(Table1[[#This Row],[lead_date]], Table1[[#This Row],[delivery_date]], "d")</f>
        <v>10</v>
      </c>
      <c r="P322" s="5" t="str">
        <f>IF(AND(Table1[[#This Row],[customer_rating]]&gt;=8, Table1[[#This Row],[Tat_day]]&lt;=7, Table1[[#This Row],[lead_type]]="Hot"), "High", "Normal")</f>
        <v>Normal</v>
      </c>
      <c r="Q322" s="5" t="str">
        <f>IF(Table1[[#This Row],[customer_rating]]&gt;=9,"Promoter",IF(Table1[[#This Row],[customer_rating]]&gt;=7,"Passive","Detractor"))</f>
        <v>Detractor</v>
      </c>
      <c r="R322" s="5"/>
    </row>
    <row r="323" spans="1:18">
      <c r="A323" t="s">
        <v>349</v>
      </c>
      <c r="B323" t="s">
        <v>21</v>
      </c>
      <c r="C323" t="s">
        <v>22</v>
      </c>
      <c r="D323" s="5">
        <v>45957</v>
      </c>
      <c r="H323" t="s">
        <v>23</v>
      </c>
      <c r="I323" t="s">
        <v>1028</v>
      </c>
      <c r="K323" s="15" t="str">
        <f t="shared" si="15"/>
        <v/>
      </c>
      <c r="L323" t="str">
        <f t="shared" ref="L323:L386" si="16">IF(OR(E323="", F323=""), "", INT(F323 - E323))</f>
        <v/>
      </c>
      <c r="M323" t="str">
        <f t="shared" ref="M323:M386" si="17">IF(OR(F323="", G323=""), "", INT(G323 - F323))</f>
        <v/>
      </c>
      <c r="O323"/>
      <c r="P323" s="5" t="str">
        <f>IF(AND(Table1[[#This Row],[customer_rating]]&gt;=8, Table1[[#This Row],[Tat_day]]&lt;=7, Table1[[#This Row],[lead_type]]="Hot"), "High", "Normal")</f>
        <v>Normal</v>
      </c>
      <c r="Q323" s="5" t="str">
        <f>IF(Table1[[#This Row],[customer_rating]]&gt;=9,"Promoter",IF(Table1[[#This Row],[customer_rating]]&gt;=7,"Passive","Detractor"))</f>
        <v>Detractor</v>
      </c>
      <c r="R323" s="5"/>
    </row>
    <row r="324" spans="1:18">
      <c r="A324" t="s">
        <v>350</v>
      </c>
      <c r="B324" t="s">
        <v>32</v>
      </c>
      <c r="C324" t="s">
        <v>15</v>
      </c>
      <c r="D324" s="5">
        <v>45939</v>
      </c>
      <c r="E324" s="5">
        <v>45944</v>
      </c>
      <c r="F324" s="5">
        <v>45946</v>
      </c>
      <c r="G324" s="5">
        <v>45953</v>
      </c>
      <c r="H324" t="s">
        <v>23</v>
      </c>
      <c r="I324" t="s">
        <v>63</v>
      </c>
      <c r="K324" s="15">
        <f t="shared" si="15"/>
        <v>5</v>
      </c>
      <c r="L324">
        <f t="shared" si="16"/>
        <v>2</v>
      </c>
      <c r="M324">
        <f t="shared" si="17"/>
        <v>7</v>
      </c>
      <c r="O324">
        <f>DATEDIF(Table1[[#This Row],[lead_date]], Table1[[#This Row],[delivery_date]], "d")</f>
        <v>14</v>
      </c>
      <c r="P324" s="5" t="str">
        <f>IF(AND(Table1[[#This Row],[customer_rating]]&gt;=8, Table1[[#This Row],[Tat_day]]&lt;=7, Table1[[#This Row],[lead_type]]="Hot"), "High", "Normal")</f>
        <v>Normal</v>
      </c>
      <c r="Q324" s="5" t="str">
        <f>IF(Table1[[#This Row],[customer_rating]]&gt;=9,"Promoter",IF(Table1[[#This Row],[customer_rating]]&gt;=7,"Passive","Detractor"))</f>
        <v>Detractor</v>
      </c>
      <c r="R324" s="5"/>
    </row>
    <row r="325" spans="1:18">
      <c r="A325" t="s">
        <v>351</v>
      </c>
      <c r="B325" t="s">
        <v>32</v>
      </c>
      <c r="C325" t="s">
        <v>30</v>
      </c>
      <c r="D325" s="5">
        <v>45949</v>
      </c>
      <c r="E325" s="5">
        <v>45954</v>
      </c>
      <c r="F325" s="5">
        <v>45959</v>
      </c>
      <c r="G325" s="5">
        <v>45964</v>
      </c>
      <c r="H325" t="s">
        <v>16</v>
      </c>
      <c r="I325" t="s">
        <v>17</v>
      </c>
      <c r="J325" s="5">
        <v>45990</v>
      </c>
      <c r="K325" s="15">
        <f t="shared" si="15"/>
        <v>5</v>
      </c>
      <c r="L325">
        <f t="shared" si="16"/>
        <v>5</v>
      </c>
      <c r="M325">
        <f t="shared" si="17"/>
        <v>5</v>
      </c>
      <c r="N325">
        <v>2</v>
      </c>
      <c r="O325">
        <f>DATEDIF(Table1[[#This Row],[lead_date]], Table1[[#This Row],[delivery_date]], "d")</f>
        <v>15</v>
      </c>
      <c r="P325" s="5" t="str">
        <f>IF(AND(Table1[[#This Row],[customer_rating]]&gt;=8, Table1[[#This Row],[Tat_day]]&lt;=7, Table1[[#This Row],[lead_type]]="Hot"), "High", "Normal")</f>
        <v>Normal</v>
      </c>
      <c r="Q325" s="5" t="str">
        <f>IF(Table1[[#This Row],[customer_rating]]&gt;=9,"Promoter",IF(Table1[[#This Row],[customer_rating]]&gt;=7,"Passive","Detractor"))</f>
        <v>Detractor</v>
      </c>
      <c r="R325" s="5"/>
    </row>
    <row r="326" spans="1:18">
      <c r="A326" t="s">
        <v>352</v>
      </c>
      <c r="B326" t="s">
        <v>19</v>
      </c>
      <c r="C326" t="s">
        <v>30</v>
      </c>
      <c r="D326" s="5">
        <v>45932</v>
      </c>
      <c r="E326" s="5">
        <v>45937</v>
      </c>
      <c r="F326" s="5">
        <v>45941</v>
      </c>
      <c r="G326" s="5">
        <v>45943</v>
      </c>
      <c r="H326" t="s">
        <v>23</v>
      </c>
      <c r="I326" t="s">
        <v>24</v>
      </c>
      <c r="K326" s="15">
        <f t="shared" si="15"/>
        <v>5</v>
      </c>
      <c r="L326">
        <f t="shared" si="16"/>
        <v>4</v>
      </c>
      <c r="M326">
        <f t="shared" si="17"/>
        <v>2</v>
      </c>
      <c r="O326">
        <f>DATEDIF(Table1[[#This Row],[lead_date]], Table1[[#This Row],[delivery_date]], "d")</f>
        <v>11</v>
      </c>
      <c r="P326" s="5" t="str">
        <f>IF(AND(Table1[[#This Row],[customer_rating]]&gt;=8, Table1[[#This Row],[Tat_day]]&lt;=7, Table1[[#This Row],[lead_type]]="Hot"), "High", "Normal")</f>
        <v>Normal</v>
      </c>
      <c r="Q326" s="5" t="str">
        <f>IF(Table1[[#This Row],[customer_rating]]&gt;=9,"Promoter",IF(Table1[[#This Row],[customer_rating]]&gt;=7,"Passive","Detractor"))</f>
        <v>Detractor</v>
      </c>
      <c r="R326" s="5"/>
    </row>
    <row r="327" spans="1:18">
      <c r="A327" t="s">
        <v>353</v>
      </c>
      <c r="B327" t="s">
        <v>21</v>
      </c>
      <c r="C327" t="s">
        <v>30</v>
      </c>
      <c r="D327" s="5">
        <v>45955</v>
      </c>
      <c r="E327" s="5">
        <v>45957</v>
      </c>
      <c r="F327" s="5">
        <v>45961</v>
      </c>
      <c r="G327" s="5">
        <v>45963</v>
      </c>
      <c r="H327" t="s">
        <v>16</v>
      </c>
      <c r="I327" t="s">
        <v>17</v>
      </c>
      <c r="J327" s="5">
        <v>45991</v>
      </c>
      <c r="K327" s="15">
        <f t="shared" si="15"/>
        <v>2</v>
      </c>
      <c r="L327">
        <f t="shared" si="16"/>
        <v>4</v>
      </c>
      <c r="M327">
        <f t="shared" si="17"/>
        <v>2</v>
      </c>
      <c r="N327">
        <v>10</v>
      </c>
      <c r="O327">
        <f>DATEDIF(Table1[[#This Row],[lead_date]], Table1[[#This Row],[delivery_date]], "d")</f>
        <v>8</v>
      </c>
      <c r="P327" s="5" t="str">
        <f>IF(AND(Table1[[#This Row],[customer_rating]]&gt;=8, Table1[[#This Row],[Tat_day]]&lt;=7, Table1[[#This Row],[lead_type]]="Hot"), "High", "Normal")</f>
        <v>Normal</v>
      </c>
      <c r="Q327" s="5" t="str">
        <f>IF(Table1[[#This Row],[customer_rating]]&gt;=9,"Promoter",IF(Table1[[#This Row],[customer_rating]]&gt;=7,"Passive","Detractor"))</f>
        <v>Promoter</v>
      </c>
      <c r="R327" s="5"/>
    </row>
    <row r="328" spans="1:18">
      <c r="A328" t="s">
        <v>354</v>
      </c>
      <c r="B328" t="s">
        <v>19</v>
      </c>
      <c r="C328" t="s">
        <v>15</v>
      </c>
      <c r="D328" s="5">
        <v>45955</v>
      </c>
      <c r="E328" s="5">
        <v>45958</v>
      </c>
      <c r="F328" s="5">
        <v>45963</v>
      </c>
      <c r="G328" s="5">
        <v>45966</v>
      </c>
      <c r="H328" t="s">
        <v>16</v>
      </c>
      <c r="I328" t="s">
        <v>17</v>
      </c>
      <c r="J328" s="5">
        <v>45995</v>
      </c>
      <c r="K328" s="15">
        <f t="shared" si="15"/>
        <v>3</v>
      </c>
      <c r="L328">
        <f t="shared" si="16"/>
        <v>5</v>
      </c>
      <c r="M328">
        <f t="shared" si="17"/>
        <v>3</v>
      </c>
      <c r="N328">
        <v>6</v>
      </c>
      <c r="O328">
        <f>DATEDIF(Table1[[#This Row],[lead_date]], Table1[[#This Row],[delivery_date]], "d")</f>
        <v>11</v>
      </c>
      <c r="P328" s="5" t="str">
        <f>IF(AND(Table1[[#This Row],[customer_rating]]&gt;=8, Table1[[#This Row],[Tat_day]]&lt;=7, Table1[[#This Row],[lead_type]]="Hot"), "High", "Normal")</f>
        <v>Normal</v>
      </c>
      <c r="Q328" s="5" t="str">
        <f>IF(Table1[[#This Row],[customer_rating]]&gt;=9,"Promoter",IF(Table1[[#This Row],[customer_rating]]&gt;=7,"Passive","Detractor"))</f>
        <v>Detractor</v>
      </c>
      <c r="R328" s="5"/>
    </row>
    <row r="329" spans="1:18">
      <c r="A329" t="s">
        <v>355</v>
      </c>
      <c r="B329" t="s">
        <v>19</v>
      </c>
      <c r="C329" t="s">
        <v>15</v>
      </c>
      <c r="D329" s="5">
        <v>45936</v>
      </c>
      <c r="E329" s="5">
        <v>45939</v>
      </c>
      <c r="F329" s="5">
        <v>45940</v>
      </c>
      <c r="G329" s="5">
        <v>45945</v>
      </c>
      <c r="H329" t="s">
        <v>16</v>
      </c>
      <c r="I329" t="s">
        <v>17</v>
      </c>
      <c r="J329" s="5">
        <v>45959</v>
      </c>
      <c r="K329" s="15">
        <f t="shared" ref="K329:K392" si="18">IF(OR(D329="",E329=""),"",INT(E329-D329))</f>
        <v>3</v>
      </c>
      <c r="L329">
        <f t="shared" si="16"/>
        <v>1</v>
      </c>
      <c r="M329">
        <f t="shared" si="17"/>
        <v>5</v>
      </c>
      <c r="N329">
        <v>7</v>
      </c>
      <c r="O329">
        <f>DATEDIF(Table1[[#This Row],[lead_date]], Table1[[#This Row],[delivery_date]], "d")</f>
        <v>9</v>
      </c>
      <c r="P329" s="5" t="str">
        <f>IF(AND(Table1[[#This Row],[customer_rating]]&gt;=8, Table1[[#This Row],[Tat_day]]&lt;=7, Table1[[#This Row],[lead_type]]="Hot"), "High", "Normal")</f>
        <v>Normal</v>
      </c>
      <c r="Q329" s="5" t="str">
        <f>IF(Table1[[#This Row],[customer_rating]]&gt;=9,"Promoter",IF(Table1[[#This Row],[customer_rating]]&gt;=7,"Passive","Detractor"))</f>
        <v>Passive</v>
      </c>
      <c r="R329" s="5"/>
    </row>
    <row r="330" spans="1:18">
      <c r="A330" t="s">
        <v>356</v>
      </c>
      <c r="B330" t="s">
        <v>19</v>
      </c>
      <c r="C330" t="s">
        <v>15</v>
      </c>
      <c r="D330" s="5">
        <v>45946</v>
      </c>
      <c r="E330" s="5">
        <v>45949</v>
      </c>
      <c r="F330" s="5">
        <v>45954</v>
      </c>
      <c r="G330" s="5">
        <v>45959</v>
      </c>
      <c r="H330" t="s">
        <v>16</v>
      </c>
      <c r="I330" t="s">
        <v>17</v>
      </c>
      <c r="J330" s="5">
        <v>45972</v>
      </c>
      <c r="K330" s="15">
        <f t="shared" si="18"/>
        <v>3</v>
      </c>
      <c r="L330">
        <f t="shared" si="16"/>
        <v>5</v>
      </c>
      <c r="M330">
        <f t="shared" si="17"/>
        <v>5</v>
      </c>
      <c r="N330">
        <v>3</v>
      </c>
      <c r="O330">
        <f>DATEDIF(Table1[[#This Row],[lead_date]], Table1[[#This Row],[delivery_date]], "d")</f>
        <v>13</v>
      </c>
      <c r="P330" s="5" t="str">
        <f>IF(AND(Table1[[#This Row],[customer_rating]]&gt;=8, Table1[[#This Row],[Tat_day]]&lt;=7, Table1[[#This Row],[lead_type]]="Hot"), "High", "Normal")</f>
        <v>Normal</v>
      </c>
      <c r="Q330" s="5" t="str">
        <f>IF(Table1[[#This Row],[customer_rating]]&gt;=9,"Promoter",IF(Table1[[#This Row],[customer_rating]]&gt;=7,"Passive","Detractor"))</f>
        <v>Detractor</v>
      </c>
      <c r="R330" s="5"/>
    </row>
    <row r="331" spans="1:18">
      <c r="A331" t="s">
        <v>357</v>
      </c>
      <c r="B331" t="s">
        <v>21</v>
      </c>
      <c r="C331" t="s">
        <v>15</v>
      </c>
      <c r="D331" s="5">
        <v>45947</v>
      </c>
      <c r="E331" s="5">
        <v>45951</v>
      </c>
      <c r="F331" s="5">
        <v>45955</v>
      </c>
      <c r="G331" s="5">
        <v>45957</v>
      </c>
      <c r="H331" t="s">
        <v>16</v>
      </c>
      <c r="I331" t="s">
        <v>17</v>
      </c>
      <c r="J331" s="5">
        <v>45981</v>
      </c>
      <c r="K331" s="15">
        <f t="shared" si="18"/>
        <v>4</v>
      </c>
      <c r="L331">
        <f t="shared" si="16"/>
        <v>4</v>
      </c>
      <c r="M331">
        <f t="shared" si="17"/>
        <v>2</v>
      </c>
      <c r="N331">
        <v>2</v>
      </c>
      <c r="O331">
        <f>DATEDIF(Table1[[#This Row],[lead_date]], Table1[[#This Row],[delivery_date]], "d")</f>
        <v>10</v>
      </c>
      <c r="P331" s="5" t="str">
        <f>IF(AND(Table1[[#This Row],[customer_rating]]&gt;=8, Table1[[#This Row],[Tat_day]]&lt;=7, Table1[[#This Row],[lead_type]]="Hot"), "High", "Normal")</f>
        <v>Normal</v>
      </c>
      <c r="Q331" s="5" t="str">
        <f>IF(Table1[[#This Row],[customer_rating]]&gt;=9,"Promoter",IF(Table1[[#This Row],[customer_rating]]&gt;=7,"Passive","Detractor"))</f>
        <v>Detractor</v>
      </c>
      <c r="R331" s="5"/>
    </row>
    <row r="332" spans="1:18">
      <c r="A332" t="s">
        <v>358</v>
      </c>
      <c r="B332" t="s">
        <v>32</v>
      </c>
      <c r="C332" t="s">
        <v>30</v>
      </c>
      <c r="D332" s="5">
        <v>45951</v>
      </c>
      <c r="E332" s="5">
        <v>45955</v>
      </c>
      <c r="F332" s="5">
        <v>45958</v>
      </c>
      <c r="G332" s="5">
        <v>45963</v>
      </c>
      <c r="H332" t="s">
        <v>16</v>
      </c>
      <c r="I332" t="s">
        <v>17</v>
      </c>
      <c r="J332" s="5">
        <v>45978</v>
      </c>
      <c r="K332" s="15">
        <f t="shared" si="18"/>
        <v>4</v>
      </c>
      <c r="L332">
        <f t="shared" si="16"/>
        <v>3</v>
      </c>
      <c r="M332">
        <f t="shared" si="17"/>
        <v>5</v>
      </c>
      <c r="N332">
        <v>1</v>
      </c>
      <c r="O332">
        <f>DATEDIF(Table1[[#This Row],[lead_date]], Table1[[#This Row],[delivery_date]], "d")</f>
        <v>12</v>
      </c>
      <c r="P332" s="5" t="str">
        <f>IF(AND(Table1[[#This Row],[customer_rating]]&gt;=8, Table1[[#This Row],[Tat_day]]&lt;=7, Table1[[#This Row],[lead_type]]="Hot"), "High", "Normal")</f>
        <v>Normal</v>
      </c>
      <c r="Q332" s="5" t="str">
        <f>IF(Table1[[#This Row],[customer_rating]]&gt;=9,"Promoter",IF(Table1[[#This Row],[customer_rating]]&gt;=7,"Passive","Detractor"))</f>
        <v>Detractor</v>
      </c>
      <c r="R332" s="5"/>
    </row>
    <row r="333" spans="1:18">
      <c r="A333" t="s">
        <v>359</v>
      </c>
      <c r="B333" t="s">
        <v>21</v>
      </c>
      <c r="C333" t="s">
        <v>15</v>
      </c>
      <c r="D333" s="5">
        <v>45945</v>
      </c>
      <c r="E333" s="5">
        <v>45948</v>
      </c>
      <c r="F333" s="5">
        <v>45949</v>
      </c>
      <c r="G333" s="5">
        <v>45952</v>
      </c>
      <c r="H333" t="s">
        <v>16</v>
      </c>
      <c r="I333" t="s">
        <v>17</v>
      </c>
      <c r="J333" s="5">
        <v>45967</v>
      </c>
      <c r="K333" s="15">
        <f t="shared" si="18"/>
        <v>3</v>
      </c>
      <c r="L333">
        <f t="shared" si="16"/>
        <v>1</v>
      </c>
      <c r="M333">
        <f t="shared" si="17"/>
        <v>3</v>
      </c>
      <c r="N333">
        <v>0</v>
      </c>
      <c r="O333">
        <f>DATEDIF(Table1[[#This Row],[lead_date]], Table1[[#This Row],[delivery_date]], "d")</f>
        <v>7</v>
      </c>
      <c r="P333" s="5" t="str">
        <f>IF(AND(Table1[[#This Row],[customer_rating]]&gt;=8, Table1[[#This Row],[Tat_day]]&lt;=7, Table1[[#This Row],[lead_type]]="Hot"), "High", "Normal")</f>
        <v>Normal</v>
      </c>
      <c r="Q333" s="5" t="str">
        <f>IF(Table1[[#This Row],[customer_rating]]&gt;=9,"Promoter",IF(Table1[[#This Row],[customer_rating]]&gt;=7,"Passive","Detractor"))</f>
        <v>Detractor</v>
      </c>
      <c r="R333" s="5"/>
    </row>
    <row r="334" spans="1:18">
      <c r="A334" t="s">
        <v>360</v>
      </c>
      <c r="B334" t="s">
        <v>14</v>
      </c>
      <c r="C334" t="s">
        <v>30</v>
      </c>
      <c r="D334" s="5">
        <v>45960</v>
      </c>
      <c r="E334" s="5">
        <v>45965</v>
      </c>
      <c r="F334" s="5">
        <v>45969</v>
      </c>
      <c r="G334" s="5">
        <v>45976</v>
      </c>
      <c r="H334" t="s">
        <v>16</v>
      </c>
      <c r="I334" t="s">
        <v>17</v>
      </c>
      <c r="J334" s="5">
        <v>45992</v>
      </c>
      <c r="K334" s="15">
        <f t="shared" si="18"/>
        <v>5</v>
      </c>
      <c r="L334">
        <f t="shared" si="16"/>
        <v>4</v>
      </c>
      <c r="M334">
        <f t="shared" si="17"/>
        <v>7</v>
      </c>
      <c r="N334">
        <v>2</v>
      </c>
      <c r="O334">
        <f>DATEDIF(Table1[[#This Row],[lead_date]], Table1[[#This Row],[delivery_date]], "d")</f>
        <v>16</v>
      </c>
      <c r="P334" s="5" t="str">
        <f>IF(AND(Table1[[#This Row],[customer_rating]]&gt;=8, Table1[[#This Row],[Tat_day]]&lt;=7, Table1[[#This Row],[lead_type]]="Hot"), "High", "Normal")</f>
        <v>Normal</v>
      </c>
      <c r="Q334" s="5" t="str">
        <f>IF(Table1[[#This Row],[customer_rating]]&gt;=9,"Promoter",IF(Table1[[#This Row],[customer_rating]]&gt;=7,"Passive","Detractor"))</f>
        <v>Detractor</v>
      </c>
      <c r="R334" s="5"/>
    </row>
    <row r="335" spans="1:18">
      <c r="A335" t="s">
        <v>361</v>
      </c>
      <c r="B335" t="s">
        <v>21</v>
      </c>
      <c r="C335" t="s">
        <v>15</v>
      </c>
      <c r="D335" s="5">
        <v>45939</v>
      </c>
      <c r="E335" s="5">
        <v>45940</v>
      </c>
      <c r="F335" s="5">
        <v>45943</v>
      </c>
      <c r="G335" s="5">
        <v>45946</v>
      </c>
      <c r="H335" t="s">
        <v>16</v>
      </c>
      <c r="I335" t="s">
        <v>17</v>
      </c>
      <c r="J335" s="5">
        <v>45962</v>
      </c>
      <c r="K335" s="15">
        <f t="shared" si="18"/>
        <v>1</v>
      </c>
      <c r="L335">
        <f t="shared" si="16"/>
        <v>3</v>
      </c>
      <c r="M335">
        <f t="shared" si="17"/>
        <v>3</v>
      </c>
      <c r="N335">
        <v>2</v>
      </c>
      <c r="O335">
        <f>DATEDIF(Table1[[#This Row],[lead_date]], Table1[[#This Row],[delivery_date]], "d")</f>
        <v>7</v>
      </c>
      <c r="P335" s="5" t="str">
        <f>IF(AND(Table1[[#This Row],[customer_rating]]&gt;=8, Table1[[#This Row],[Tat_day]]&lt;=7, Table1[[#This Row],[lead_type]]="Hot"), "High", "Normal")</f>
        <v>Normal</v>
      </c>
      <c r="Q335" s="5" t="str">
        <f>IF(Table1[[#This Row],[customer_rating]]&gt;=9,"Promoter",IF(Table1[[#This Row],[customer_rating]]&gt;=7,"Passive","Detractor"))</f>
        <v>Detractor</v>
      </c>
      <c r="R335" s="5"/>
    </row>
    <row r="336" spans="1:18">
      <c r="A336" t="s">
        <v>362</v>
      </c>
      <c r="B336" t="s">
        <v>21</v>
      </c>
      <c r="C336" t="s">
        <v>30</v>
      </c>
      <c r="D336" s="5">
        <v>45936</v>
      </c>
      <c r="E336" s="5">
        <v>45939</v>
      </c>
      <c r="F336" s="5">
        <v>45940</v>
      </c>
      <c r="G336" s="5">
        <v>45947</v>
      </c>
      <c r="H336" t="s">
        <v>16</v>
      </c>
      <c r="I336" t="s">
        <v>17</v>
      </c>
      <c r="J336" s="5">
        <v>45961</v>
      </c>
      <c r="K336" s="15">
        <f t="shared" si="18"/>
        <v>3</v>
      </c>
      <c r="L336">
        <f t="shared" si="16"/>
        <v>1</v>
      </c>
      <c r="M336">
        <f t="shared" si="17"/>
        <v>7</v>
      </c>
      <c r="N336">
        <v>1</v>
      </c>
      <c r="O336">
        <f>DATEDIF(Table1[[#This Row],[lead_date]], Table1[[#This Row],[delivery_date]], "d")</f>
        <v>11</v>
      </c>
      <c r="P336" s="5" t="str">
        <f>IF(AND(Table1[[#This Row],[customer_rating]]&gt;=8, Table1[[#This Row],[Tat_day]]&lt;=7, Table1[[#This Row],[lead_type]]="Hot"), "High", "Normal")</f>
        <v>Normal</v>
      </c>
      <c r="Q336" s="5" t="str">
        <f>IF(Table1[[#This Row],[customer_rating]]&gt;=9,"Promoter",IF(Table1[[#This Row],[customer_rating]]&gt;=7,"Passive","Detractor"))</f>
        <v>Detractor</v>
      </c>
      <c r="R336" s="5"/>
    </row>
    <row r="337" spans="1:18">
      <c r="A337" t="s">
        <v>363</v>
      </c>
      <c r="B337" t="s">
        <v>21</v>
      </c>
      <c r="C337" t="s">
        <v>22</v>
      </c>
      <c r="D337" s="5">
        <v>45949</v>
      </c>
      <c r="H337" t="s">
        <v>23</v>
      </c>
      <c r="I337" t="s">
        <v>101</v>
      </c>
      <c r="K337" s="15" t="str">
        <f t="shared" si="18"/>
        <v/>
      </c>
      <c r="L337" t="str">
        <f t="shared" si="16"/>
        <v/>
      </c>
      <c r="M337" t="str">
        <f t="shared" si="17"/>
        <v/>
      </c>
      <c r="O337"/>
      <c r="P337" s="5" t="str">
        <f>IF(AND(Table1[[#This Row],[customer_rating]]&gt;=8, Table1[[#This Row],[Tat_day]]&lt;=7, Table1[[#This Row],[lead_type]]="Hot"), "High", "Normal")</f>
        <v>Normal</v>
      </c>
      <c r="Q337" s="5" t="str">
        <f>IF(Table1[[#This Row],[customer_rating]]&gt;=9,"Promoter",IF(Table1[[#This Row],[customer_rating]]&gt;=7,"Passive","Detractor"))</f>
        <v>Detractor</v>
      </c>
      <c r="R337" s="5"/>
    </row>
    <row r="338" spans="1:18">
      <c r="A338" t="s">
        <v>364</v>
      </c>
      <c r="B338" t="s">
        <v>21</v>
      </c>
      <c r="C338" t="s">
        <v>30</v>
      </c>
      <c r="D338" s="5">
        <v>45944</v>
      </c>
      <c r="E338" s="5">
        <v>45945</v>
      </c>
      <c r="F338" s="5">
        <v>45947</v>
      </c>
      <c r="G338" s="5">
        <v>45951</v>
      </c>
      <c r="H338" t="s">
        <v>16</v>
      </c>
      <c r="I338" t="s">
        <v>17</v>
      </c>
      <c r="J338" s="5">
        <v>45962</v>
      </c>
      <c r="K338" s="15">
        <f t="shared" si="18"/>
        <v>1</v>
      </c>
      <c r="L338">
        <f t="shared" si="16"/>
        <v>2</v>
      </c>
      <c r="M338">
        <f t="shared" si="17"/>
        <v>4</v>
      </c>
      <c r="N338">
        <v>7</v>
      </c>
      <c r="O338">
        <f>DATEDIF(Table1[[#This Row],[lead_date]], Table1[[#This Row],[delivery_date]], "d")</f>
        <v>7</v>
      </c>
      <c r="P338" s="5" t="str">
        <f>IF(AND(Table1[[#This Row],[customer_rating]]&gt;=8, Table1[[#This Row],[Tat_day]]&lt;=7, Table1[[#This Row],[lead_type]]="Hot"), "High", "Normal")</f>
        <v>Normal</v>
      </c>
      <c r="Q338" s="5" t="str">
        <f>IF(Table1[[#This Row],[customer_rating]]&gt;=9,"Promoter",IF(Table1[[#This Row],[customer_rating]]&gt;=7,"Passive","Detractor"))</f>
        <v>Passive</v>
      </c>
      <c r="R338" s="5"/>
    </row>
    <row r="339" spans="1:18">
      <c r="A339" t="s">
        <v>365</v>
      </c>
      <c r="B339" t="s">
        <v>32</v>
      </c>
      <c r="C339" t="s">
        <v>22</v>
      </c>
      <c r="D339" s="5">
        <v>45951</v>
      </c>
      <c r="H339" t="s">
        <v>23</v>
      </c>
      <c r="I339" t="s">
        <v>63</v>
      </c>
      <c r="K339" s="15" t="str">
        <f t="shared" si="18"/>
        <v/>
      </c>
      <c r="L339" t="str">
        <f t="shared" si="16"/>
        <v/>
      </c>
      <c r="M339" t="str">
        <f t="shared" si="17"/>
        <v/>
      </c>
      <c r="O339"/>
      <c r="P339" s="5" t="str">
        <f>IF(AND(Table1[[#This Row],[customer_rating]]&gt;=8, Table1[[#This Row],[Tat_day]]&lt;=7, Table1[[#This Row],[lead_type]]="Hot"), "High", "Normal")</f>
        <v>Normal</v>
      </c>
      <c r="Q339" s="5" t="str">
        <f>IF(Table1[[#This Row],[customer_rating]]&gt;=9,"Promoter",IF(Table1[[#This Row],[customer_rating]]&gt;=7,"Passive","Detractor"))</f>
        <v>Detractor</v>
      </c>
      <c r="R339" s="5"/>
    </row>
    <row r="340" spans="1:18">
      <c r="A340" t="s">
        <v>366</v>
      </c>
      <c r="B340" t="s">
        <v>14</v>
      </c>
      <c r="C340" t="s">
        <v>15</v>
      </c>
      <c r="D340" s="5">
        <v>45957</v>
      </c>
      <c r="E340" s="5">
        <v>45960</v>
      </c>
      <c r="F340" s="5">
        <v>45965</v>
      </c>
      <c r="G340" s="5">
        <v>45968</v>
      </c>
      <c r="H340" t="s">
        <v>16</v>
      </c>
      <c r="I340" t="s">
        <v>17</v>
      </c>
      <c r="J340" s="5">
        <v>45991</v>
      </c>
      <c r="K340" s="15">
        <f t="shared" si="18"/>
        <v>3</v>
      </c>
      <c r="L340">
        <f t="shared" si="16"/>
        <v>5</v>
      </c>
      <c r="M340">
        <f t="shared" si="17"/>
        <v>3</v>
      </c>
      <c r="N340">
        <v>3</v>
      </c>
      <c r="O340">
        <f>DATEDIF(Table1[[#This Row],[lead_date]], Table1[[#This Row],[delivery_date]], "d")</f>
        <v>11</v>
      </c>
      <c r="P340" s="5" t="str">
        <f>IF(AND(Table1[[#This Row],[customer_rating]]&gt;=8, Table1[[#This Row],[Tat_day]]&lt;=7, Table1[[#This Row],[lead_type]]="Hot"), "High", "Normal")</f>
        <v>Normal</v>
      </c>
      <c r="Q340" s="5" t="str">
        <f>IF(Table1[[#This Row],[customer_rating]]&gt;=9,"Promoter",IF(Table1[[#This Row],[customer_rating]]&gt;=7,"Passive","Detractor"))</f>
        <v>Detractor</v>
      </c>
      <c r="R340" s="5"/>
    </row>
    <row r="341" spans="1:18">
      <c r="A341" t="s">
        <v>367</v>
      </c>
      <c r="B341" t="s">
        <v>32</v>
      </c>
      <c r="C341" t="s">
        <v>22</v>
      </c>
      <c r="D341" s="5">
        <v>45946</v>
      </c>
      <c r="H341" t="s">
        <v>23</v>
      </c>
      <c r="I341" t="s">
        <v>63</v>
      </c>
      <c r="K341" s="15" t="str">
        <f t="shared" si="18"/>
        <v/>
      </c>
      <c r="L341" t="str">
        <f t="shared" si="16"/>
        <v/>
      </c>
      <c r="M341" t="str">
        <f t="shared" si="17"/>
        <v/>
      </c>
      <c r="O341"/>
      <c r="P341" s="5" t="str">
        <f>IF(AND(Table1[[#This Row],[customer_rating]]&gt;=8, Table1[[#This Row],[Tat_day]]&lt;=7, Table1[[#This Row],[lead_type]]="Hot"), "High", "Normal")</f>
        <v>Normal</v>
      </c>
      <c r="Q341" s="5" t="str">
        <f>IF(Table1[[#This Row],[customer_rating]]&gt;=9,"Promoter",IF(Table1[[#This Row],[customer_rating]]&gt;=7,"Passive","Detractor"))</f>
        <v>Detractor</v>
      </c>
      <c r="R341" s="5"/>
    </row>
    <row r="342" spans="1:18">
      <c r="A342" t="s">
        <v>368</v>
      </c>
      <c r="B342" t="s">
        <v>32</v>
      </c>
      <c r="C342" t="s">
        <v>15</v>
      </c>
      <c r="D342" s="5">
        <v>45933</v>
      </c>
      <c r="E342" s="5">
        <v>45934</v>
      </c>
      <c r="F342" s="5">
        <v>45935</v>
      </c>
      <c r="G342" s="5">
        <v>45939</v>
      </c>
      <c r="H342" t="s">
        <v>16</v>
      </c>
      <c r="I342" t="s">
        <v>17</v>
      </c>
      <c r="J342" s="5">
        <v>45951</v>
      </c>
      <c r="K342" s="15">
        <f t="shared" si="18"/>
        <v>1</v>
      </c>
      <c r="L342">
        <f t="shared" si="16"/>
        <v>1</v>
      </c>
      <c r="M342">
        <f t="shared" si="17"/>
        <v>4</v>
      </c>
      <c r="N342">
        <v>10</v>
      </c>
      <c r="O342">
        <f>DATEDIF(Table1[[#This Row],[lead_date]], Table1[[#This Row],[delivery_date]], "d")</f>
        <v>6</v>
      </c>
      <c r="P342" s="5" t="str">
        <f>IF(AND(Table1[[#This Row],[customer_rating]]&gt;=8, Table1[[#This Row],[Tat_day]]&lt;=7, Table1[[#This Row],[lead_type]]="Hot"), "High", "Normal")</f>
        <v>Normal</v>
      </c>
      <c r="Q342" s="5" t="str">
        <f>IF(Table1[[#This Row],[customer_rating]]&gt;=9,"Promoter",IF(Table1[[#This Row],[customer_rating]]&gt;=7,"Passive","Detractor"))</f>
        <v>Promoter</v>
      </c>
      <c r="R342" s="5"/>
    </row>
    <row r="343" spans="1:18">
      <c r="A343" t="s">
        <v>369</v>
      </c>
      <c r="B343" t="s">
        <v>21</v>
      </c>
      <c r="C343" t="s">
        <v>15</v>
      </c>
      <c r="D343" s="5">
        <v>45946</v>
      </c>
      <c r="E343" s="5">
        <v>45951</v>
      </c>
      <c r="F343" s="5">
        <v>45952</v>
      </c>
      <c r="G343" s="5">
        <v>45954</v>
      </c>
      <c r="H343" t="s">
        <v>16</v>
      </c>
      <c r="I343" t="s">
        <v>17</v>
      </c>
      <c r="J343" s="5">
        <v>45977</v>
      </c>
      <c r="K343" s="15">
        <f t="shared" si="18"/>
        <v>5</v>
      </c>
      <c r="L343">
        <f t="shared" si="16"/>
        <v>1</v>
      </c>
      <c r="M343">
        <f t="shared" si="17"/>
        <v>2</v>
      </c>
      <c r="N343">
        <v>1</v>
      </c>
      <c r="O343">
        <f>DATEDIF(Table1[[#This Row],[lead_date]], Table1[[#This Row],[delivery_date]], "d")</f>
        <v>8</v>
      </c>
      <c r="P343" s="5" t="str">
        <f>IF(AND(Table1[[#This Row],[customer_rating]]&gt;=8, Table1[[#This Row],[Tat_day]]&lt;=7, Table1[[#This Row],[lead_type]]="Hot"), "High", "Normal")</f>
        <v>Normal</v>
      </c>
      <c r="Q343" s="5" t="str">
        <f>IF(Table1[[#This Row],[customer_rating]]&gt;=9,"Promoter",IF(Table1[[#This Row],[customer_rating]]&gt;=7,"Passive","Detractor"))</f>
        <v>Detractor</v>
      </c>
      <c r="R343" s="5"/>
    </row>
    <row r="344" spans="1:18">
      <c r="A344" t="s">
        <v>370</v>
      </c>
      <c r="B344" t="s">
        <v>19</v>
      </c>
      <c r="C344" t="s">
        <v>15</v>
      </c>
      <c r="D344" s="5">
        <v>45942</v>
      </c>
      <c r="E344" s="5">
        <v>45946</v>
      </c>
      <c r="F344" s="5">
        <v>45950</v>
      </c>
      <c r="G344" s="5">
        <v>45957</v>
      </c>
      <c r="H344" t="s">
        <v>16</v>
      </c>
      <c r="I344" t="s">
        <v>17</v>
      </c>
      <c r="J344" s="5">
        <v>45973</v>
      </c>
      <c r="K344" s="15">
        <f t="shared" si="18"/>
        <v>4</v>
      </c>
      <c r="L344">
        <f t="shared" si="16"/>
        <v>4</v>
      </c>
      <c r="M344">
        <f t="shared" si="17"/>
        <v>7</v>
      </c>
      <c r="N344">
        <v>4</v>
      </c>
      <c r="O344">
        <f>DATEDIF(Table1[[#This Row],[lead_date]], Table1[[#This Row],[delivery_date]], "d")</f>
        <v>15</v>
      </c>
      <c r="P344" s="5" t="str">
        <f>IF(AND(Table1[[#This Row],[customer_rating]]&gt;=8, Table1[[#This Row],[Tat_day]]&lt;=7, Table1[[#This Row],[lead_type]]="Hot"), "High", "Normal")</f>
        <v>Normal</v>
      </c>
      <c r="Q344" s="5" t="str">
        <f>IF(Table1[[#This Row],[customer_rating]]&gt;=9,"Promoter",IF(Table1[[#This Row],[customer_rating]]&gt;=7,"Passive","Detractor"))</f>
        <v>Detractor</v>
      </c>
      <c r="R344" s="5"/>
    </row>
    <row r="345" spans="1:18">
      <c r="A345" t="s">
        <v>371</v>
      </c>
      <c r="B345" t="s">
        <v>19</v>
      </c>
      <c r="C345" t="s">
        <v>15</v>
      </c>
      <c r="D345" s="5">
        <v>45944</v>
      </c>
      <c r="E345" s="5">
        <v>45947</v>
      </c>
      <c r="F345" s="5">
        <v>45950</v>
      </c>
      <c r="G345" s="5">
        <v>45954</v>
      </c>
      <c r="H345" t="s">
        <v>16</v>
      </c>
      <c r="I345" t="s">
        <v>17</v>
      </c>
      <c r="J345" s="5">
        <v>45984</v>
      </c>
      <c r="K345" s="15">
        <f t="shared" si="18"/>
        <v>3</v>
      </c>
      <c r="L345">
        <f t="shared" si="16"/>
        <v>3</v>
      </c>
      <c r="M345">
        <f t="shared" si="17"/>
        <v>4</v>
      </c>
      <c r="N345">
        <v>8</v>
      </c>
      <c r="O345">
        <f>DATEDIF(Table1[[#This Row],[lead_date]], Table1[[#This Row],[delivery_date]], "d")</f>
        <v>10</v>
      </c>
      <c r="P345" s="5" t="str">
        <f>IF(AND(Table1[[#This Row],[customer_rating]]&gt;=8, Table1[[#This Row],[Tat_day]]&lt;=7, Table1[[#This Row],[lead_type]]="Hot"), "High", "Normal")</f>
        <v>Normal</v>
      </c>
      <c r="Q345" s="5" t="str">
        <f>IF(Table1[[#This Row],[customer_rating]]&gt;=9,"Promoter",IF(Table1[[#This Row],[customer_rating]]&gt;=7,"Passive","Detractor"))</f>
        <v>Passive</v>
      </c>
      <c r="R345" s="5"/>
    </row>
    <row r="346" spans="1:18">
      <c r="A346" t="s">
        <v>372</v>
      </c>
      <c r="B346" t="s">
        <v>32</v>
      </c>
      <c r="C346" t="s">
        <v>15</v>
      </c>
      <c r="D346" s="5">
        <v>45941</v>
      </c>
      <c r="E346" s="5">
        <v>45944</v>
      </c>
      <c r="F346" s="5">
        <v>45945</v>
      </c>
      <c r="G346" s="5">
        <v>45949</v>
      </c>
      <c r="H346" t="s">
        <v>16</v>
      </c>
      <c r="I346" t="s">
        <v>17</v>
      </c>
      <c r="J346" s="5">
        <v>45963</v>
      </c>
      <c r="K346" s="15">
        <f t="shared" si="18"/>
        <v>3</v>
      </c>
      <c r="L346">
        <f t="shared" si="16"/>
        <v>1</v>
      </c>
      <c r="M346">
        <f t="shared" si="17"/>
        <v>4</v>
      </c>
      <c r="N346">
        <v>3</v>
      </c>
      <c r="O346">
        <f>DATEDIF(Table1[[#This Row],[lead_date]], Table1[[#This Row],[delivery_date]], "d")</f>
        <v>8</v>
      </c>
      <c r="P346" s="5" t="str">
        <f>IF(AND(Table1[[#This Row],[customer_rating]]&gt;=8, Table1[[#This Row],[Tat_day]]&lt;=7, Table1[[#This Row],[lead_type]]="Hot"), "High", "Normal")</f>
        <v>Normal</v>
      </c>
      <c r="Q346" s="5" t="str">
        <f>IF(Table1[[#This Row],[customer_rating]]&gt;=9,"Promoter",IF(Table1[[#This Row],[customer_rating]]&gt;=7,"Passive","Detractor"))</f>
        <v>Detractor</v>
      </c>
      <c r="R346" s="5"/>
    </row>
    <row r="347" spans="1:18">
      <c r="A347" t="s">
        <v>373</v>
      </c>
      <c r="B347" t="s">
        <v>32</v>
      </c>
      <c r="C347" t="s">
        <v>15</v>
      </c>
      <c r="D347" s="5">
        <v>45941</v>
      </c>
      <c r="E347" s="5">
        <v>45946</v>
      </c>
      <c r="F347" s="5">
        <v>45951</v>
      </c>
      <c r="G347" s="5">
        <v>45953</v>
      </c>
      <c r="H347" t="s">
        <v>16</v>
      </c>
      <c r="I347" t="s">
        <v>17</v>
      </c>
      <c r="J347" s="5">
        <v>45982</v>
      </c>
      <c r="K347" s="15">
        <f t="shared" si="18"/>
        <v>5</v>
      </c>
      <c r="L347">
        <f t="shared" si="16"/>
        <v>5</v>
      </c>
      <c r="M347">
        <f t="shared" si="17"/>
        <v>2</v>
      </c>
      <c r="N347">
        <v>6</v>
      </c>
      <c r="O347">
        <f>DATEDIF(Table1[[#This Row],[lead_date]], Table1[[#This Row],[delivery_date]], "d")</f>
        <v>12</v>
      </c>
      <c r="P347" s="5" t="str">
        <f>IF(AND(Table1[[#This Row],[customer_rating]]&gt;=8, Table1[[#This Row],[Tat_day]]&lt;=7, Table1[[#This Row],[lead_type]]="Hot"), "High", "Normal")</f>
        <v>Normal</v>
      </c>
      <c r="Q347" s="5" t="str">
        <f>IF(Table1[[#This Row],[customer_rating]]&gt;=9,"Promoter",IF(Table1[[#This Row],[customer_rating]]&gt;=7,"Passive","Detractor"))</f>
        <v>Detractor</v>
      </c>
      <c r="R347" s="5"/>
    </row>
    <row r="348" spans="1:18">
      <c r="A348" t="s">
        <v>374</v>
      </c>
      <c r="B348" t="s">
        <v>21</v>
      </c>
      <c r="C348" t="s">
        <v>15</v>
      </c>
      <c r="D348" s="5">
        <v>45952</v>
      </c>
      <c r="E348" s="5">
        <v>45954</v>
      </c>
      <c r="F348" s="5">
        <v>45955</v>
      </c>
      <c r="G348" s="5">
        <v>45959</v>
      </c>
      <c r="H348" t="s">
        <v>16</v>
      </c>
      <c r="I348" t="s">
        <v>17</v>
      </c>
      <c r="J348" s="5">
        <v>45977</v>
      </c>
      <c r="K348" s="15">
        <f t="shared" si="18"/>
        <v>2</v>
      </c>
      <c r="L348">
        <f t="shared" si="16"/>
        <v>1</v>
      </c>
      <c r="M348">
        <f t="shared" si="17"/>
        <v>4</v>
      </c>
      <c r="N348">
        <v>4</v>
      </c>
      <c r="O348">
        <f>DATEDIF(Table1[[#This Row],[lead_date]], Table1[[#This Row],[delivery_date]], "d")</f>
        <v>7</v>
      </c>
      <c r="P348" s="5" t="str">
        <f>IF(AND(Table1[[#This Row],[customer_rating]]&gt;=8, Table1[[#This Row],[Tat_day]]&lt;=7, Table1[[#This Row],[lead_type]]="Hot"), "High", "Normal")</f>
        <v>Normal</v>
      </c>
      <c r="Q348" s="5" t="str">
        <f>IF(Table1[[#This Row],[customer_rating]]&gt;=9,"Promoter",IF(Table1[[#This Row],[customer_rating]]&gt;=7,"Passive","Detractor"))</f>
        <v>Detractor</v>
      </c>
      <c r="R348" s="5"/>
    </row>
    <row r="349" spans="1:18">
      <c r="A349" t="s">
        <v>375</v>
      </c>
      <c r="B349" t="s">
        <v>32</v>
      </c>
      <c r="C349" t="s">
        <v>30</v>
      </c>
      <c r="D349" s="5">
        <v>45934</v>
      </c>
      <c r="E349" s="5">
        <v>45937</v>
      </c>
      <c r="F349" s="5">
        <v>45938</v>
      </c>
      <c r="G349" s="5">
        <v>45945</v>
      </c>
      <c r="H349" t="s">
        <v>16</v>
      </c>
      <c r="I349" t="s">
        <v>17</v>
      </c>
      <c r="J349" s="5">
        <v>45965</v>
      </c>
      <c r="K349" s="15">
        <f t="shared" si="18"/>
        <v>3</v>
      </c>
      <c r="L349">
        <f t="shared" si="16"/>
        <v>1</v>
      </c>
      <c r="M349">
        <f t="shared" si="17"/>
        <v>7</v>
      </c>
      <c r="N349">
        <v>8</v>
      </c>
      <c r="O349">
        <f>DATEDIF(Table1[[#This Row],[lead_date]], Table1[[#This Row],[delivery_date]], "d")</f>
        <v>11</v>
      </c>
      <c r="P349" s="5" t="str">
        <f>IF(AND(Table1[[#This Row],[customer_rating]]&gt;=8, Table1[[#This Row],[Tat_day]]&lt;=7, Table1[[#This Row],[lead_type]]="Hot"), "High", "Normal")</f>
        <v>Normal</v>
      </c>
      <c r="Q349" s="5" t="str">
        <f>IF(Table1[[#This Row],[customer_rating]]&gt;=9,"Promoter",IF(Table1[[#This Row],[customer_rating]]&gt;=7,"Passive","Detractor"))</f>
        <v>Passive</v>
      </c>
      <c r="R349" s="5"/>
    </row>
    <row r="350" spans="1:18">
      <c r="A350" t="s">
        <v>376</v>
      </c>
      <c r="B350" t="s">
        <v>21</v>
      </c>
      <c r="C350" t="s">
        <v>15</v>
      </c>
      <c r="D350" s="5">
        <v>45958</v>
      </c>
      <c r="E350" s="5">
        <v>45959</v>
      </c>
      <c r="F350" s="5">
        <v>45963</v>
      </c>
      <c r="G350" s="5">
        <v>45970</v>
      </c>
      <c r="H350" t="s">
        <v>16</v>
      </c>
      <c r="I350" t="s">
        <v>17</v>
      </c>
      <c r="J350" s="5">
        <v>45982</v>
      </c>
      <c r="K350" s="15">
        <f t="shared" si="18"/>
        <v>1</v>
      </c>
      <c r="L350">
        <f t="shared" si="16"/>
        <v>4</v>
      </c>
      <c r="M350">
        <f t="shared" si="17"/>
        <v>7</v>
      </c>
      <c r="N350">
        <v>4</v>
      </c>
      <c r="O350">
        <f>DATEDIF(Table1[[#This Row],[lead_date]], Table1[[#This Row],[delivery_date]], "d")</f>
        <v>12</v>
      </c>
      <c r="P350" s="5" t="str">
        <f>IF(AND(Table1[[#This Row],[customer_rating]]&gt;=8, Table1[[#This Row],[Tat_day]]&lt;=7, Table1[[#This Row],[lead_type]]="Hot"), "High", "Normal")</f>
        <v>Normal</v>
      </c>
      <c r="Q350" s="5" t="str">
        <f>IF(Table1[[#This Row],[customer_rating]]&gt;=9,"Promoter",IF(Table1[[#This Row],[customer_rating]]&gt;=7,"Passive","Detractor"))</f>
        <v>Detractor</v>
      </c>
      <c r="R350" s="5"/>
    </row>
    <row r="351" spans="1:18">
      <c r="A351" t="s">
        <v>377</v>
      </c>
      <c r="B351" t="s">
        <v>19</v>
      </c>
      <c r="C351" t="s">
        <v>15</v>
      </c>
      <c r="D351" s="5">
        <v>45936</v>
      </c>
      <c r="E351" s="5">
        <v>45941</v>
      </c>
      <c r="F351" s="5">
        <v>45942</v>
      </c>
      <c r="G351" s="5">
        <v>45945</v>
      </c>
      <c r="H351" t="s">
        <v>16</v>
      </c>
      <c r="I351" t="s">
        <v>17</v>
      </c>
      <c r="J351" s="5">
        <v>45957</v>
      </c>
      <c r="K351" s="15">
        <f t="shared" si="18"/>
        <v>5</v>
      </c>
      <c r="L351">
        <f t="shared" si="16"/>
        <v>1</v>
      </c>
      <c r="M351">
        <f t="shared" si="17"/>
        <v>3</v>
      </c>
      <c r="N351">
        <v>6</v>
      </c>
      <c r="O351">
        <f>DATEDIF(Table1[[#This Row],[lead_date]], Table1[[#This Row],[delivery_date]], "d")</f>
        <v>9</v>
      </c>
      <c r="P351" s="5" t="str">
        <f>IF(AND(Table1[[#This Row],[customer_rating]]&gt;=8, Table1[[#This Row],[Tat_day]]&lt;=7, Table1[[#This Row],[lead_type]]="Hot"), "High", "Normal")</f>
        <v>Normal</v>
      </c>
      <c r="Q351" s="5" t="str">
        <f>IF(Table1[[#This Row],[customer_rating]]&gt;=9,"Promoter",IF(Table1[[#This Row],[customer_rating]]&gt;=7,"Passive","Detractor"))</f>
        <v>Detractor</v>
      </c>
      <c r="R351" s="5"/>
    </row>
    <row r="352" spans="1:18">
      <c r="A352" t="s">
        <v>378</v>
      </c>
      <c r="B352" t="s">
        <v>19</v>
      </c>
      <c r="C352" t="s">
        <v>15</v>
      </c>
      <c r="D352" s="5">
        <v>45941</v>
      </c>
      <c r="E352" s="5">
        <v>45943</v>
      </c>
      <c r="F352" s="5">
        <v>45946</v>
      </c>
      <c r="G352" s="5">
        <v>45948</v>
      </c>
      <c r="H352" t="s">
        <v>23</v>
      </c>
      <c r="I352" t="s">
        <v>24</v>
      </c>
      <c r="K352" s="15">
        <f t="shared" si="18"/>
        <v>2</v>
      </c>
      <c r="L352">
        <f t="shared" si="16"/>
        <v>3</v>
      </c>
      <c r="M352">
        <f t="shared" si="17"/>
        <v>2</v>
      </c>
      <c r="O352">
        <f>DATEDIF(Table1[[#This Row],[lead_date]], Table1[[#This Row],[delivery_date]], "d")</f>
        <v>7</v>
      </c>
      <c r="P352" s="5" t="str">
        <f>IF(AND(Table1[[#This Row],[customer_rating]]&gt;=8, Table1[[#This Row],[Tat_day]]&lt;=7, Table1[[#This Row],[lead_type]]="Hot"), "High", "Normal")</f>
        <v>Normal</v>
      </c>
      <c r="Q352" s="5" t="str">
        <f>IF(Table1[[#This Row],[customer_rating]]&gt;=9,"Promoter",IF(Table1[[#This Row],[customer_rating]]&gt;=7,"Passive","Detractor"))</f>
        <v>Detractor</v>
      </c>
      <c r="R352" s="5"/>
    </row>
    <row r="353" spans="1:18">
      <c r="A353" t="s">
        <v>379</v>
      </c>
      <c r="B353" t="s">
        <v>14</v>
      </c>
      <c r="C353" t="s">
        <v>15</v>
      </c>
      <c r="D353" s="5">
        <v>45944</v>
      </c>
      <c r="E353" s="5">
        <v>45947</v>
      </c>
      <c r="F353" s="5">
        <v>45951</v>
      </c>
      <c r="G353" s="5">
        <v>45956</v>
      </c>
      <c r="H353" t="s">
        <v>23</v>
      </c>
      <c r="I353" t="s">
        <v>33</v>
      </c>
      <c r="K353" s="15">
        <f t="shared" si="18"/>
        <v>3</v>
      </c>
      <c r="L353">
        <f t="shared" si="16"/>
        <v>4</v>
      </c>
      <c r="M353">
        <f t="shared" si="17"/>
        <v>5</v>
      </c>
      <c r="O353">
        <f>DATEDIF(Table1[[#This Row],[lead_date]], Table1[[#This Row],[delivery_date]], "d")</f>
        <v>12</v>
      </c>
      <c r="P353" s="5" t="str">
        <f>IF(AND(Table1[[#This Row],[customer_rating]]&gt;=8, Table1[[#This Row],[Tat_day]]&lt;=7, Table1[[#This Row],[lead_type]]="Hot"), "High", "Normal")</f>
        <v>Normal</v>
      </c>
      <c r="Q353" s="5" t="str">
        <f>IF(Table1[[#This Row],[customer_rating]]&gt;=9,"Promoter",IF(Table1[[#This Row],[customer_rating]]&gt;=7,"Passive","Detractor"))</f>
        <v>Detractor</v>
      </c>
      <c r="R353" s="5"/>
    </row>
    <row r="354" spans="1:18">
      <c r="A354" t="s">
        <v>380</v>
      </c>
      <c r="B354" t="s">
        <v>19</v>
      </c>
      <c r="C354" t="s">
        <v>15</v>
      </c>
      <c r="D354" s="5">
        <v>45953</v>
      </c>
      <c r="E354" s="5">
        <v>45956</v>
      </c>
      <c r="F354" s="5">
        <v>45958</v>
      </c>
      <c r="G354" s="5">
        <v>45965</v>
      </c>
      <c r="H354" t="s">
        <v>16</v>
      </c>
      <c r="I354" t="s">
        <v>17</v>
      </c>
      <c r="J354" s="5">
        <v>45987</v>
      </c>
      <c r="K354" s="15">
        <f t="shared" si="18"/>
        <v>3</v>
      </c>
      <c r="L354">
        <f t="shared" si="16"/>
        <v>2</v>
      </c>
      <c r="M354">
        <f t="shared" si="17"/>
        <v>7</v>
      </c>
      <c r="N354">
        <v>5</v>
      </c>
      <c r="O354">
        <f>DATEDIF(Table1[[#This Row],[lead_date]], Table1[[#This Row],[delivery_date]], "d")</f>
        <v>12</v>
      </c>
      <c r="P354" s="5" t="str">
        <f>IF(AND(Table1[[#This Row],[customer_rating]]&gt;=8, Table1[[#This Row],[Tat_day]]&lt;=7, Table1[[#This Row],[lead_type]]="Hot"), "High", "Normal")</f>
        <v>Normal</v>
      </c>
      <c r="Q354" s="5" t="str">
        <f>IF(Table1[[#This Row],[customer_rating]]&gt;=9,"Promoter",IF(Table1[[#This Row],[customer_rating]]&gt;=7,"Passive","Detractor"))</f>
        <v>Detractor</v>
      </c>
      <c r="R354" s="5"/>
    </row>
    <row r="355" spans="1:18">
      <c r="A355" t="s">
        <v>381</v>
      </c>
      <c r="B355" t="s">
        <v>32</v>
      </c>
      <c r="C355" t="s">
        <v>22</v>
      </c>
      <c r="D355" s="5">
        <v>45946</v>
      </c>
      <c r="H355" t="s">
        <v>23</v>
      </c>
      <c r="I355" t="s">
        <v>1028</v>
      </c>
      <c r="K355" s="15" t="str">
        <f t="shared" si="18"/>
        <v/>
      </c>
      <c r="L355" t="str">
        <f t="shared" si="16"/>
        <v/>
      </c>
      <c r="M355" t="str">
        <f t="shared" si="17"/>
        <v/>
      </c>
      <c r="O355"/>
      <c r="P355" s="5" t="str">
        <f>IF(AND(Table1[[#This Row],[customer_rating]]&gt;=8, Table1[[#This Row],[Tat_day]]&lt;=7, Table1[[#This Row],[lead_type]]="Hot"), "High", "Normal")</f>
        <v>Normal</v>
      </c>
      <c r="Q355" s="5" t="str">
        <f>IF(Table1[[#This Row],[customer_rating]]&gt;=9,"Promoter",IF(Table1[[#This Row],[customer_rating]]&gt;=7,"Passive","Detractor"))</f>
        <v>Detractor</v>
      </c>
      <c r="R355" s="5"/>
    </row>
    <row r="356" spans="1:18">
      <c r="A356" t="s">
        <v>382</v>
      </c>
      <c r="B356" t="s">
        <v>19</v>
      </c>
      <c r="C356" t="s">
        <v>30</v>
      </c>
      <c r="D356" s="5">
        <v>45940</v>
      </c>
      <c r="E356" s="5">
        <v>45944</v>
      </c>
      <c r="F356" s="5">
        <v>45946</v>
      </c>
      <c r="G356" s="5">
        <v>45950</v>
      </c>
      <c r="H356" t="s">
        <v>16</v>
      </c>
      <c r="I356" t="s">
        <v>17</v>
      </c>
      <c r="J356" s="5">
        <v>45977</v>
      </c>
      <c r="K356" s="15">
        <f t="shared" si="18"/>
        <v>4</v>
      </c>
      <c r="L356">
        <f t="shared" si="16"/>
        <v>2</v>
      </c>
      <c r="M356">
        <f t="shared" si="17"/>
        <v>4</v>
      </c>
      <c r="N356">
        <v>2</v>
      </c>
      <c r="O356">
        <f>DATEDIF(Table1[[#This Row],[lead_date]], Table1[[#This Row],[delivery_date]], "d")</f>
        <v>10</v>
      </c>
      <c r="P356" s="5" t="str">
        <f>IF(AND(Table1[[#This Row],[customer_rating]]&gt;=8, Table1[[#This Row],[Tat_day]]&lt;=7, Table1[[#This Row],[lead_type]]="Hot"), "High", "Normal")</f>
        <v>Normal</v>
      </c>
      <c r="Q356" s="5" t="str">
        <f>IF(Table1[[#This Row],[customer_rating]]&gt;=9,"Promoter",IF(Table1[[#This Row],[customer_rating]]&gt;=7,"Passive","Detractor"))</f>
        <v>Detractor</v>
      </c>
      <c r="R356" s="5"/>
    </row>
    <row r="357" spans="1:18">
      <c r="A357" t="s">
        <v>383</v>
      </c>
      <c r="B357" t="s">
        <v>21</v>
      </c>
      <c r="C357" t="s">
        <v>15</v>
      </c>
      <c r="D357" s="5">
        <v>45952</v>
      </c>
      <c r="E357" s="5">
        <v>45954</v>
      </c>
      <c r="F357" s="5">
        <v>45958</v>
      </c>
      <c r="G357" s="5">
        <v>45965</v>
      </c>
      <c r="H357" t="s">
        <v>16</v>
      </c>
      <c r="I357" t="s">
        <v>17</v>
      </c>
      <c r="J357" s="5">
        <v>45987</v>
      </c>
      <c r="K357" s="15">
        <f t="shared" si="18"/>
        <v>2</v>
      </c>
      <c r="L357">
        <f t="shared" si="16"/>
        <v>4</v>
      </c>
      <c r="M357">
        <f t="shared" si="17"/>
        <v>7</v>
      </c>
      <c r="N357">
        <v>3</v>
      </c>
      <c r="O357">
        <f>DATEDIF(Table1[[#This Row],[lead_date]], Table1[[#This Row],[delivery_date]], "d")</f>
        <v>13</v>
      </c>
      <c r="P357" s="5" t="str">
        <f>IF(AND(Table1[[#This Row],[customer_rating]]&gt;=8, Table1[[#This Row],[Tat_day]]&lt;=7, Table1[[#This Row],[lead_type]]="Hot"), "High", "Normal")</f>
        <v>Normal</v>
      </c>
      <c r="Q357" s="5" t="str">
        <f>IF(Table1[[#This Row],[customer_rating]]&gt;=9,"Promoter",IF(Table1[[#This Row],[customer_rating]]&gt;=7,"Passive","Detractor"))</f>
        <v>Detractor</v>
      </c>
      <c r="R357" s="5"/>
    </row>
    <row r="358" spans="1:18">
      <c r="A358" t="s">
        <v>384</v>
      </c>
      <c r="B358" t="s">
        <v>19</v>
      </c>
      <c r="C358" t="s">
        <v>15</v>
      </c>
      <c r="D358" s="5">
        <v>45961</v>
      </c>
      <c r="E358" s="5">
        <v>45966</v>
      </c>
      <c r="F358" s="5">
        <v>45969</v>
      </c>
      <c r="G358" s="5">
        <v>45976</v>
      </c>
      <c r="H358" t="s">
        <v>16</v>
      </c>
      <c r="I358" t="s">
        <v>17</v>
      </c>
      <c r="J358" s="5">
        <v>46003</v>
      </c>
      <c r="K358" s="15">
        <f t="shared" si="18"/>
        <v>5</v>
      </c>
      <c r="L358">
        <f t="shared" si="16"/>
        <v>3</v>
      </c>
      <c r="M358">
        <f t="shared" si="17"/>
        <v>7</v>
      </c>
      <c r="N358">
        <v>10</v>
      </c>
      <c r="O358">
        <f>DATEDIF(Table1[[#This Row],[lead_date]], Table1[[#This Row],[delivery_date]], "d")</f>
        <v>15</v>
      </c>
      <c r="P358" s="5" t="str">
        <f>IF(AND(Table1[[#This Row],[customer_rating]]&gt;=8, Table1[[#This Row],[Tat_day]]&lt;=7, Table1[[#This Row],[lead_type]]="Hot"), "High", "Normal")</f>
        <v>Normal</v>
      </c>
      <c r="Q358" s="5" t="str">
        <f>IF(Table1[[#This Row],[customer_rating]]&gt;=9,"Promoter",IF(Table1[[#This Row],[customer_rating]]&gt;=7,"Passive","Detractor"))</f>
        <v>Promoter</v>
      </c>
      <c r="R358" s="5"/>
    </row>
    <row r="359" spans="1:18">
      <c r="A359" t="s">
        <v>385</v>
      </c>
      <c r="B359" t="s">
        <v>14</v>
      </c>
      <c r="C359" t="s">
        <v>15</v>
      </c>
      <c r="D359" s="5">
        <v>45943</v>
      </c>
      <c r="E359" s="5">
        <v>45944</v>
      </c>
      <c r="F359" s="5">
        <v>45948</v>
      </c>
      <c r="G359" s="5">
        <v>45951</v>
      </c>
      <c r="H359" t="s">
        <v>16</v>
      </c>
      <c r="I359" t="s">
        <v>17</v>
      </c>
      <c r="J359" s="5">
        <v>45971</v>
      </c>
      <c r="K359" s="15">
        <f t="shared" si="18"/>
        <v>1</v>
      </c>
      <c r="L359">
        <f t="shared" si="16"/>
        <v>4</v>
      </c>
      <c r="M359">
        <f t="shared" si="17"/>
        <v>3</v>
      </c>
      <c r="N359">
        <v>3</v>
      </c>
      <c r="O359">
        <f>DATEDIF(Table1[[#This Row],[lead_date]], Table1[[#This Row],[delivery_date]], "d")</f>
        <v>8</v>
      </c>
      <c r="P359" s="5" t="str">
        <f>IF(AND(Table1[[#This Row],[customer_rating]]&gt;=8, Table1[[#This Row],[Tat_day]]&lt;=7, Table1[[#This Row],[lead_type]]="Hot"), "High", "Normal")</f>
        <v>Normal</v>
      </c>
      <c r="Q359" s="5" t="str">
        <f>IF(Table1[[#This Row],[customer_rating]]&gt;=9,"Promoter",IF(Table1[[#This Row],[customer_rating]]&gt;=7,"Passive","Detractor"))</f>
        <v>Detractor</v>
      </c>
      <c r="R359" s="5"/>
    </row>
    <row r="360" spans="1:18">
      <c r="A360" t="s">
        <v>386</v>
      </c>
      <c r="B360" t="s">
        <v>19</v>
      </c>
      <c r="C360" t="s">
        <v>22</v>
      </c>
      <c r="D360" s="5">
        <v>45957</v>
      </c>
      <c r="H360" t="s">
        <v>23</v>
      </c>
      <c r="I360" t="s">
        <v>24</v>
      </c>
      <c r="K360" s="15" t="str">
        <f t="shared" si="18"/>
        <v/>
      </c>
      <c r="L360" t="str">
        <f t="shared" si="16"/>
        <v/>
      </c>
      <c r="M360" t="str">
        <f t="shared" si="17"/>
        <v/>
      </c>
      <c r="O360"/>
      <c r="P360" s="5" t="str">
        <f>IF(AND(Table1[[#This Row],[customer_rating]]&gt;=8, Table1[[#This Row],[Tat_day]]&lt;=7, Table1[[#This Row],[lead_type]]="Hot"), "High", "Normal")</f>
        <v>Normal</v>
      </c>
      <c r="Q360" s="5" t="str">
        <f>IF(Table1[[#This Row],[customer_rating]]&gt;=9,"Promoter",IF(Table1[[#This Row],[customer_rating]]&gt;=7,"Passive","Detractor"))</f>
        <v>Detractor</v>
      </c>
      <c r="R360" s="5"/>
    </row>
    <row r="361" spans="1:18">
      <c r="A361" t="s">
        <v>387</v>
      </c>
      <c r="B361" t="s">
        <v>21</v>
      </c>
      <c r="C361" t="s">
        <v>30</v>
      </c>
      <c r="D361" s="5">
        <v>45955</v>
      </c>
      <c r="E361" s="5">
        <v>45958</v>
      </c>
      <c r="F361" s="5">
        <v>45962</v>
      </c>
      <c r="G361" s="5">
        <v>45967</v>
      </c>
      <c r="H361" t="s">
        <v>16</v>
      </c>
      <c r="I361" t="s">
        <v>17</v>
      </c>
      <c r="J361" s="5">
        <v>45985</v>
      </c>
      <c r="K361" s="15">
        <f t="shared" si="18"/>
        <v>3</v>
      </c>
      <c r="L361">
        <f t="shared" si="16"/>
        <v>4</v>
      </c>
      <c r="M361">
        <f t="shared" si="17"/>
        <v>5</v>
      </c>
      <c r="N361">
        <v>5</v>
      </c>
      <c r="O361">
        <f>DATEDIF(Table1[[#This Row],[lead_date]], Table1[[#This Row],[delivery_date]], "d")</f>
        <v>12</v>
      </c>
      <c r="P361" s="5" t="str">
        <f>IF(AND(Table1[[#This Row],[customer_rating]]&gt;=8, Table1[[#This Row],[Tat_day]]&lt;=7, Table1[[#This Row],[lead_type]]="Hot"), "High", "Normal")</f>
        <v>Normal</v>
      </c>
      <c r="Q361" s="5" t="str">
        <f>IF(Table1[[#This Row],[customer_rating]]&gt;=9,"Promoter",IF(Table1[[#This Row],[customer_rating]]&gt;=7,"Passive","Detractor"))</f>
        <v>Detractor</v>
      </c>
      <c r="R361" s="5"/>
    </row>
    <row r="362" spans="1:18">
      <c r="A362" t="s">
        <v>388</v>
      </c>
      <c r="B362" t="s">
        <v>21</v>
      </c>
      <c r="C362" t="s">
        <v>15</v>
      </c>
      <c r="D362" s="5">
        <v>45948</v>
      </c>
      <c r="E362" s="5">
        <v>45953</v>
      </c>
      <c r="F362" s="5">
        <v>45957</v>
      </c>
      <c r="G362" s="5">
        <v>45964</v>
      </c>
      <c r="H362" t="s">
        <v>16</v>
      </c>
      <c r="I362" t="s">
        <v>17</v>
      </c>
      <c r="J362" s="5">
        <v>45990</v>
      </c>
      <c r="K362" s="15">
        <f t="shared" si="18"/>
        <v>5</v>
      </c>
      <c r="L362">
        <f t="shared" si="16"/>
        <v>4</v>
      </c>
      <c r="M362">
        <f t="shared" si="17"/>
        <v>7</v>
      </c>
      <c r="N362">
        <v>8</v>
      </c>
      <c r="O362">
        <f>DATEDIF(Table1[[#This Row],[lead_date]], Table1[[#This Row],[delivery_date]], "d")</f>
        <v>16</v>
      </c>
      <c r="P362" s="5" t="str">
        <f>IF(AND(Table1[[#This Row],[customer_rating]]&gt;=8, Table1[[#This Row],[Tat_day]]&lt;=7, Table1[[#This Row],[lead_type]]="Hot"), "High", "Normal")</f>
        <v>Normal</v>
      </c>
      <c r="Q362" s="5" t="str">
        <f>IF(Table1[[#This Row],[customer_rating]]&gt;=9,"Promoter",IF(Table1[[#This Row],[customer_rating]]&gt;=7,"Passive","Detractor"))</f>
        <v>Passive</v>
      </c>
      <c r="R362" s="5"/>
    </row>
    <row r="363" spans="1:18">
      <c r="A363" t="s">
        <v>389</v>
      </c>
      <c r="B363" t="s">
        <v>32</v>
      </c>
      <c r="C363" t="s">
        <v>15</v>
      </c>
      <c r="D363" s="5">
        <v>45932</v>
      </c>
      <c r="E363" s="5">
        <v>45936</v>
      </c>
      <c r="F363" s="5">
        <v>45940</v>
      </c>
      <c r="G363" s="5">
        <v>45942</v>
      </c>
      <c r="H363" t="s">
        <v>16</v>
      </c>
      <c r="I363" t="s">
        <v>17</v>
      </c>
      <c r="J363" s="5">
        <v>45966</v>
      </c>
      <c r="K363" s="15">
        <f t="shared" si="18"/>
        <v>4</v>
      </c>
      <c r="L363">
        <f t="shared" si="16"/>
        <v>4</v>
      </c>
      <c r="M363">
        <f t="shared" si="17"/>
        <v>2</v>
      </c>
      <c r="N363">
        <v>0</v>
      </c>
      <c r="O363">
        <f>DATEDIF(Table1[[#This Row],[lead_date]], Table1[[#This Row],[delivery_date]], "d")</f>
        <v>10</v>
      </c>
      <c r="P363" s="5" t="str">
        <f>IF(AND(Table1[[#This Row],[customer_rating]]&gt;=8, Table1[[#This Row],[Tat_day]]&lt;=7, Table1[[#This Row],[lead_type]]="Hot"), "High", "Normal")</f>
        <v>Normal</v>
      </c>
      <c r="Q363" s="5" t="str">
        <f>IF(Table1[[#This Row],[customer_rating]]&gt;=9,"Promoter",IF(Table1[[#This Row],[customer_rating]]&gt;=7,"Passive","Detractor"))</f>
        <v>Detractor</v>
      </c>
      <c r="R363" s="5"/>
    </row>
    <row r="364" spans="1:18">
      <c r="A364" t="s">
        <v>390</v>
      </c>
      <c r="B364" t="s">
        <v>19</v>
      </c>
      <c r="C364" t="s">
        <v>15</v>
      </c>
      <c r="D364" s="5">
        <v>45945</v>
      </c>
      <c r="E364" s="5">
        <v>45948</v>
      </c>
      <c r="F364" s="5">
        <v>45949</v>
      </c>
      <c r="G364" s="5">
        <v>45956</v>
      </c>
      <c r="H364" t="s">
        <v>16</v>
      </c>
      <c r="I364" t="s">
        <v>17</v>
      </c>
      <c r="J364" s="5">
        <v>45966</v>
      </c>
      <c r="K364" s="15">
        <f t="shared" si="18"/>
        <v>3</v>
      </c>
      <c r="L364">
        <f t="shared" si="16"/>
        <v>1</v>
      </c>
      <c r="M364">
        <f t="shared" si="17"/>
        <v>7</v>
      </c>
      <c r="N364">
        <v>1</v>
      </c>
      <c r="O364">
        <f>DATEDIF(Table1[[#This Row],[lead_date]], Table1[[#This Row],[delivery_date]], "d")</f>
        <v>11</v>
      </c>
      <c r="P364" s="5" t="str">
        <f>IF(AND(Table1[[#This Row],[customer_rating]]&gt;=8, Table1[[#This Row],[Tat_day]]&lt;=7, Table1[[#This Row],[lead_type]]="Hot"), "High", "Normal")</f>
        <v>Normal</v>
      </c>
      <c r="Q364" s="5" t="str">
        <f>IF(Table1[[#This Row],[customer_rating]]&gt;=9,"Promoter",IF(Table1[[#This Row],[customer_rating]]&gt;=7,"Passive","Detractor"))</f>
        <v>Detractor</v>
      </c>
      <c r="R364" s="5"/>
    </row>
    <row r="365" spans="1:18">
      <c r="A365" t="s">
        <v>391</v>
      </c>
      <c r="B365" t="s">
        <v>21</v>
      </c>
      <c r="C365" t="s">
        <v>15</v>
      </c>
      <c r="D365" s="5">
        <v>45933</v>
      </c>
      <c r="E365" s="5">
        <v>45935</v>
      </c>
      <c r="F365" s="5">
        <v>45940</v>
      </c>
      <c r="G365" s="5">
        <v>45942</v>
      </c>
      <c r="H365" t="s">
        <v>16</v>
      </c>
      <c r="I365" t="s">
        <v>17</v>
      </c>
      <c r="J365" s="5">
        <v>45971</v>
      </c>
      <c r="K365" s="15">
        <f t="shared" si="18"/>
        <v>2</v>
      </c>
      <c r="L365">
        <f t="shared" si="16"/>
        <v>5</v>
      </c>
      <c r="M365">
        <f t="shared" si="17"/>
        <v>2</v>
      </c>
      <c r="N365">
        <v>4</v>
      </c>
      <c r="O365">
        <f>DATEDIF(Table1[[#This Row],[lead_date]], Table1[[#This Row],[delivery_date]], "d")</f>
        <v>9</v>
      </c>
      <c r="P365" s="5" t="str">
        <f>IF(AND(Table1[[#This Row],[customer_rating]]&gt;=8, Table1[[#This Row],[Tat_day]]&lt;=7, Table1[[#This Row],[lead_type]]="Hot"), "High", "Normal")</f>
        <v>Normal</v>
      </c>
      <c r="Q365" s="5" t="str">
        <f>IF(Table1[[#This Row],[customer_rating]]&gt;=9,"Promoter",IF(Table1[[#This Row],[customer_rating]]&gt;=7,"Passive","Detractor"))</f>
        <v>Detractor</v>
      </c>
      <c r="R365" s="5"/>
    </row>
    <row r="366" spans="1:18">
      <c r="A366" t="s">
        <v>392</v>
      </c>
      <c r="B366" t="s">
        <v>14</v>
      </c>
      <c r="C366" t="s">
        <v>15</v>
      </c>
      <c r="D366" s="5">
        <v>45941</v>
      </c>
      <c r="E366" s="5">
        <v>45946</v>
      </c>
      <c r="F366" s="5">
        <v>45948</v>
      </c>
      <c r="G366" s="5">
        <v>45950</v>
      </c>
      <c r="H366" t="s">
        <v>16</v>
      </c>
      <c r="I366" t="s">
        <v>17</v>
      </c>
      <c r="J366" s="5">
        <v>45978</v>
      </c>
      <c r="K366" s="15">
        <f t="shared" si="18"/>
        <v>5</v>
      </c>
      <c r="L366">
        <f t="shared" si="16"/>
        <v>2</v>
      </c>
      <c r="M366">
        <f t="shared" si="17"/>
        <v>2</v>
      </c>
      <c r="N366">
        <v>5</v>
      </c>
      <c r="O366">
        <f>DATEDIF(Table1[[#This Row],[lead_date]], Table1[[#This Row],[delivery_date]], "d")</f>
        <v>9</v>
      </c>
      <c r="P366" s="5" t="str">
        <f>IF(AND(Table1[[#This Row],[customer_rating]]&gt;=8, Table1[[#This Row],[Tat_day]]&lt;=7, Table1[[#This Row],[lead_type]]="Hot"), "High", "Normal")</f>
        <v>Normal</v>
      </c>
      <c r="Q366" s="5" t="str">
        <f>IF(Table1[[#This Row],[customer_rating]]&gt;=9,"Promoter",IF(Table1[[#This Row],[customer_rating]]&gt;=7,"Passive","Detractor"))</f>
        <v>Detractor</v>
      </c>
      <c r="R366" s="5"/>
    </row>
    <row r="367" spans="1:18">
      <c r="A367" t="s">
        <v>393</v>
      </c>
      <c r="B367" t="s">
        <v>32</v>
      </c>
      <c r="C367" t="s">
        <v>15</v>
      </c>
      <c r="D367" s="5">
        <v>45939</v>
      </c>
      <c r="E367" s="5">
        <v>45940</v>
      </c>
      <c r="F367" s="5">
        <v>45943</v>
      </c>
      <c r="G367" s="5">
        <v>45946</v>
      </c>
      <c r="H367" t="s">
        <v>16</v>
      </c>
      <c r="I367" t="s">
        <v>17</v>
      </c>
      <c r="J367" s="5">
        <v>45972</v>
      </c>
      <c r="K367" s="15">
        <f t="shared" si="18"/>
        <v>1</v>
      </c>
      <c r="L367">
        <f t="shared" si="16"/>
        <v>3</v>
      </c>
      <c r="M367">
        <f t="shared" si="17"/>
        <v>3</v>
      </c>
      <c r="N367">
        <v>10</v>
      </c>
      <c r="O367">
        <f>DATEDIF(Table1[[#This Row],[lead_date]], Table1[[#This Row],[delivery_date]], "d")</f>
        <v>7</v>
      </c>
      <c r="P367" s="5" t="str">
        <f>IF(AND(Table1[[#This Row],[customer_rating]]&gt;=8, Table1[[#This Row],[Tat_day]]&lt;=7, Table1[[#This Row],[lead_type]]="Hot"), "High", "Normal")</f>
        <v>Normal</v>
      </c>
      <c r="Q367" s="5" t="str">
        <f>IF(Table1[[#This Row],[customer_rating]]&gt;=9,"Promoter",IF(Table1[[#This Row],[customer_rating]]&gt;=7,"Passive","Detractor"))</f>
        <v>Promoter</v>
      </c>
      <c r="R367" s="5"/>
    </row>
    <row r="368" spans="1:18">
      <c r="A368" t="s">
        <v>394</v>
      </c>
      <c r="B368" t="s">
        <v>14</v>
      </c>
      <c r="C368" t="s">
        <v>15</v>
      </c>
      <c r="D368" s="5">
        <v>45941</v>
      </c>
      <c r="E368" s="5">
        <v>45945</v>
      </c>
      <c r="F368" s="5">
        <v>45946</v>
      </c>
      <c r="G368" s="5">
        <v>45951</v>
      </c>
      <c r="H368" t="s">
        <v>16</v>
      </c>
      <c r="I368" t="s">
        <v>17</v>
      </c>
      <c r="J368" s="5">
        <v>45974</v>
      </c>
      <c r="K368" s="15">
        <f t="shared" si="18"/>
        <v>4</v>
      </c>
      <c r="L368">
        <f t="shared" si="16"/>
        <v>1</v>
      </c>
      <c r="M368">
        <f t="shared" si="17"/>
        <v>5</v>
      </c>
      <c r="N368">
        <v>3</v>
      </c>
      <c r="O368">
        <f>DATEDIF(Table1[[#This Row],[lead_date]], Table1[[#This Row],[delivery_date]], "d")</f>
        <v>10</v>
      </c>
      <c r="P368" s="5" t="str">
        <f>IF(AND(Table1[[#This Row],[customer_rating]]&gt;=8, Table1[[#This Row],[Tat_day]]&lt;=7, Table1[[#This Row],[lead_type]]="Hot"), "High", "Normal")</f>
        <v>Normal</v>
      </c>
      <c r="Q368" s="5" t="str">
        <f>IF(Table1[[#This Row],[customer_rating]]&gt;=9,"Promoter",IF(Table1[[#This Row],[customer_rating]]&gt;=7,"Passive","Detractor"))</f>
        <v>Detractor</v>
      </c>
      <c r="R368" s="5"/>
    </row>
    <row r="369" spans="1:18">
      <c r="A369" t="s">
        <v>395</v>
      </c>
      <c r="B369" t="s">
        <v>19</v>
      </c>
      <c r="C369" t="s">
        <v>30</v>
      </c>
      <c r="D369" s="5">
        <v>45934</v>
      </c>
      <c r="E369" s="5">
        <v>45939</v>
      </c>
      <c r="F369" s="5">
        <v>45941</v>
      </c>
      <c r="G369" s="5">
        <v>45943</v>
      </c>
      <c r="H369" t="s">
        <v>23</v>
      </c>
      <c r="I369" t="s">
        <v>1028</v>
      </c>
      <c r="K369" s="15">
        <f t="shared" si="18"/>
        <v>5</v>
      </c>
      <c r="L369">
        <f t="shared" si="16"/>
        <v>2</v>
      </c>
      <c r="M369">
        <f t="shared" si="17"/>
        <v>2</v>
      </c>
      <c r="O369">
        <f>DATEDIF(Table1[[#This Row],[lead_date]], Table1[[#This Row],[delivery_date]], "d")</f>
        <v>9</v>
      </c>
      <c r="P369" s="5" t="str">
        <f>IF(AND(Table1[[#This Row],[customer_rating]]&gt;=8, Table1[[#This Row],[Tat_day]]&lt;=7, Table1[[#This Row],[lead_type]]="Hot"), "High", "Normal")</f>
        <v>Normal</v>
      </c>
      <c r="Q369" s="5" t="str">
        <f>IF(Table1[[#This Row],[customer_rating]]&gt;=9,"Promoter",IF(Table1[[#This Row],[customer_rating]]&gt;=7,"Passive","Detractor"))</f>
        <v>Detractor</v>
      </c>
      <c r="R369" s="5"/>
    </row>
    <row r="370" spans="1:18">
      <c r="A370" t="s">
        <v>396</v>
      </c>
      <c r="B370" t="s">
        <v>19</v>
      </c>
      <c r="C370" t="s">
        <v>15</v>
      </c>
      <c r="D370" s="5">
        <v>45955</v>
      </c>
      <c r="E370" s="5">
        <v>45958</v>
      </c>
      <c r="F370" s="5">
        <v>45963</v>
      </c>
      <c r="G370" s="5">
        <v>45966</v>
      </c>
      <c r="H370" t="s">
        <v>16</v>
      </c>
      <c r="I370" t="s">
        <v>17</v>
      </c>
      <c r="J370" s="5">
        <v>45979</v>
      </c>
      <c r="K370" s="15">
        <f t="shared" si="18"/>
        <v>3</v>
      </c>
      <c r="L370">
        <f t="shared" si="16"/>
        <v>5</v>
      </c>
      <c r="M370">
        <f t="shared" si="17"/>
        <v>3</v>
      </c>
      <c r="N370">
        <v>10</v>
      </c>
      <c r="O370">
        <f>DATEDIF(Table1[[#This Row],[lead_date]], Table1[[#This Row],[delivery_date]], "d")</f>
        <v>11</v>
      </c>
      <c r="P370" s="5" t="str">
        <f>IF(AND(Table1[[#This Row],[customer_rating]]&gt;=8, Table1[[#This Row],[Tat_day]]&lt;=7, Table1[[#This Row],[lead_type]]="Hot"), "High", "Normal")</f>
        <v>Normal</v>
      </c>
      <c r="Q370" s="5" t="str">
        <f>IF(Table1[[#This Row],[customer_rating]]&gt;=9,"Promoter",IF(Table1[[#This Row],[customer_rating]]&gt;=7,"Passive","Detractor"))</f>
        <v>Promoter</v>
      </c>
      <c r="R370" s="5"/>
    </row>
    <row r="371" spans="1:18">
      <c r="A371" t="s">
        <v>397</v>
      </c>
      <c r="B371" t="s">
        <v>19</v>
      </c>
      <c r="C371" t="s">
        <v>30</v>
      </c>
      <c r="D371" s="5">
        <v>45943</v>
      </c>
      <c r="E371" s="5">
        <v>45944</v>
      </c>
      <c r="F371" s="5">
        <v>45948</v>
      </c>
      <c r="G371" s="5">
        <v>45954</v>
      </c>
      <c r="H371" t="s">
        <v>16</v>
      </c>
      <c r="I371" t="s">
        <v>17</v>
      </c>
      <c r="J371" s="5">
        <v>45977</v>
      </c>
      <c r="K371" s="15">
        <f t="shared" si="18"/>
        <v>1</v>
      </c>
      <c r="L371">
        <f t="shared" si="16"/>
        <v>4</v>
      </c>
      <c r="M371">
        <f t="shared" si="17"/>
        <v>6</v>
      </c>
      <c r="N371">
        <v>4</v>
      </c>
      <c r="O371">
        <f>DATEDIF(Table1[[#This Row],[lead_date]], Table1[[#This Row],[delivery_date]], "d")</f>
        <v>11</v>
      </c>
      <c r="P371" s="5" t="str">
        <f>IF(AND(Table1[[#This Row],[customer_rating]]&gt;=8, Table1[[#This Row],[Tat_day]]&lt;=7, Table1[[#This Row],[lead_type]]="Hot"), "High", "Normal")</f>
        <v>Normal</v>
      </c>
      <c r="Q371" s="5" t="str">
        <f>IF(Table1[[#This Row],[customer_rating]]&gt;=9,"Promoter",IF(Table1[[#This Row],[customer_rating]]&gt;=7,"Passive","Detractor"))</f>
        <v>Detractor</v>
      </c>
      <c r="R371" s="5"/>
    </row>
    <row r="372" spans="1:18">
      <c r="A372" t="s">
        <v>398</v>
      </c>
      <c r="B372" t="s">
        <v>32</v>
      </c>
      <c r="C372" t="s">
        <v>15</v>
      </c>
      <c r="D372" s="5">
        <v>45958</v>
      </c>
      <c r="E372" s="5">
        <v>45961</v>
      </c>
      <c r="F372" s="5">
        <v>45966</v>
      </c>
      <c r="G372" s="5">
        <v>45969</v>
      </c>
      <c r="H372" t="s">
        <v>16</v>
      </c>
      <c r="I372" t="s">
        <v>17</v>
      </c>
      <c r="J372" s="5">
        <v>45983</v>
      </c>
      <c r="K372" s="15">
        <f t="shared" si="18"/>
        <v>3</v>
      </c>
      <c r="L372">
        <f t="shared" si="16"/>
        <v>5</v>
      </c>
      <c r="M372">
        <f t="shared" si="17"/>
        <v>3</v>
      </c>
      <c r="N372">
        <v>7</v>
      </c>
      <c r="O372">
        <f>DATEDIF(Table1[[#This Row],[lead_date]], Table1[[#This Row],[delivery_date]], "d")</f>
        <v>11</v>
      </c>
      <c r="P372" s="5" t="str">
        <f>IF(AND(Table1[[#This Row],[customer_rating]]&gt;=8, Table1[[#This Row],[Tat_day]]&lt;=7, Table1[[#This Row],[lead_type]]="Hot"), "High", "Normal")</f>
        <v>Normal</v>
      </c>
      <c r="Q372" s="5" t="str">
        <f>IF(Table1[[#This Row],[customer_rating]]&gt;=9,"Promoter",IF(Table1[[#This Row],[customer_rating]]&gt;=7,"Passive","Detractor"))</f>
        <v>Passive</v>
      </c>
      <c r="R372" s="5"/>
    </row>
    <row r="373" spans="1:18">
      <c r="A373" t="s">
        <v>399</v>
      </c>
      <c r="B373" t="s">
        <v>21</v>
      </c>
      <c r="C373" t="s">
        <v>15</v>
      </c>
      <c r="D373" s="5">
        <v>45947</v>
      </c>
      <c r="E373" s="5">
        <v>45950</v>
      </c>
      <c r="F373" s="5">
        <v>45952</v>
      </c>
      <c r="G373" s="5">
        <v>45958</v>
      </c>
      <c r="H373" t="s">
        <v>16</v>
      </c>
      <c r="I373" t="s">
        <v>17</v>
      </c>
      <c r="J373" s="5">
        <v>45972</v>
      </c>
      <c r="K373" s="15">
        <f t="shared" si="18"/>
        <v>3</v>
      </c>
      <c r="L373">
        <f t="shared" si="16"/>
        <v>2</v>
      </c>
      <c r="M373">
        <f t="shared" si="17"/>
        <v>6</v>
      </c>
      <c r="N373">
        <v>1</v>
      </c>
      <c r="O373">
        <f>DATEDIF(Table1[[#This Row],[lead_date]], Table1[[#This Row],[delivery_date]], "d")</f>
        <v>11</v>
      </c>
      <c r="P373" s="5" t="str">
        <f>IF(AND(Table1[[#This Row],[customer_rating]]&gt;=8, Table1[[#This Row],[Tat_day]]&lt;=7, Table1[[#This Row],[lead_type]]="Hot"), "High", "Normal")</f>
        <v>Normal</v>
      </c>
      <c r="Q373" s="5" t="str">
        <f>IF(Table1[[#This Row],[customer_rating]]&gt;=9,"Promoter",IF(Table1[[#This Row],[customer_rating]]&gt;=7,"Passive","Detractor"))</f>
        <v>Detractor</v>
      </c>
      <c r="R373" s="5"/>
    </row>
    <row r="374" spans="1:18">
      <c r="A374" t="s">
        <v>400</v>
      </c>
      <c r="B374" t="s">
        <v>32</v>
      </c>
      <c r="C374" t="s">
        <v>15</v>
      </c>
      <c r="D374" s="5">
        <v>45957</v>
      </c>
      <c r="E374" s="5">
        <v>45959</v>
      </c>
      <c r="F374" s="5">
        <v>45961</v>
      </c>
      <c r="G374" s="5">
        <v>45968</v>
      </c>
      <c r="H374" t="s">
        <v>16</v>
      </c>
      <c r="I374" t="s">
        <v>17</v>
      </c>
      <c r="J374" s="5">
        <v>45996</v>
      </c>
      <c r="K374" s="15">
        <f t="shared" si="18"/>
        <v>2</v>
      </c>
      <c r="L374">
        <f t="shared" si="16"/>
        <v>2</v>
      </c>
      <c r="M374">
        <f t="shared" si="17"/>
        <v>7</v>
      </c>
      <c r="N374">
        <v>5</v>
      </c>
      <c r="O374">
        <f>DATEDIF(Table1[[#This Row],[lead_date]], Table1[[#This Row],[delivery_date]], "d")</f>
        <v>11</v>
      </c>
      <c r="P374" s="5" t="str">
        <f>IF(AND(Table1[[#This Row],[customer_rating]]&gt;=8, Table1[[#This Row],[Tat_day]]&lt;=7, Table1[[#This Row],[lead_type]]="Hot"), "High", "Normal")</f>
        <v>Normal</v>
      </c>
      <c r="Q374" s="5" t="str">
        <f>IF(Table1[[#This Row],[customer_rating]]&gt;=9,"Promoter",IF(Table1[[#This Row],[customer_rating]]&gt;=7,"Passive","Detractor"))</f>
        <v>Detractor</v>
      </c>
      <c r="R374" s="5"/>
    </row>
    <row r="375" spans="1:18">
      <c r="A375" t="s">
        <v>401</v>
      </c>
      <c r="B375" t="s">
        <v>14</v>
      </c>
      <c r="C375" t="s">
        <v>15</v>
      </c>
      <c r="D375" s="5">
        <v>45931</v>
      </c>
      <c r="E375" s="5">
        <v>45933</v>
      </c>
      <c r="F375" s="5">
        <v>45934</v>
      </c>
      <c r="G375" s="5">
        <v>45939</v>
      </c>
      <c r="H375" t="s">
        <v>16</v>
      </c>
      <c r="I375" t="s">
        <v>17</v>
      </c>
      <c r="J375" s="5">
        <v>45967</v>
      </c>
      <c r="K375" s="15">
        <f t="shared" si="18"/>
        <v>2</v>
      </c>
      <c r="L375">
        <f t="shared" si="16"/>
        <v>1</v>
      </c>
      <c r="M375">
        <f t="shared" si="17"/>
        <v>5</v>
      </c>
      <c r="N375">
        <v>2</v>
      </c>
      <c r="O375">
        <f>DATEDIF(Table1[[#This Row],[lead_date]], Table1[[#This Row],[delivery_date]], "d")</f>
        <v>8</v>
      </c>
      <c r="P375" s="5" t="str">
        <f>IF(AND(Table1[[#This Row],[customer_rating]]&gt;=8, Table1[[#This Row],[Tat_day]]&lt;=7, Table1[[#This Row],[lead_type]]="Hot"), "High", "Normal")</f>
        <v>Normal</v>
      </c>
      <c r="Q375" s="5" t="str">
        <f>IF(Table1[[#This Row],[customer_rating]]&gt;=9,"Promoter",IF(Table1[[#This Row],[customer_rating]]&gt;=7,"Passive","Detractor"))</f>
        <v>Detractor</v>
      </c>
      <c r="R375" s="5"/>
    </row>
    <row r="376" spans="1:18">
      <c r="A376" t="s">
        <v>402</v>
      </c>
      <c r="B376" t="s">
        <v>32</v>
      </c>
      <c r="C376" t="s">
        <v>30</v>
      </c>
      <c r="D376" s="5">
        <v>45952</v>
      </c>
      <c r="E376" s="5">
        <v>45955</v>
      </c>
      <c r="F376" s="5">
        <v>45956</v>
      </c>
      <c r="G376" s="5">
        <v>45958</v>
      </c>
      <c r="H376" t="s">
        <v>16</v>
      </c>
      <c r="I376" t="s">
        <v>17</v>
      </c>
      <c r="J376" s="5">
        <v>45986</v>
      </c>
      <c r="K376" s="15">
        <f t="shared" si="18"/>
        <v>3</v>
      </c>
      <c r="L376">
        <f t="shared" si="16"/>
        <v>1</v>
      </c>
      <c r="M376">
        <f t="shared" si="17"/>
        <v>2</v>
      </c>
      <c r="N376">
        <v>9</v>
      </c>
      <c r="O376">
        <f>DATEDIF(Table1[[#This Row],[lead_date]], Table1[[#This Row],[delivery_date]], "d")</f>
        <v>6</v>
      </c>
      <c r="P376" s="5" t="str">
        <f>IF(AND(Table1[[#This Row],[customer_rating]]&gt;=8, Table1[[#This Row],[Tat_day]]&lt;=7, Table1[[#This Row],[lead_type]]="Hot"), "High", "Normal")</f>
        <v>High</v>
      </c>
      <c r="Q376" s="5" t="str">
        <f>IF(Table1[[#This Row],[customer_rating]]&gt;=9,"Promoter",IF(Table1[[#This Row],[customer_rating]]&gt;=7,"Passive","Detractor"))</f>
        <v>Promoter</v>
      </c>
      <c r="R376" s="5"/>
    </row>
    <row r="377" spans="1:18">
      <c r="A377" t="s">
        <v>403</v>
      </c>
      <c r="B377" t="s">
        <v>14</v>
      </c>
      <c r="C377" t="s">
        <v>15</v>
      </c>
      <c r="D377" s="5">
        <v>45958</v>
      </c>
      <c r="E377" s="5">
        <v>45962</v>
      </c>
      <c r="F377" s="5">
        <v>45965</v>
      </c>
      <c r="G377" s="5">
        <v>45967</v>
      </c>
      <c r="H377" t="s">
        <v>23</v>
      </c>
      <c r="I377" t="s">
        <v>33</v>
      </c>
      <c r="K377" s="15">
        <f t="shared" si="18"/>
        <v>4</v>
      </c>
      <c r="L377">
        <f t="shared" si="16"/>
        <v>3</v>
      </c>
      <c r="M377">
        <f t="shared" si="17"/>
        <v>2</v>
      </c>
      <c r="O377">
        <f>DATEDIF(Table1[[#This Row],[lead_date]], Table1[[#This Row],[delivery_date]], "d")</f>
        <v>9</v>
      </c>
      <c r="P377" s="5" t="str">
        <f>IF(AND(Table1[[#This Row],[customer_rating]]&gt;=8, Table1[[#This Row],[Tat_day]]&lt;=7, Table1[[#This Row],[lead_type]]="Hot"), "High", "Normal")</f>
        <v>Normal</v>
      </c>
      <c r="Q377" s="5" t="str">
        <f>IF(Table1[[#This Row],[customer_rating]]&gt;=9,"Promoter",IF(Table1[[#This Row],[customer_rating]]&gt;=7,"Passive","Detractor"))</f>
        <v>Detractor</v>
      </c>
      <c r="R377" s="5"/>
    </row>
    <row r="378" spans="1:18">
      <c r="A378" t="s">
        <v>404</v>
      </c>
      <c r="B378" t="s">
        <v>32</v>
      </c>
      <c r="C378" t="s">
        <v>15</v>
      </c>
      <c r="D378" s="5">
        <v>45948</v>
      </c>
      <c r="E378" s="5">
        <v>45950</v>
      </c>
      <c r="F378" s="5">
        <v>45954</v>
      </c>
      <c r="G378" s="5">
        <v>45961</v>
      </c>
      <c r="H378" t="s">
        <v>16</v>
      </c>
      <c r="I378" t="s">
        <v>17</v>
      </c>
      <c r="J378" s="5">
        <v>45974</v>
      </c>
      <c r="K378" s="15">
        <f t="shared" si="18"/>
        <v>2</v>
      </c>
      <c r="L378">
        <f t="shared" si="16"/>
        <v>4</v>
      </c>
      <c r="M378">
        <f t="shared" si="17"/>
        <v>7</v>
      </c>
      <c r="N378">
        <v>3</v>
      </c>
      <c r="O378">
        <f>DATEDIF(Table1[[#This Row],[lead_date]], Table1[[#This Row],[delivery_date]], "d")</f>
        <v>13</v>
      </c>
      <c r="P378" s="5" t="str">
        <f>IF(AND(Table1[[#This Row],[customer_rating]]&gt;=8, Table1[[#This Row],[Tat_day]]&lt;=7, Table1[[#This Row],[lead_type]]="Hot"), "High", "Normal")</f>
        <v>Normal</v>
      </c>
      <c r="Q378" s="5" t="str">
        <f>IF(Table1[[#This Row],[customer_rating]]&gt;=9,"Promoter",IF(Table1[[#This Row],[customer_rating]]&gt;=7,"Passive","Detractor"))</f>
        <v>Detractor</v>
      </c>
      <c r="R378" s="5"/>
    </row>
    <row r="379" spans="1:18">
      <c r="A379" t="s">
        <v>405</v>
      </c>
      <c r="B379" t="s">
        <v>21</v>
      </c>
      <c r="C379" t="s">
        <v>15</v>
      </c>
      <c r="D379" s="5">
        <v>45945</v>
      </c>
      <c r="E379" s="5">
        <v>45947</v>
      </c>
      <c r="F379" s="5">
        <v>45952</v>
      </c>
      <c r="G379" s="5">
        <v>45956</v>
      </c>
      <c r="H379" t="s">
        <v>16</v>
      </c>
      <c r="I379" t="s">
        <v>17</v>
      </c>
      <c r="J379" s="5">
        <v>45969</v>
      </c>
      <c r="K379" s="15">
        <f t="shared" si="18"/>
        <v>2</v>
      </c>
      <c r="L379">
        <f t="shared" si="16"/>
        <v>5</v>
      </c>
      <c r="M379">
        <f t="shared" si="17"/>
        <v>4</v>
      </c>
      <c r="N379">
        <v>9</v>
      </c>
      <c r="O379">
        <f>DATEDIF(Table1[[#This Row],[lead_date]], Table1[[#This Row],[delivery_date]], "d")</f>
        <v>11</v>
      </c>
      <c r="P379" s="5" t="str">
        <f>IF(AND(Table1[[#This Row],[customer_rating]]&gt;=8, Table1[[#This Row],[Tat_day]]&lt;=7, Table1[[#This Row],[lead_type]]="Hot"), "High", "Normal")</f>
        <v>Normal</v>
      </c>
      <c r="Q379" s="5" t="str">
        <f>IF(Table1[[#This Row],[customer_rating]]&gt;=9,"Promoter",IF(Table1[[#This Row],[customer_rating]]&gt;=7,"Passive","Detractor"))</f>
        <v>Promoter</v>
      </c>
      <c r="R379" s="5"/>
    </row>
    <row r="380" spans="1:18">
      <c r="A380" t="s">
        <v>406</v>
      </c>
      <c r="B380" t="s">
        <v>14</v>
      </c>
      <c r="C380" t="s">
        <v>22</v>
      </c>
      <c r="D380" s="5">
        <v>45944</v>
      </c>
      <c r="H380" t="s">
        <v>23</v>
      </c>
      <c r="I380" t="s">
        <v>63</v>
      </c>
      <c r="K380" s="15" t="str">
        <f t="shared" si="18"/>
        <v/>
      </c>
      <c r="L380" t="str">
        <f t="shared" si="16"/>
        <v/>
      </c>
      <c r="M380" t="str">
        <f t="shared" si="17"/>
        <v/>
      </c>
      <c r="O380"/>
      <c r="P380" s="5" t="str">
        <f>IF(AND(Table1[[#This Row],[customer_rating]]&gt;=8, Table1[[#This Row],[Tat_day]]&lt;=7, Table1[[#This Row],[lead_type]]="Hot"), "High", "Normal")</f>
        <v>Normal</v>
      </c>
      <c r="Q380" s="5" t="str">
        <f>IF(Table1[[#This Row],[customer_rating]]&gt;=9,"Promoter",IF(Table1[[#This Row],[customer_rating]]&gt;=7,"Passive","Detractor"))</f>
        <v>Detractor</v>
      </c>
      <c r="R380" s="5"/>
    </row>
    <row r="381" spans="1:18">
      <c r="A381" t="s">
        <v>407</v>
      </c>
      <c r="B381" t="s">
        <v>19</v>
      </c>
      <c r="C381" t="s">
        <v>30</v>
      </c>
      <c r="D381" s="5">
        <v>45932</v>
      </c>
      <c r="E381" s="5">
        <v>45934</v>
      </c>
      <c r="F381" s="5">
        <v>45938</v>
      </c>
      <c r="G381" s="5">
        <v>45940</v>
      </c>
      <c r="H381" t="s">
        <v>16</v>
      </c>
      <c r="I381" t="s">
        <v>17</v>
      </c>
      <c r="J381" s="5">
        <v>45968</v>
      </c>
      <c r="K381" s="15">
        <f t="shared" si="18"/>
        <v>2</v>
      </c>
      <c r="L381">
        <f t="shared" si="16"/>
        <v>4</v>
      </c>
      <c r="M381">
        <f t="shared" si="17"/>
        <v>2</v>
      </c>
      <c r="N381">
        <v>10</v>
      </c>
      <c r="O381">
        <f>DATEDIF(Table1[[#This Row],[lead_date]], Table1[[#This Row],[delivery_date]], "d")</f>
        <v>8</v>
      </c>
      <c r="P381" s="5" t="str">
        <f>IF(AND(Table1[[#This Row],[customer_rating]]&gt;=8, Table1[[#This Row],[Tat_day]]&lt;=7, Table1[[#This Row],[lead_type]]="Hot"), "High", "Normal")</f>
        <v>Normal</v>
      </c>
      <c r="Q381" s="5" t="str">
        <f>IF(Table1[[#This Row],[customer_rating]]&gt;=9,"Promoter",IF(Table1[[#This Row],[customer_rating]]&gt;=7,"Passive","Detractor"))</f>
        <v>Promoter</v>
      </c>
      <c r="R381" s="5"/>
    </row>
    <row r="382" spans="1:18">
      <c r="A382" t="s">
        <v>408</v>
      </c>
      <c r="B382" t="s">
        <v>19</v>
      </c>
      <c r="C382" t="s">
        <v>15</v>
      </c>
      <c r="D382" s="5">
        <v>45937</v>
      </c>
      <c r="E382" s="5">
        <v>45939</v>
      </c>
      <c r="F382" s="5">
        <v>45944</v>
      </c>
      <c r="G382" s="5">
        <v>45949</v>
      </c>
      <c r="H382" t="s">
        <v>16</v>
      </c>
      <c r="I382" t="s">
        <v>17</v>
      </c>
      <c r="J382" s="5">
        <v>45962</v>
      </c>
      <c r="K382" s="15">
        <f t="shared" si="18"/>
        <v>2</v>
      </c>
      <c r="L382">
        <f t="shared" si="16"/>
        <v>5</v>
      </c>
      <c r="M382">
        <f t="shared" si="17"/>
        <v>5</v>
      </c>
      <c r="N382">
        <v>1</v>
      </c>
      <c r="O382">
        <f>DATEDIF(Table1[[#This Row],[lead_date]], Table1[[#This Row],[delivery_date]], "d")</f>
        <v>12</v>
      </c>
      <c r="P382" s="5" t="str">
        <f>IF(AND(Table1[[#This Row],[customer_rating]]&gt;=8, Table1[[#This Row],[Tat_day]]&lt;=7, Table1[[#This Row],[lead_type]]="Hot"), "High", "Normal")</f>
        <v>Normal</v>
      </c>
      <c r="Q382" s="5" t="str">
        <f>IF(Table1[[#This Row],[customer_rating]]&gt;=9,"Promoter",IF(Table1[[#This Row],[customer_rating]]&gt;=7,"Passive","Detractor"))</f>
        <v>Detractor</v>
      </c>
      <c r="R382" s="5"/>
    </row>
    <row r="383" spans="1:18">
      <c r="A383" t="s">
        <v>409</v>
      </c>
      <c r="B383" t="s">
        <v>32</v>
      </c>
      <c r="C383" t="s">
        <v>15</v>
      </c>
      <c r="D383" s="5">
        <v>45947</v>
      </c>
      <c r="E383" s="5">
        <v>45948</v>
      </c>
      <c r="F383" s="5">
        <v>45952</v>
      </c>
      <c r="G383" s="5">
        <v>45959</v>
      </c>
      <c r="H383" t="s">
        <v>16</v>
      </c>
      <c r="I383" t="s">
        <v>17</v>
      </c>
      <c r="J383" s="5">
        <v>45978</v>
      </c>
      <c r="K383" s="15">
        <f t="shared" si="18"/>
        <v>1</v>
      </c>
      <c r="L383">
        <f t="shared" si="16"/>
        <v>4</v>
      </c>
      <c r="M383">
        <f t="shared" si="17"/>
        <v>7</v>
      </c>
      <c r="N383">
        <v>8</v>
      </c>
      <c r="O383">
        <f>DATEDIF(Table1[[#This Row],[lead_date]], Table1[[#This Row],[delivery_date]], "d")</f>
        <v>12</v>
      </c>
      <c r="P383" s="5" t="str">
        <f>IF(AND(Table1[[#This Row],[customer_rating]]&gt;=8, Table1[[#This Row],[Tat_day]]&lt;=7, Table1[[#This Row],[lead_type]]="Hot"), "High", "Normal")</f>
        <v>Normal</v>
      </c>
      <c r="Q383" s="5" t="str">
        <f>IF(Table1[[#This Row],[customer_rating]]&gt;=9,"Promoter",IF(Table1[[#This Row],[customer_rating]]&gt;=7,"Passive","Detractor"))</f>
        <v>Passive</v>
      </c>
      <c r="R383" s="5"/>
    </row>
    <row r="384" spans="1:18">
      <c r="A384" t="s">
        <v>410</v>
      </c>
      <c r="B384" t="s">
        <v>19</v>
      </c>
      <c r="C384" t="s">
        <v>15</v>
      </c>
      <c r="D384" s="5">
        <v>45942</v>
      </c>
      <c r="E384" s="5">
        <v>45945</v>
      </c>
      <c r="F384" s="5">
        <v>45947</v>
      </c>
      <c r="G384" s="5">
        <v>45950</v>
      </c>
      <c r="H384" t="s">
        <v>16</v>
      </c>
      <c r="I384" t="s">
        <v>17</v>
      </c>
      <c r="J384" s="5">
        <v>45977</v>
      </c>
      <c r="K384" s="15">
        <f t="shared" si="18"/>
        <v>3</v>
      </c>
      <c r="L384">
        <f t="shared" si="16"/>
        <v>2</v>
      </c>
      <c r="M384">
        <f t="shared" si="17"/>
        <v>3</v>
      </c>
      <c r="N384">
        <v>4</v>
      </c>
      <c r="O384">
        <f>DATEDIF(Table1[[#This Row],[lead_date]], Table1[[#This Row],[delivery_date]], "d")</f>
        <v>8</v>
      </c>
      <c r="P384" s="5" t="str">
        <f>IF(AND(Table1[[#This Row],[customer_rating]]&gt;=8, Table1[[#This Row],[Tat_day]]&lt;=7, Table1[[#This Row],[lead_type]]="Hot"), "High", "Normal")</f>
        <v>Normal</v>
      </c>
      <c r="Q384" s="5" t="str">
        <f>IF(Table1[[#This Row],[customer_rating]]&gt;=9,"Promoter",IF(Table1[[#This Row],[customer_rating]]&gt;=7,"Passive","Detractor"))</f>
        <v>Detractor</v>
      </c>
      <c r="R384" s="5"/>
    </row>
    <row r="385" spans="1:18">
      <c r="A385" t="s">
        <v>411</v>
      </c>
      <c r="B385" t="s">
        <v>14</v>
      </c>
      <c r="C385" t="s">
        <v>30</v>
      </c>
      <c r="D385" s="5">
        <v>45950</v>
      </c>
      <c r="E385" s="5">
        <v>45951</v>
      </c>
      <c r="F385" s="5">
        <v>45953</v>
      </c>
      <c r="G385" s="5">
        <v>45958</v>
      </c>
      <c r="H385" t="s">
        <v>16</v>
      </c>
      <c r="I385" t="s">
        <v>17</v>
      </c>
      <c r="J385" s="5">
        <v>45979</v>
      </c>
      <c r="K385" s="15">
        <f t="shared" si="18"/>
        <v>1</v>
      </c>
      <c r="L385">
        <f t="shared" si="16"/>
        <v>2</v>
      </c>
      <c r="M385">
        <f t="shared" si="17"/>
        <v>5</v>
      </c>
      <c r="N385">
        <v>9</v>
      </c>
      <c r="O385">
        <f>DATEDIF(Table1[[#This Row],[lead_date]], Table1[[#This Row],[delivery_date]], "d")</f>
        <v>8</v>
      </c>
      <c r="P385" s="5" t="str">
        <f>IF(AND(Table1[[#This Row],[customer_rating]]&gt;=8, Table1[[#This Row],[Tat_day]]&lt;=7, Table1[[#This Row],[lead_type]]="Hot"), "High", "Normal")</f>
        <v>Normal</v>
      </c>
      <c r="Q385" s="5" t="str">
        <f>IF(Table1[[#This Row],[customer_rating]]&gt;=9,"Promoter",IF(Table1[[#This Row],[customer_rating]]&gt;=7,"Passive","Detractor"))</f>
        <v>Promoter</v>
      </c>
      <c r="R385" s="5"/>
    </row>
    <row r="386" spans="1:18">
      <c r="A386" t="s">
        <v>412</v>
      </c>
      <c r="B386" t="s">
        <v>19</v>
      </c>
      <c r="C386" t="s">
        <v>30</v>
      </c>
      <c r="D386" s="5">
        <v>45955</v>
      </c>
      <c r="E386" s="5">
        <v>45960</v>
      </c>
      <c r="F386" s="5">
        <v>45964</v>
      </c>
      <c r="G386" s="5">
        <v>45966</v>
      </c>
      <c r="H386" t="s">
        <v>23</v>
      </c>
      <c r="I386" t="s">
        <v>1028</v>
      </c>
      <c r="K386" s="15">
        <f t="shared" si="18"/>
        <v>5</v>
      </c>
      <c r="L386">
        <f t="shared" si="16"/>
        <v>4</v>
      </c>
      <c r="M386">
        <f t="shared" si="17"/>
        <v>2</v>
      </c>
      <c r="O386">
        <f>DATEDIF(Table1[[#This Row],[lead_date]], Table1[[#This Row],[delivery_date]], "d")</f>
        <v>11</v>
      </c>
      <c r="P386" s="5" t="str">
        <f>IF(AND(Table1[[#This Row],[customer_rating]]&gt;=8, Table1[[#This Row],[Tat_day]]&lt;=7, Table1[[#This Row],[lead_type]]="Hot"), "High", "Normal")</f>
        <v>Normal</v>
      </c>
      <c r="Q386" s="5" t="str">
        <f>IF(Table1[[#This Row],[customer_rating]]&gt;=9,"Promoter",IF(Table1[[#This Row],[customer_rating]]&gt;=7,"Passive","Detractor"))</f>
        <v>Detractor</v>
      </c>
      <c r="R386" s="5"/>
    </row>
    <row r="387" spans="1:18">
      <c r="A387" t="s">
        <v>413</v>
      </c>
      <c r="B387" t="s">
        <v>21</v>
      </c>
      <c r="C387" t="s">
        <v>22</v>
      </c>
      <c r="D387" s="5">
        <v>45946</v>
      </c>
      <c r="H387" t="s">
        <v>23</v>
      </c>
      <c r="I387" t="s">
        <v>101</v>
      </c>
      <c r="K387" s="15" t="str">
        <f t="shared" si="18"/>
        <v/>
      </c>
      <c r="L387" t="str">
        <f t="shared" ref="L387:L450" si="19">IF(OR(E387="", F387=""), "", INT(F387 - E387))</f>
        <v/>
      </c>
      <c r="M387" t="str">
        <f t="shared" ref="M387:M450" si="20">IF(OR(F387="", G387=""), "", INT(G387 - F387))</f>
        <v/>
      </c>
      <c r="O387"/>
      <c r="P387" s="5" t="str">
        <f>IF(AND(Table1[[#This Row],[customer_rating]]&gt;=8, Table1[[#This Row],[Tat_day]]&lt;=7, Table1[[#This Row],[lead_type]]="Hot"), "High", "Normal")</f>
        <v>Normal</v>
      </c>
      <c r="Q387" s="5" t="str">
        <f>IF(Table1[[#This Row],[customer_rating]]&gt;=9,"Promoter",IF(Table1[[#This Row],[customer_rating]]&gt;=7,"Passive","Detractor"))</f>
        <v>Detractor</v>
      </c>
      <c r="R387" s="5"/>
    </row>
    <row r="388" spans="1:18">
      <c r="A388" t="s">
        <v>414</v>
      </c>
      <c r="B388" t="s">
        <v>21</v>
      </c>
      <c r="C388" t="s">
        <v>15</v>
      </c>
      <c r="D388" s="5">
        <v>45951</v>
      </c>
      <c r="E388" s="5">
        <v>45956</v>
      </c>
      <c r="F388" s="5">
        <v>45959</v>
      </c>
      <c r="G388" s="5">
        <v>45962</v>
      </c>
      <c r="H388" t="s">
        <v>16</v>
      </c>
      <c r="I388" t="s">
        <v>17</v>
      </c>
      <c r="J388" s="5">
        <v>45985</v>
      </c>
      <c r="K388" s="15">
        <f t="shared" si="18"/>
        <v>5</v>
      </c>
      <c r="L388">
        <f t="shared" si="19"/>
        <v>3</v>
      </c>
      <c r="M388">
        <f t="shared" si="20"/>
        <v>3</v>
      </c>
      <c r="N388">
        <v>5</v>
      </c>
      <c r="O388">
        <f>DATEDIF(Table1[[#This Row],[lead_date]], Table1[[#This Row],[delivery_date]], "d")</f>
        <v>11</v>
      </c>
      <c r="P388" s="5" t="str">
        <f>IF(AND(Table1[[#This Row],[customer_rating]]&gt;=8, Table1[[#This Row],[Tat_day]]&lt;=7, Table1[[#This Row],[lead_type]]="Hot"), "High", "Normal")</f>
        <v>Normal</v>
      </c>
      <c r="Q388" s="5" t="str">
        <f>IF(Table1[[#This Row],[customer_rating]]&gt;=9,"Promoter",IF(Table1[[#This Row],[customer_rating]]&gt;=7,"Passive","Detractor"))</f>
        <v>Detractor</v>
      </c>
      <c r="R388" s="5"/>
    </row>
    <row r="389" spans="1:18">
      <c r="A389" t="s">
        <v>415</v>
      </c>
      <c r="B389" t="s">
        <v>32</v>
      </c>
      <c r="C389" t="s">
        <v>15</v>
      </c>
      <c r="D389" s="5">
        <v>45945</v>
      </c>
      <c r="E389" s="5">
        <v>45950</v>
      </c>
      <c r="F389" s="5">
        <v>45952</v>
      </c>
      <c r="G389" s="5">
        <v>45957</v>
      </c>
      <c r="H389" t="s">
        <v>23</v>
      </c>
      <c r="I389" t="s">
        <v>101</v>
      </c>
      <c r="K389" s="15">
        <f t="shared" si="18"/>
        <v>5</v>
      </c>
      <c r="L389">
        <f t="shared" si="19"/>
        <v>2</v>
      </c>
      <c r="M389">
        <f t="shared" si="20"/>
        <v>5</v>
      </c>
      <c r="O389">
        <f>DATEDIF(Table1[[#This Row],[lead_date]], Table1[[#This Row],[delivery_date]], "d")</f>
        <v>12</v>
      </c>
      <c r="P389" s="5" t="str">
        <f>IF(AND(Table1[[#This Row],[customer_rating]]&gt;=8, Table1[[#This Row],[Tat_day]]&lt;=7, Table1[[#This Row],[lead_type]]="Hot"), "High", "Normal")</f>
        <v>Normal</v>
      </c>
      <c r="Q389" s="5" t="str">
        <f>IF(Table1[[#This Row],[customer_rating]]&gt;=9,"Promoter",IF(Table1[[#This Row],[customer_rating]]&gt;=7,"Passive","Detractor"))</f>
        <v>Detractor</v>
      </c>
      <c r="R389" s="5"/>
    </row>
    <row r="390" spans="1:18">
      <c r="A390" t="s">
        <v>416</v>
      </c>
      <c r="B390" t="s">
        <v>14</v>
      </c>
      <c r="C390" t="s">
        <v>15</v>
      </c>
      <c r="D390" s="5">
        <v>45955</v>
      </c>
      <c r="E390" s="5">
        <v>45956</v>
      </c>
      <c r="F390" s="5">
        <v>45959</v>
      </c>
      <c r="G390" s="5">
        <v>45961</v>
      </c>
      <c r="H390" t="s">
        <v>16</v>
      </c>
      <c r="I390" t="s">
        <v>17</v>
      </c>
      <c r="J390" s="5">
        <v>45979</v>
      </c>
      <c r="K390" s="15">
        <f t="shared" si="18"/>
        <v>1</v>
      </c>
      <c r="L390">
        <f t="shared" si="19"/>
        <v>3</v>
      </c>
      <c r="M390">
        <f t="shared" si="20"/>
        <v>2</v>
      </c>
      <c r="N390">
        <v>3</v>
      </c>
      <c r="O390">
        <f>DATEDIF(Table1[[#This Row],[lead_date]], Table1[[#This Row],[delivery_date]], "d")</f>
        <v>6</v>
      </c>
      <c r="P390" s="5" t="str">
        <f>IF(AND(Table1[[#This Row],[customer_rating]]&gt;=8, Table1[[#This Row],[Tat_day]]&lt;=7, Table1[[#This Row],[lead_type]]="Hot"), "High", "Normal")</f>
        <v>Normal</v>
      </c>
      <c r="Q390" s="5" t="str">
        <f>IF(Table1[[#This Row],[customer_rating]]&gt;=9,"Promoter",IF(Table1[[#This Row],[customer_rating]]&gt;=7,"Passive","Detractor"))</f>
        <v>Detractor</v>
      </c>
      <c r="R390" s="5"/>
    </row>
    <row r="391" spans="1:18">
      <c r="A391" t="s">
        <v>417</v>
      </c>
      <c r="B391" t="s">
        <v>21</v>
      </c>
      <c r="C391" t="s">
        <v>15</v>
      </c>
      <c r="D391" s="5">
        <v>45932</v>
      </c>
      <c r="E391" s="5">
        <v>45935</v>
      </c>
      <c r="F391" s="5">
        <v>45937</v>
      </c>
      <c r="G391" s="5">
        <v>45944</v>
      </c>
      <c r="H391" t="s">
        <v>16</v>
      </c>
      <c r="I391" t="s">
        <v>17</v>
      </c>
      <c r="J391" s="5">
        <v>45966</v>
      </c>
      <c r="K391" s="15">
        <f t="shared" si="18"/>
        <v>3</v>
      </c>
      <c r="L391">
        <f t="shared" si="19"/>
        <v>2</v>
      </c>
      <c r="M391">
        <f t="shared" si="20"/>
        <v>7</v>
      </c>
      <c r="N391">
        <v>6</v>
      </c>
      <c r="O391">
        <f>DATEDIF(Table1[[#This Row],[lead_date]], Table1[[#This Row],[delivery_date]], "d")</f>
        <v>12</v>
      </c>
      <c r="P391" s="5" t="str">
        <f>IF(AND(Table1[[#This Row],[customer_rating]]&gt;=8, Table1[[#This Row],[Tat_day]]&lt;=7, Table1[[#This Row],[lead_type]]="Hot"), "High", "Normal")</f>
        <v>Normal</v>
      </c>
      <c r="Q391" s="5" t="str">
        <f>IF(Table1[[#This Row],[customer_rating]]&gt;=9,"Promoter",IF(Table1[[#This Row],[customer_rating]]&gt;=7,"Passive","Detractor"))</f>
        <v>Detractor</v>
      </c>
      <c r="R391" s="5"/>
    </row>
    <row r="392" spans="1:18">
      <c r="A392" t="s">
        <v>418</v>
      </c>
      <c r="B392" t="s">
        <v>21</v>
      </c>
      <c r="C392" t="s">
        <v>30</v>
      </c>
      <c r="D392" s="5">
        <v>45937</v>
      </c>
      <c r="E392" s="5">
        <v>45942</v>
      </c>
      <c r="F392" s="5">
        <v>45943</v>
      </c>
      <c r="G392" s="5">
        <v>45945</v>
      </c>
      <c r="H392" t="s">
        <v>16</v>
      </c>
      <c r="I392" t="s">
        <v>17</v>
      </c>
      <c r="J392" s="5">
        <v>45975</v>
      </c>
      <c r="K392" s="15">
        <f t="shared" si="18"/>
        <v>5</v>
      </c>
      <c r="L392">
        <f t="shared" si="19"/>
        <v>1</v>
      </c>
      <c r="M392">
        <f t="shared" si="20"/>
        <v>2</v>
      </c>
      <c r="N392">
        <v>1</v>
      </c>
      <c r="O392">
        <f>DATEDIF(Table1[[#This Row],[lead_date]], Table1[[#This Row],[delivery_date]], "d")</f>
        <v>8</v>
      </c>
      <c r="P392" s="5" t="str">
        <f>IF(AND(Table1[[#This Row],[customer_rating]]&gt;=8, Table1[[#This Row],[Tat_day]]&lt;=7, Table1[[#This Row],[lead_type]]="Hot"), "High", "Normal")</f>
        <v>Normal</v>
      </c>
      <c r="Q392" s="5" t="str">
        <f>IF(Table1[[#This Row],[customer_rating]]&gt;=9,"Promoter",IF(Table1[[#This Row],[customer_rating]]&gt;=7,"Passive","Detractor"))</f>
        <v>Detractor</v>
      </c>
      <c r="R392" s="5"/>
    </row>
    <row r="393" spans="1:18">
      <c r="A393" t="s">
        <v>419</v>
      </c>
      <c r="B393" t="s">
        <v>14</v>
      </c>
      <c r="C393" t="s">
        <v>15</v>
      </c>
      <c r="D393" s="5">
        <v>45939</v>
      </c>
      <c r="E393" s="5">
        <v>45941</v>
      </c>
      <c r="F393" s="5">
        <v>45942</v>
      </c>
      <c r="G393" s="5">
        <v>45944</v>
      </c>
      <c r="H393" t="s">
        <v>16</v>
      </c>
      <c r="I393" t="s">
        <v>17</v>
      </c>
      <c r="J393" s="5">
        <v>45969</v>
      </c>
      <c r="K393" s="15">
        <f t="shared" ref="K393:K456" si="21">IF(OR(D393="",E393=""),"",INT(E393-D393))</f>
        <v>2</v>
      </c>
      <c r="L393">
        <f t="shared" si="19"/>
        <v>1</v>
      </c>
      <c r="M393">
        <f t="shared" si="20"/>
        <v>2</v>
      </c>
      <c r="N393">
        <v>4</v>
      </c>
      <c r="O393">
        <f>DATEDIF(Table1[[#This Row],[lead_date]], Table1[[#This Row],[delivery_date]], "d")</f>
        <v>5</v>
      </c>
      <c r="P393" s="5" t="str">
        <f>IF(AND(Table1[[#This Row],[customer_rating]]&gt;=8, Table1[[#This Row],[Tat_day]]&lt;=7, Table1[[#This Row],[lead_type]]="Hot"), "High", "Normal")</f>
        <v>Normal</v>
      </c>
      <c r="Q393" s="5" t="str">
        <f>IF(Table1[[#This Row],[customer_rating]]&gt;=9,"Promoter",IF(Table1[[#This Row],[customer_rating]]&gt;=7,"Passive","Detractor"))</f>
        <v>Detractor</v>
      </c>
      <c r="R393" s="5"/>
    </row>
    <row r="394" spans="1:18">
      <c r="A394" t="s">
        <v>420</v>
      </c>
      <c r="B394" t="s">
        <v>19</v>
      </c>
      <c r="C394" t="s">
        <v>15</v>
      </c>
      <c r="D394" s="5">
        <v>45948</v>
      </c>
      <c r="E394" s="5">
        <v>45953</v>
      </c>
      <c r="F394" s="5">
        <v>45957</v>
      </c>
      <c r="G394" s="5">
        <v>45961</v>
      </c>
      <c r="H394" t="s">
        <v>16</v>
      </c>
      <c r="I394" t="s">
        <v>17</v>
      </c>
      <c r="J394" s="5">
        <v>45989</v>
      </c>
      <c r="K394" s="15">
        <f t="shared" si="21"/>
        <v>5</v>
      </c>
      <c r="L394">
        <f t="shared" si="19"/>
        <v>4</v>
      </c>
      <c r="M394">
        <f t="shared" si="20"/>
        <v>4</v>
      </c>
      <c r="N394">
        <v>6</v>
      </c>
      <c r="O394">
        <f>DATEDIF(Table1[[#This Row],[lead_date]], Table1[[#This Row],[delivery_date]], "d")</f>
        <v>13</v>
      </c>
      <c r="P394" s="5" t="str">
        <f>IF(AND(Table1[[#This Row],[customer_rating]]&gt;=8, Table1[[#This Row],[Tat_day]]&lt;=7, Table1[[#This Row],[lead_type]]="Hot"), "High", "Normal")</f>
        <v>Normal</v>
      </c>
      <c r="Q394" s="5" t="str">
        <f>IF(Table1[[#This Row],[customer_rating]]&gt;=9,"Promoter",IF(Table1[[#This Row],[customer_rating]]&gt;=7,"Passive","Detractor"))</f>
        <v>Detractor</v>
      </c>
      <c r="R394" s="5"/>
    </row>
    <row r="395" spans="1:18">
      <c r="A395" t="s">
        <v>421</v>
      </c>
      <c r="B395" t="s">
        <v>19</v>
      </c>
      <c r="C395" t="s">
        <v>22</v>
      </c>
      <c r="D395" s="5">
        <v>45935</v>
      </c>
      <c r="H395" t="s">
        <v>23</v>
      </c>
      <c r="I395" t="s">
        <v>24</v>
      </c>
      <c r="K395" s="15" t="str">
        <f t="shared" si="21"/>
        <v/>
      </c>
      <c r="L395" t="str">
        <f t="shared" si="19"/>
        <v/>
      </c>
      <c r="M395" t="str">
        <f t="shared" si="20"/>
        <v/>
      </c>
      <c r="O395"/>
      <c r="P395" s="5" t="str">
        <f>IF(AND(Table1[[#This Row],[customer_rating]]&gt;=8, Table1[[#This Row],[Tat_day]]&lt;=7, Table1[[#This Row],[lead_type]]="Hot"), "High", "Normal")</f>
        <v>Normal</v>
      </c>
      <c r="Q395" s="5" t="str">
        <f>IF(Table1[[#This Row],[customer_rating]]&gt;=9,"Promoter",IF(Table1[[#This Row],[customer_rating]]&gt;=7,"Passive","Detractor"))</f>
        <v>Detractor</v>
      </c>
      <c r="R395" s="5"/>
    </row>
    <row r="396" spans="1:18">
      <c r="A396" t="s">
        <v>422</v>
      </c>
      <c r="B396" t="s">
        <v>32</v>
      </c>
      <c r="C396" t="s">
        <v>30</v>
      </c>
      <c r="D396" s="5">
        <v>45960</v>
      </c>
      <c r="E396" s="5">
        <v>45964</v>
      </c>
      <c r="F396" s="5">
        <v>45969</v>
      </c>
      <c r="G396" s="5">
        <v>45973</v>
      </c>
      <c r="H396" t="s">
        <v>16</v>
      </c>
      <c r="I396" t="s">
        <v>17</v>
      </c>
      <c r="J396" s="5">
        <v>46002</v>
      </c>
      <c r="K396" s="15">
        <f t="shared" si="21"/>
        <v>4</v>
      </c>
      <c r="L396">
        <f t="shared" si="19"/>
        <v>5</v>
      </c>
      <c r="M396">
        <f t="shared" si="20"/>
        <v>4</v>
      </c>
      <c r="N396">
        <v>2</v>
      </c>
      <c r="O396">
        <f>DATEDIF(Table1[[#This Row],[lead_date]], Table1[[#This Row],[delivery_date]], "d")</f>
        <v>13</v>
      </c>
      <c r="P396" s="5" t="str">
        <f>IF(AND(Table1[[#This Row],[customer_rating]]&gt;=8, Table1[[#This Row],[Tat_day]]&lt;=7, Table1[[#This Row],[lead_type]]="Hot"), "High", "Normal")</f>
        <v>Normal</v>
      </c>
      <c r="Q396" s="5" t="str">
        <f>IF(Table1[[#This Row],[customer_rating]]&gt;=9,"Promoter",IF(Table1[[#This Row],[customer_rating]]&gt;=7,"Passive","Detractor"))</f>
        <v>Detractor</v>
      </c>
      <c r="R396" s="5"/>
    </row>
    <row r="397" spans="1:18">
      <c r="A397" t="s">
        <v>423</v>
      </c>
      <c r="B397" t="s">
        <v>19</v>
      </c>
      <c r="C397" t="s">
        <v>15</v>
      </c>
      <c r="D397" s="5">
        <v>45940</v>
      </c>
      <c r="E397" s="5">
        <v>45942</v>
      </c>
      <c r="F397" s="5">
        <v>45943</v>
      </c>
      <c r="G397" s="5">
        <v>45947</v>
      </c>
      <c r="H397" t="s">
        <v>16</v>
      </c>
      <c r="I397" t="s">
        <v>17</v>
      </c>
      <c r="J397" s="5">
        <v>45972</v>
      </c>
      <c r="K397" s="15">
        <f t="shared" si="21"/>
        <v>2</v>
      </c>
      <c r="L397">
        <f t="shared" si="19"/>
        <v>1</v>
      </c>
      <c r="M397">
        <f t="shared" si="20"/>
        <v>4</v>
      </c>
      <c r="N397">
        <v>8</v>
      </c>
      <c r="O397">
        <f>DATEDIF(Table1[[#This Row],[lead_date]], Table1[[#This Row],[delivery_date]], "d")</f>
        <v>7</v>
      </c>
      <c r="P397" s="5" t="str">
        <f>IF(AND(Table1[[#This Row],[customer_rating]]&gt;=8, Table1[[#This Row],[Tat_day]]&lt;=7, Table1[[#This Row],[lead_type]]="Hot"), "High", "Normal")</f>
        <v>Normal</v>
      </c>
      <c r="Q397" s="5" t="str">
        <f>IF(Table1[[#This Row],[customer_rating]]&gt;=9,"Promoter",IF(Table1[[#This Row],[customer_rating]]&gt;=7,"Passive","Detractor"))</f>
        <v>Passive</v>
      </c>
      <c r="R397" s="5"/>
    </row>
    <row r="398" spans="1:18">
      <c r="A398" t="s">
        <v>424</v>
      </c>
      <c r="B398" t="s">
        <v>14</v>
      </c>
      <c r="C398" t="s">
        <v>15</v>
      </c>
      <c r="D398" s="5">
        <v>45945</v>
      </c>
      <c r="E398" s="5">
        <v>45947</v>
      </c>
      <c r="F398" s="5">
        <v>45949</v>
      </c>
      <c r="G398" s="5">
        <v>45952</v>
      </c>
      <c r="H398" t="s">
        <v>16</v>
      </c>
      <c r="I398" t="s">
        <v>17</v>
      </c>
      <c r="J398" s="5">
        <v>45963</v>
      </c>
      <c r="K398" s="15">
        <f t="shared" si="21"/>
        <v>2</v>
      </c>
      <c r="L398">
        <f t="shared" si="19"/>
        <v>2</v>
      </c>
      <c r="M398">
        <f t="shared" si="20"/>
        <v>3</v>
      </c>
      <c r="N398">
        <v>6</v>
      </c>
      <c r="O398">
        <f>DATEDIF(Table1[[#This Row],[lead_date]], Table1[[#This Row],[delivery_date]], "d")</f>
        <v>7</v>
      </c>
      <c r="P398" s="5" t="str">
        <f>IF(AND(Table1[[#This Row],[customer_rating]]&gt;=8, Table1[[#This Row],[Tat_day]]&lt;=7, Table1[[#This Row],[lead_type]]="Hot"), "High", "Normal")</f>
        <v>Normal</v>
      </c>
      <c r="Q398" s="5" t="str">
        <f>IF(Table1[[#This Row],[customer_rating]]&gt;=9,"Promoter",IF(Table1[[#This Row],[customer_rating]]&gt;=7,"Passive","Detractor"))</f>
        <v>Detractor</v>
      </c>
      <c r="R398" s="5"/>
    </row>
    <row r="399" spans="1:18">
      <c r="A399" t="s">
        <v>425</v>
      </c>
      <c r="B399" t="s">
        <v>21</v>
      </c>
      <c r="C399" t="s">
        <v>15</v>
      </c>
      <c r="D399" s="5">
        <v>45959</v>
      </c>
      <c r="E399" s="5">
        <v>45961</v>
      </c>
      <c r="F399" s="5">
        <v>45963</v>
      </c>
      <c r="G399" s="5">
        <v>45968</v>
      </c>
      <c r="H399" t="s">
        <v>16</v>
      </c>
      <c r="I399" t="s">
        <v>17</v>
      </c>
      <c r="J399" s="5">
        <v>45983</v>
      </c>
      <c r="K399" s="15">
        <f t="shared" si="21"/>
        <v>2</v>
      </c>
      <c r="L399">
        <f t="shared" si="19"/>
        <v>2</v>
      </c>
      <c r="M399">
        <f t="shared" si="20"/>
        <v>5</v>
      </c>
      <c r="N399">
        <v>2</v>
      </c>
      <c r="O399">
        <f>DATEDIF(Table1[[#This Row],[lead_date]], Table1[[#This Row],[delivery_date]], "d")</f>
        <v>9</v>
      </c>
      <c r="P399" s="5" t="str">
        <f>IF(AND(Table1[[#This Row],[customer_rating]]&gt;=8, Table1[[#This Row],[Tat_day]]&lt;=7, Table1[[#This Row],[lead_type]]="Hot"), "High", "Normal")</f>
        <v>Normal</v>
      </c>
      <c r="Q399" s="5" t="str">
        <f>IF(Table1[[#This Row],[customer_rating]]&gt;=9,"Promoter",IF(Table1[[#This Row],[customer_rating]]&gt;=7,"Passive","Detractor"))</f>
        <v>Detractor</v>
      </c>
      <c r="R399" s="5"/>
    </row>
    <row r="400" spans="1:18">
      <c r="A400" t="s">
        <v>426</v>
      </c>
      <c r="B400" t="s">
        <v>19</v>
      </c>
      <c r="C400" t="s">
        <v>15</v>
      </c>
      <c r="D400" s="5">
        <v>45953</v>
      </c>
      <c r="E400" s="5">
        <v>45958</v>
      </c>
      <c r="F400" s="5">
        <v>45959</v>
      </c>
      <c r="G400" s="5">
        <v>45962</v>
      </c>
      <c r="H400" t="s">
        <v>16</v>
      </c>
      <c r="I400" t="s">
        <v>17</v>
      </c>
      <c r="J400" s="5">
        <v>45980</v>
      </c>
      <c r="K400" s="15">
        <f t="shared" si="21"/>
        <v>5</v>
      </c>
      <c r="L400">
        <f t="shared" si="19"/>
        <v>1</v>
      </c>
      <c r="M400">
        <f t="shared" si="20"/>
        <v>3</v>
      </c>
      <c r="N400">
        <v>6</v>
      </c>
      <c r="O400">
        <f>DATEDIF(Table1[[#This Row],[lead_date]], Table1[[#This Row],[delivery_date]], "d")</f>
        <v>9</v>
      </c>
      <c r="P400" s="5" t="str">
        <f>IF(AND(Table1[[#This Row],[customer_rating]]&gt;=8, Table1[[#This Row],[Tat_day]]&lt;=7, Table1[[#This Row],[lead_type]]="Hot"), "High", "Normal")</f>
        <v>Normal</v>
      </c>
      <c r="Q400" s="5" t="str">
        <f>IF(Table1[[#This Row],[customer_rating]]&gt;=9,"Promoter",IF(Table1[[#This Row],[customer_rating]]&gt;=7,"Passive","Detractor"))</f>
        <v>Detractor</v>
      </c>
      <c r="R400" s="5"/>
    </row>
    <row r="401" spans="1:18">
      <c r="A401" t="s">
        <v>427</v>
      </c>
      <c r="B401" t="s">
        <v>32</v>
      </c>
      <c r="C401" t="s">
        <v>15</v>
      </c>
      <c r="D401" s="5">
        <v>45946</v>
      </c>
      <c r="E401" s="5">
        <v>45948</v>
      </c>
      <c r="F401" s="5">
        <v>45949</v>
      </c>
      <c r="G401" s="5">
        <v>45956</v>
      </c>
      <c r="H401" t="s">
        <v>16</v>
      </c>
      <c r="I401" t="s">
        <v>17</v>
      </c>
      <c r="J401" s="5">
        <v>45978</v>
      </c>
      <c r="K401" s="15">
        <f t="shared" si="21"/>
        <v>2</v>
      </c>
      <c r="L401">
        <f t="shared" si="19"/>
        <v>1</v>
      </c>
      <c r="M401">
        <f t="shared" si="20"/>
        <v>7</v>
      </c>
      <c r="N401">
        <v>7</v>
      </c>
      <c r="O401">
        <f>DATEDIF(Table1[[#This Row],[lead_date]], Table1[[#This Row],[delivery_date]], "d")</f>
        <v>10</v>
      </c>
      <c r="P401" s="5" t="str">
        <f>IF(AND(Table1[[#This Row],[customer_rating]]&gt;=8, Table1[[#This Row],[Tat_day]]&lt;=7, Table1[[#This Row],[lead_type]]="Hot"), "High", "Normal")</f>
        <v>Normal</v>
      </c>
      <c r="Q401" s="5" t="str">
        <f>IF(Table1[[#This Row],[customer_rating]]&gt;=9,"Promoter",IF(Table1[[#This Row],[customer_rating]]&gt;=7,"Passive","Detractor"))</f>
        <v>Passive</v>
      </c>
      <c r="R401" s="5"/>
    </row>
    <row r="402" spans="1:18">
      <c r="A402" t="s">
        <v>428</v>
      </c>
      <c r="B402" t="s">
        <v>19</v>
      </c>
      <c r="C402" t="s">
        <v>15</v>
      </c>
      <c r="D402" s="5">
        <v>45934</v>
      </c>
      <c r="E402" s="5">
        <v>45938</v>
      </c>
      <c r="F402" s="5">
        <v>45943</v>
      </c>
      <c r="G402" s="5">
        <v>45950</v>
      </c>
      <c r="H402" t="s">
        <v>16</v>
      </c>
      <c r="I402" t="s">
        <v>17</v>
      </c>
      <c r="J402" s="5">
        <v>45964</v>
      </c>
      <c r="K402" s="15">
        <f t="shared" si="21"/>
        <v>4</v>
      </c>
      <c r="L402">
        <f t="shared" si="19"/>
        <v>5</v>
      </c>
      <c r="M402">
        <f t="shared" si="20"/>
        <v>7</v>
      </c>
      <c r="N402">
        <v>1</v>
      </c>
      <c r="O402">
        <f>DATEDIF(Table1[[#This Row],[lead_date]], Table1[[#This Row],[delivery_date]], "d")</f>
        <v>16</v>
      </c>
      <c r="P402" s="5" t="str">
        <f>IF(AND(Table1[[#This Row],[customer_rating]]&gt;=8, Table1[[#This Row],[Tat_day]]&lt;=7, Table1[[#This Row],[lead_type]]="Hot"), "High", "Normal")</f>
        <v>Normal</v>
      </c>
      <c r="Q402" s="5" t="str">
        <f>IF(Table1[[#This Row],[customer_rating]]&gt;=9,"Promoter",IF(Table1[[#This Row],[customer_rating]]&gt;=7,"Passive","Detractor"))</f>
        <v>Detractor</v>
      </c>
      <c r="R402" s="5"/>
    </row>
    <row r="403" spans="1:18">
      <c r="A403" t="s">
        <v>429</v>
      </c>
      <c r="B403" t="s">
        <v>14</v>
      </c>
      <c r="C403" t="s">
        <v>15</v>
      </c>
      <c r="D403" s="5">
        <v>45931</v>
      </c>
      <c r="E403" s="5">
        <v>45932</v>
      </c>
      <c r="F403" s="5">
        <v>45933</v>
      </c>
      <c r="G403" s="5">
        <v>45936</v>
      </c>
      <c r="H403" t="s">
        <v>16</v>
      </c>
      <c r="I403" t="s">
        <v>17</v>
      </c>
      <c r="J403" s="5">
        <v>45965</v>
      </c>
      <c r="K403" s="15">
        <f t="shared" si="21"/>
        <v>1</v>
      </c>
      <c r="L403">
        <f t="shared" si="19"/>
        <v>1</v>
      </c>
      <c r="M403">
        <f t="shared" si="20"/>
        <v>3</v>
      </c>
      <c r="N403">
        <v>8</v>
      </c>
      <c r="O403">
        <f>DATEDIF(Table1[[#This Row],[lead_date]], Table1[[#This Row],[delivery_date]], "d")</f>
        <v>5</v>
      </c>
      <c r="P403" s="5" t="str">
        <f>IF(AND(Table1[[#This Row],[customer_rating]]&gt;=8, Table1[[#This Row],[Tat_day]]&lt;=7, Table1[[#This Row],[lead_type]]="Hot"), "High", "Normal")</f>
        <v>Normal</v>
      </c>
      <c r="Q403" s="5" t="str">
        <f>IF(Table1[[#This Row],[customer_rating]]&gt;=9,"Promoter",IF(Table1[[#This Row],[customer_rating]]&gt;=7,"Passive","Detractor"))</f>
        <v>Passive</v>
      </c>
      <c r="R403" s="5"/>
    </row>
    <row r="404" spans="1:18">
      <c r="A404" t="s">
        <v>430</v>
      </c>
      <c r="B404" t="s">
        <v>32</v>
      </c>
      <c r="C404" t="s">
        <v>15</v>
      </c>
      <c r="D404" s="5">
        <v>45951</v>
      </c>
      <c r="E404" s="5">
        <v>45955</v>
      </c>
      <c r="F404" s="5">
        <v>45959</v>
      </c>
      <c r="G404" s="5">
        <v>45961</v>
      </c>
      <c r="H404" t="s">
        <v>16</v>
      </c>
      <c r="I404" t="s">
        <v>17</v>
      </c>
      <c r="J404" s="5">
        <v>45990</v>
      </c>
      <c r="K404" s="15">
        <f t="shared" si="21"/>
        <v>4</v>
      </c>
      <c r="L404">
        <f t="shared" si="19"/>
        <v>4</v>
      </c>
      <c r="M404">
        <f t="shared" si="20"/>
        <v>2</v>
      </c>
      <c r="N404">
        <v>7</v>
      </c>
      <c r="O404">
        <f>DATEDIF(Table1[[#This Row],[lead_date]], Table1[[#This Row],[delivery_date]], "d")</f>
        <v>10</v>
      </c>
      <c r="P404" s="5" t="str">
        <f>IF(AND(Table1[[#This Row],[customer_rating]]&gt;=8, Table1[[#This Row],[Tat_day]]&lt;=7, Table1[[#This Row],[lead_type]]="Hot"), "High", "Normal")</f>
        <v>Normal</v>
      </c>
      <c r="Q404" s="5" t="str">
        <f>IF(Table1[[#This Row],[customer_rating]]&gt;=9,"Promoter",IF(Table1[[#This Row],[customer_rating]]&gt;=7,"Passive","Detractor"))</f>
        <v>Passive</v>
      </c>
      <c r="R404" s="5"/>
    </row>
    <row r="405" spans="1:18">
      <c r="A405" t="s">
        <v>431</v>
      </c>
      <c r="B405" t="s">
        <v>19</v>
      </c>
      <c r="C405" t="s">
        <v>22</v>
      </c>
      <c r="D405" s="5">
        <v>45950</v>
      </c>
      <c r="H405" t="s">
        <v>23</v>
      </c>
      <c r="I405" t="s">
        <v>33</v>
      </c>
      <c r="K405" s="15" t="str">
        <f t="shared" si="21"/>
        <v/>
      </c>
      <c r="L405" t="str">
        <f t="shared" si="19"/>
        <v/>
      </c>
      <c r="M405" t="str">
        <f t="shared" si="20"/>
        <v/>
      </c>
      <c r="O405"/>
      <c r="P405" s="5" t="str">
        <f>IF(AND(Table1[[#This Row],[customer_rating]]&gt;=8, Table1[[#This Row],[Tat_day]]&lt;=7, Table1[[#This Row],[lead_type]]="Hot"), "High", "Normal")</f>
        <v>Normal</v>
      </c>
      <c r="Q405" s="5" t="str">
        <f>IF(Table1[[#This Row],[customer_rating]]&gt;=9,"Promoter",IF(Table1[[#This Row],[customer_rating]]&gt;=7,"Passive","Detractor"))</f>
        <v>Detractor</v>
      </c>
      <c r="R405" s="5"/>
    </row>
    <row r="406" spans="1:18">
      <c r="A406" t="s">
        <v>432</v>
      </c>
      <c r="B406" t="s">
        <v>32</v>
      </c>
      <c r="C406" t="s">
        <v>15</v>
      </c>
      <c r="D406" s="5">
        <v>45956</v>
      </c>
      <c r="E406" s="5">
        <v>45959</v>
      </c>
      <c r="F406" s="5">
        <v>45964</v>
      </c>
      <c r="G406" s="5">
        <v>45970</v>
      </c>
      <c r="H406" t="s">
        <v>23</v>
      </c>
      <c r="I406" t="s">
        <v>24</v>
      </c>
      <c r="K406" s="15">
        <f t="shared" si="21"/>
        <v>3</v>
      </c>
      <c r="L406">
        <f t="shared" si="19"/>
        <v>5</v>
      </c>
      <c r="M406">
        <f t="shared" si="20"/>
        <v>6</v>
      </c>
      <c r="O406">
        <f>DATEDIF(Table1[[#This Row],[lead_date]], Table1[[#This Row],[delivery_date]], "d")</f>
        <v>14</v>
      </c>
      <c r="P406" s="5" t="str">
        <f>IF(AND(Table1[[#This Row],[customer_rating]]&gt;=8, Table1[[#This Row],[Tat_day]]&lt;=7, Table1[[#This Row],[lead_type]]="Hot"), "High", "Normal")</f>
        <v>Normal</v>
      </c>
      <c r="Q406" s="5" t="str">
        <f>IF(Table1[[#This Row],[customer_rating]]&gt;=9,"Promoter",IF(Table1[[#This Row],[customer_rating]]&gt;=7,"Passive","Detractor"))</f>
        <v>Detractor</v>
      </c>
      <c r="R406" s="5"/>
    </row>
    <row r="407" spans="1:18">
      <c r="A407" t="s">
        <v>433</v>
      </c>
      <c r="B407" t="s">
        <v>14</v>
      </c>
      <c r="C407" t="s">
        <v>15</v>
      </c>
      <c r="D407" s="5">
        <v>45938</v>
      </c>
      <c r="E407" s="5">
        <v>45940</v>
      </c>
      <c r="F407" s="5">
        <v>45941</v>
      </c>
      <c r="G407" s="5">
        <v>45947</v>
      </c>
      <c r="H407" t="s">
        <v>16</v>
      </c>
      <c r="I407" t="s">
        <v>17</v>
      </c>
      <c r="J407" s="5">
        <v>45969</v>
      </c>
      <c r="K407" s="15">
        <f t="shared" si="21"/>
        <v>2</v>
      </c>
      <c r="L407">
        <f t="shared" si="19"/>
        <v>1</v>
      </c>
      <c r="M407">
        <f t="shared" si="20"/>
        <v>6</v>
      </c>
      <c r="N407">
        <v>7</v>
      </c>
      <c r="O407">
        <f>DATEDIF(Table1[[#This Row],[lead_date]], Table1[[#This Row],[delivery_date]], "d")</f>
        <v>9</v>
      </c>
      <c r="P407" s="5" t="str">
        <f>IF(AND(Table1[[#This Row],[customer_rating]]&gt;=8, Table1[[#This Row],[Tat_day]]&lt;=7, Table1[[#This Row],[lead_type]]="Hot"), "High", "Normal")</f>
        <v>Normal</v>
      </c>
      <c r="Q407" s="5" t="str">
        <f>IF(Table1[[#This Row],[customer_rating]]&gt;=9,"Promoter",IF(Table1[[#This Row],[customer_rating]]&gt;=7,"Passive","Detractor"))</f>
        <v>Passive</v>
      </c>
      <c r="R407" s="5"/>
    </row>
    <row r="408" spans="1:18">
      <c r="A408" t="s">
        <v>434</v>
      </c>
      <c r="B408" t="s">
        <v>21</v>
      </c>
      <c r="C408" t="s">
        <v>30</v>
      </c>
      <c r="D408" s="5">
        <v>45953</v>
      </c>
      <c r="E408" s="5">
        <v>45957</v>
      </c>
      <c r="F408" s="5">
        <v>45959</v>
      </c>
      <c r="G408" s="5">
        <v>45961</v>
      </c>
      <c r="H408" t="s">
        <v>16</v>
      </c>
      <c r="I408" t="s">
        <v>17</v>
      </c>
      <c r="J408" s="5">
        <v>45972</v>
      </c>
      <c r="K408" s="15">
        <f t="shared" si="21"/>
        <v>4</v>
      </c>
      <c r="L408">
        <f t="shared" si="19"/>
        <v>2</v>
      </c>
      <c r="M408">
        <f t="shared" si="20"/>
        <v>2</v>
      </c>
      <c r="N408">
        <v>7</v>
      </c>
      <c r="O408">
        <f>DATEDIF(Table1[[#This Row],[lead_date]], Table1[[#This Row],[delivery_date]], "d")</f>
        <v>8</v>
      </c>
      <c r="P408" s="5" t="str">
        <f>IF(AND(Table1[[#This Row],[customer_rating]]&gt;=8, Table1[[#This Row],[Tat_day]]&lt;=7, Table1[[#This Row],[lead_type]]="Hot"), "High", "Normal")</f>
        <v>Normal</v>
      </c>
      <c r="Q408" s="5" t="str">
        <f>IF(Table1[[#This Row],[customer_rating]]&gt;=9,"Promoter",IF(Table1[[#This Row],[customer_rating]]&gt;=7,"Passive","Detractor"))</f>
        <v>Passive</v>
      </c>
      <c r="R408" s="5"/>
    </row>
    <row r="409" spans="1:18">
      <c r="A409" t="s">
        <v>435</v>
      </c>
      <c r="B409" t="s">
        <v>14</v>
      </c>
      <c r="C409" t="s">
        <v>22</v>
      </c>
      <c r="D409" s="5">
        <v>45936</v>
      </c>
      <c r="H409" t="s">
        <v>23</v>
      </c>
      <c r="I409" t="s">
        <v>24</v>
      </c>
      <c r="K409" s="15" t="str">
        <f t="shared" si="21"/>
        <v/>
      </c>
      <c r="L409" t="str">
        <f t="shared" si="19"/>
        <v/>
      </c>
      <c r="M409" t="str">
        <f t="shared" si="20"/>
        <v/>
      </c>
      <c r="O409"/>
      <c r="P409" s="5" t="str">
        <f>IF(AND(Table1[[#This Row],[customer_rating]]&gt;=8, Table1[[#This Row],[Tat_day]]&lt;=7, Table1[[#This Row],[lead_type]]="Hot"), "High", "Normal")</f>
        <v>Normal</v>
      </c>
      <c r="Q409" s="5" t="str">
        <f>IF(Table1[[#This Row],[customer_rating]]&gt;=9,"Promoter",IF(Table1[[#This Row],[customer_rating]]&gt;=7,"Passive","Detractor"))</f>
        <v>Detractor</v>
      </c>
      <c r="R409" s="5"/>
    </row>
    <row r="410" spans="1:18">
      <c r="A410" t="s">
        <v>436</v>
      </c>
      <c r="B410" t="s">
        <v>14</v>
      </c>
      <c r="C410" t="s">
        <v>30</v>
      </c>
      <c r="D410" s="5">
        <v>45940</v>
      </c>
      <c r="E410" s="5">
        <v>45945</v>
      </c>
      <c r="F410" s="5">
        <v>45946</v>
      </c>
      <c r="G410" s="5">
        <v>45952</v>
      </c>
      <c r="H410" t="s">
        <v>23</v>
      </c>
      <c r="I410" t="s">
        <v>24</v>
      </c>
      <c r="K410" s="15">
        <f t="shared" si="21"/>
        <v>5</v>
      </c>
      <c r="L410">
        <f t="shared" si="19"/>
        <v>1</v>
      </c>
      <c r="M410">
        <f t="shared" si="20"/>
        <v>6</v>
      </c>
      <c r="O410">
        <f>DATEDIF(Table1[[#This Row],[lead_date]], Table1[[#This Row],[delivery_date]], "d")</f>
        <v>12</v>
      </c>
      <c r="P410" s="5" t="str">
        <f>IF(AND(Table1[[#This Row],[customer_rating]]&gt;=8, Table1[[#This Row],[Tat_day]]&lt;=7, Table1[[#This Row],[lead_type]]="Hot"), "High", "Normal")</f>
        <v>Normal</v>
      </c>
      <c r="Q410" s="5" t="str">
        <f>IF(Table1[[#This Row],[customer_rating]]&gt;=9,"Promoter",IF(Table1[[#This Row],[customer_rating]]&gt;=7,"Passive","Detractor"))</f>
        <v>Detractor</v>
      </c>
      <c r="R410" s="5"/>
    </row>
    <row r="411" spans="1:18">
      <c r="A411" t="s">
        <v>437</v>
      </c>
      <c r="B411" t="s">
        <v>14</v>
      </c>
      <c r="C411" t="s">
        <v>30</v>
      </c>
      <c r="D411" s="5">
        <v>45948</v>
      </c>
      <c r="E411" s="5">
        <v>45951</v>
      </c>
      <c r="F411" s="5">
        <v>45955</v>
      </c>
      <c r="G411" s="5">
        <v>45962</v>
      </c>
      <c r="H411" t="s">
        <v>16</v>
      </c>
      <c r="I411" t="s">
        <v>17</v>
      </c>
      <c r="J411" s="5">
        <v>45984</v>
      </c>
      <c r="K411" s="15">
        <f t="shared" si="21"/>
        <v>3</v>
      </c>
      <c r="L411">
        <f t="shared" si="19"/>
        <v>4</v>
      </c>
      <c r="M411">
        <f t="shared" si="20"/>
        <v>7</v>
      </c>
      <c r="N411">
        <v>1</v>
      </c>
      <c r="O411">
        <f>DATEDIF(Table1[[#This Row],[lead_date]], Table1[[#This Row],[delivery_date]], "d")</f>
        <v>14</v>
      </c>
      <c r="P411" s="5" t="str">
        <f>IF(AND(Table1[[#This Row],[customer_rating]]&gt;=8, Table1[[#This Row],[Tat_day]]&lt;=7, Table1[[#This Row],[lead_type]]="Hot"), "High", "Normal")</f>
        <v>Normal</v>
      </c>
      <c r="Q411" s="5" t="str">
        <f>IF(Table1[[#This Row],[customer_rating]]&gt;=9,"Promoter",IF(Table1[[#This Row],[customer_rating]]&gt;=7,"Passive","Detractor"))</f>
        <v>Detractor</v>
      </c>
      <c r="R411" s="5"/>
    </row>
    <row r="412" spans="1:18">
      <c r="A412" t="s">
        <v>438</v>
      </c>
      <c r="B412" t="s">
        <v>14</v>
      </c>
      <c r="C412" t="s">
        <v>30</v>
      </c>
      <c r="D412" s="5">
        <v>45931</v>
      </c>
      <c r="E412" s="5">
        <v>45935</v>
      </c>
      <c r="F412" s="5">
        <v>45939</v>
      </c>
      <c r="G412" s="5">
        <v>45942</v>
      </c>
      <c r="H412" t="s">
        <v>16</v>
      </c>
      <c r="I412" t="s">
        <v>17</v>
      </c>
      <c r="J412" s="5">
        <v>45962</v>
      </c>
      <c r="K412" s="15">
        <f t="shared" si="21"/>
        <v>4</v>
      </c>
      <c r="L412">
        <f t="shared" si="19"/>
        <v>4</v>
      </c>
      <c r="M412">
        <f t="shared" si="20"/>
        <v>3</v>
      </c>
      <c r="N412">
        <v>1</v>
      </c>
      <c r="O412">
        <f>DATEDIF(Table1[[#This Row],[lead_date]], Table1[[#This Row],[delivery_date]], "d")</f>
        <v>11</v>
      </c>
      <c r="P412" s="5" t="str">
        <f>IF(AND(Table1[[#This Row],[customer_rating]]&gt;=8, Table1[[#This Row],[Tat_day]]&lt;=7, Table1[[#This Row],[lead_type]]="Hot"), "High", "Normal")</f>
        <v>Normal</v>
      </c>
      <c r="Q412" s="5" t="str">
        <f>IF(Table1[[#This Row],[customer_rating]]&gt;=9,"Promoter",IF(Table1[[#This Row],[customer_rating]]&gt;=7,"Passive","Detractor"))</f>
        <v>Detractor</v>
      </c>
      <c r="R412" s="5"/>
    </row>
    <row r="413" spans="1:18">
      <c r="A413" t="s">
        <v>439</v>
      </c>
      <c r="B413" t="s">
        <v>21</v>
      </c>
      <c r="C413" t="s">
        <v>15</v>
      </c>
      <c r="D413" s="5">
        <v>45948</v>
      </c>
      <c r="E413" s="5">
        <v>45950</v>
      </c>
      <c r="F413" s="5">
        <v>45952</v>
      </c>
      <c r="G413" s="5">
        <v>45957</v>
      </c>
      <c r="H413" t="s">
        <v>16</v>
      </c>
      <c r="I413" t="s">
        <v>17</v>
      </c>
      <c r="J413" s="5">
        <v>45974</v>
      </c>
      <c r="K413" s="15">
        <f t="shared" si="21"/>
        <v>2</v>
      </c>
      <c r="L413">
        <f t="shared" si="19"/>
        <v>2</v>
      </c>
      <c r="M413">
        <f t="shared" si="20"/>
        <v>5</v>
      </c>
      <c r="N413">
        <v>10</v>
      </c>
      <c r="O413">
        <f>DATEDIF(Table1[[#This Row],[lead_date]], Table1[[#This Row],[delivery_date]], "d")</f>
        <v>9</v>
      </c>
      <c r="P413" s="5" t="str">
        <f>IF(AND(Table1[[#This Row],[customer_rating]]&gt;=8, Table1[[#This Row],[Tat_day]]&lt;=7, Table1[[#This Row],[lead_type]]="Hot"), "High", "Normal")</f>
        <v>Normal</v>
      </c>
      <c r="Q413" s="5" t="str">
        <f>IF(Table1[[#This Row],[customer_rating]]&gt;=9,"Promoter",IF(Table1[[#This Row],[customer_rating]]&gt;=7,"Passive","Detractor"))</f>
        <v>Promoter</v>
      </c>
      <c r="R413" s="5"/>
    </row>
    <row r="414" spans="1:18">
      <c r="A414" t="s">
        <v>440</v>
      </c>
      <c r="B414" t="s">
        <v>21</v>
      </c>
      <c r="C414" t="s">
        <v>30</v>
      </c>
      <c r="D414" s="5">
        <v>45944</v>
      </c>
      <c r="E414" s="5">
        <v>45949</v>
      </c>
      <c r="F414" s="5">
        <v>45954</v>
      </c>
      <c r="G414" s="5">
        <v>45958</v>
      </c>
      <c r="H414" t="s">
        <v>16</v>
      </c>
      <c r="I414" t="s">
        <v>17</v>
      </c>
      <c r="J414" s="5">
        <v>45969</v>
      </c>
      <c r="K414" s="15">
        <f t="shared" si="21"/>
        <v>5</v>
      </c>
      <c r="L414">
        <f t="shared" si="19"/>
        <v>5</v>
      </c>
      <c r="M414">
        <f t="shared" si="20"/>
        <v>4</v>
      </c>
      <c r="N414">
        <v>7</v>
      </c>
      <c r="O414">
        <f>DATEDIF(Table1[[#This Row],[lead_date]], Table1[[#This Row],[delivery_date]], "d")</f>
        <v>14</v>
      </c>
      <c r="P414" s="5" t="str">
        <f>IF(AND(Table1[[#This Row],[customer_rating]]&gt;=8, Table1[[#This Row],[Tat_day]]&lt;=7, Table1[[#This Row],[lead_type]]="Hot"), "High", "Normal")</f>
        <v>Normal</v>
      </c>
      <c r="Q414" s="5" t="str">
        <f>IF(Table1[[#This Row],[customer_rating]]&gt;=9,"Promoter",IF(Table1[[#This Row],[customer_rating]]&gt;=7,"Passive","Detractor"))</f>
        <v>Passive</v>
      </c>
      <c r="R414" s="5"/>
    </row>
    <row r="415" spans="1:18">
      <c r="A415" t="s">
        <v>441</v>
      </c>
      <c r="B415" t="s">
        <v>32</v>
      </c>
      <c r="C415" t="s">
        <v>30</v>
      </c>
      <c r="D415" s="5">
        <v>45933</v>
      </c>
      <c r="E415" s="5">
        <v>45935</v>
      </c>
      <c r="F415" s="5">
        <v>45937</v>
      </c>
      <c r="G415" s="5">
        <v>45944</v>
      </c>
      <c r="H415" t="s">
        <v>16</v>
      </c>
      <c r="I415" t="s">
        <v>17</v>
      </c>
      <c r="J415" s="5">
        <v>45969</v>
      </c>
      <c r="K415" s="15">
        <f t="shared" si="21"/>
        <v>2</v>
      </c>
      <c r="L415">
        <f t="shared" si="19"/>
        <v>2</v>
      </c>
      <c r="M415">
        <f t="shared" si="20"/>
        <v>7</v>
      </c>
      <c r="N415">
        <v>3</v>
      </c>
      <c r="O415">
        <f>DATEDIF(Table1[[#This Row],[lead_date]], Table1[[#This Row],[delivery_date]], "d")</f>
        <v>11</v>
      </c>
      <c r="P415" s="5" t="str">
        <f>IF(AND(Table1[[#This Row],[customer_rating]]&gt;=8, Table1[[#This Row],[Tat_day]]&lt;=7, Table1[[#This Row],[lead_type]]="Hot"), "High", "Normal")</f>
        <v>Normal</v>
      </c>
      <c r="Q415" s="5" t="str">
        <f>IF(Table1[[#This Row],[customer_rating]]&gt;=9,"Promoter",IF(Table1[[#This Row],[customer_rating]]&gt;=7,"Passive","Detractor"))</f>
        <v>Detractor</v>
      </c>
      <c r="R415" s="5"/>
    </row>
    <row r="416" spans="1:18">
      <c r="A416" t="s">
        <v>442</v>
      </c>
      <c r="B416" t="s">
        <v>19</v>
      </c>
      <c r="C416" t="s">
        <v>30</v>
      </c>
      <c r="D416" s="5">
        <v>45938</v>
      </c>
      <c r="E416" s="5">
        <v>45941</v>
      </c>
      <c r="F416" s="5">
        <v>45942</v>
      </c>
      <c r="G416" s="5">
        <v>45945</v>
      </c>
      <c r="H416" t="s">
        <v>23</v>
      </c>
      <c r="I416" t="s">
        <v>101</v>
      </c>
      <c r="K416" s="15">
        <f t="shared" si="21"/>
        <v>3</v>
      </c>
      <c r="L416">
        <f t="shared" si="19"/>
        <v>1</v>
      </c>
      <c r="M416">
        <f t="shared" si="20"/>
        <v>3</v>
      </c>
      <c r="O416">
        <f>DATEDIF(Table1[[#This Row],[lead_date]], Table1[[#This Row],[delivery_date]], "d")</f>
        <v>7</v>
      </c>
      <c r="P416" s="5" t="str">
        <f>IF(AND(Table1[[#This Row],[customer_rating]]&gt;=8, Table1[[#This Row],[Tat_day]]&lt;=7, Table1[[#This Row],[lead_type]]="Hot"), "High", "Normal")</f>
        <v>Normal</v>
      </c>
      <c r="Q416" s="5" t="str">
        <f>IF(Table1[[#This Row],[customer_rating]]&gt;=9,"Promoter",IF(Table1[[#This Row],[customer_rating]]&gt;=7,"Passive","Detractor"))</f>
        <v>Detractor</v>
      </c>
      <c r="R416" s="5"/>
    </row>
    <row r="417" spans="1:18">
      <c r="A417" t="s">
        <v>443</v>
      </c>
      <c r="B417" t="s">
        <v>21</v>
      </c>
      <c r="C417" t="s">
        <v>30</v>
      </c>
      <c r="D417" s="5">
        <v>45957</v>
      </c>
      <c r="E417" s="5">
        <v>45961</v>
      </c>
      <c r="F417" s="5">
        <v>45963</v>
      </c>
      <c r="G417" s="5">
        <v>45970</v>
      </c>
      <c r="H417" t="s">
        <v>16</v>
      </c>
      <c r="I417" t="s">
        <v>17</v>
      </c>
      <c r="J417" s="5">
        <v>45988</v>
      </c>
      <c r="K417" s="15">
        <f t="shared" si="21"/>
        <v>4</v>
      </c>
      <c r="L417">
        <f t="shared" si="19"/>
        <v>2</v>
      </c>
      <c r="M417">
        <f t="shared" si="20"/>
        <v>7</v>
      </c>
      <c r="N417">
        <v>0</v>
      </c>
      <c r="O417">
        <f>DATEDIF(Table1[[#This Row],[lead_date]], Table1[[#This Row],[delivery_date]], "d")</f>
        <v>13</v>
      </c>
      <c r="P417" s="5" t="str">
        <f>IF(AND(Table1[[#This Row],[customer_rating]]&gt;=8, Table1[[#This Row],[Tat_day]]&lt;=7, Table1[[#This Row],[lead_type]]="Hot"), "High", "Normal")</f>
        <v>Normal</v>
      </c>
      <c r="Q417" s="5" t="str">
        <f>IF(Table1[[#This Row],[customer_rating]]&gt;=9,"Promoter",IF(Table1[[#This Row],[customer_rating]]&gt;=7,"Passive","Detractor"))</f>
        <v>Detractor</v>
      </c>
      <c r="R417" s="5"/>
    </row>
    <row r="418" spans="1:18">
      <c r="A418" t="s">
        <v>444</v>
      </c>
      <c r="B418" t="s">
        <v>21</v>
      </c>
      <c r="C418" t="s">
        <v>15</v>
      </c>
      <c r="D418" s="5">
        <v>45960</v>
      </c>
      <c r="E418" s="5">
        <v>45962</v>
      </c>
      <c r="F418" s="5">
        <v>45967</v>
      </c>
      <c r="G418" s="5">
        <v>45974</v>
      </c>
      <c r="H418" t="s">
        <v>16</v>
      </c>
      <c r="I418" t="s">
        <v>17</v>
      </c>
      <c r="J418" s="5">
        <v>45995</v>
      </c>
      <c r="K418" s="15">
        <f t="shared" si="21"/>
        <v>2</v>
      </c>
      <c r="L418">
        <f t="shared" si="19"/>
        <v>5</v>
      </c>
      <c r="M418">
        <f t="shared" si="20"/>
        <v>7</v>
      </c>
      <c r="N418">
        <v>4</v>
      </c>
      <c r="O418">
        <f>DATEDIF(Table1[[#This Row],[lead_date]], Table1[[#This Row],[delivery_date]], "d")</f>
        <v>14</v>
      </c>
      <c r="P418" s="5" t="str">
        <f>IF(AND(Table1[[#This Row],[customer_rating]]&gt;=8, Table1[[#This Row],[Tat_day]]&lt;=7, Table1[[#This Row],[lead_type]]="Hot"), "High", "Normal")</f>
        <v>Normal</v>
      </c>
      <c r="Q418" s="5" t="str">
        <f>IF(Table1[[#This Row],[customer_rating]]&gt;=9,"Promoter",IF(Table1[[#This Row],[customer_rating]]&gt;=7,"Passive","Detractor"))</f>
        <v>Detractor</v>
      </c>
      <c r="R418" s="5"/>
    </row>
    <row r="419" spans="1:18">
      <c r="A419" t="s">
        <v>445</v>
      </c>
      <c r="B419" t="s">
        <v>19</v>
      </c>
      <c r="C419" t="s">
        <v>15</v>
      </c>
      <c r="D419" s="5">
        <v>45934</v>
      </c>
      <c r="E419" s="5">
        <v>45937</v>
      </c>
      <c r="F419" s="5">
        <v>45940</v>
      </c>
      <c r="G419" s="5">
        <v>45943</v>
      </c>
      <c r="H419" t="s">
        <v>16</v>
      </c>
      <c r="I419" t="s">
        <v>17</v>
      </c>
      <c r="J419" s="5">
        <v>45953</v>
      </c>
      <c r="K419" s="15">
        <f t="shared" si="21"/>
        <v>3</v>
      </c>
      <c r="L419">
        <f t="shared" si="19"/>
        <v>3</v>
      </c>
      <c r="M419">
        <f t="shared" si="20"/>
        <v>3</v>
      </c>
      <c r="N419">
        <v>10</v>
      </c>
      <c r="O419">
        <f>DATEDIF(Table1[[#This Row],[lead_date]], Table1[[#This Row],[delivery_date]], "d")</f>
        <v>9</v>
      </c>
      <c r="P419" s="5" t="str">
        <f>IF(AND(Table1[[#This Row],[customer_rating]]&gt;=8, Table1[[#This Row],[Tat_day]]&lt;=7, Table1[[#This Row],[lead_type]]="Hot"), "High", "Normal")</f>
        <v>Normal</v>
      </c>
      <c r="Q419" s="5" t="str">
        <f>IF(Table1[[#This Row],[customer_rating]]&gt;=9,"Promoter",IF(Table1[[#This Row],[customer_rating]]&gt;=7,"Passive","Detractor"))</f>
        <v>Promoter</v>
      </c>
      <c r="R419" s="5"/>
    </row>
    <row r="420" spans="1:18">
      <c r="A420" t="s">
        <v>446</v>
      </c>
      <c r="B420" t="s">
        <v>21</v>
      </c>
      <c r="C420" t="s">
        <v>15</v>
      </c>
      <c r="D420" s="5">
        <v>45945</v>
      </c>
      <c r="E420" s="5">
        <v>45950</v>
      </c>
      <c r="F420" s="5">
        <v>45952</v>
      </c>
      <c r="G420" s="5">
        <v>45957</v>
      </c>
      <c r="H420" t="s">
        <v>16</v>
      </c>
      <c r="I420" t="s">
        <v>17</v>
      </c>
      <c r="J420" s="5">
        <v>45977</v>
      </c>
      <c r="K420" s="15">
        <f t="shared" si="21"/>
        <v>5</v>
      </c>
      <c r="L420">
        <f t="shared" si="19"/>
        <v>2</v>
      </c>
      <c r="M420">
        <f t="shared" si="20"/>
        <v>5</v>
      </c>
      <c r="N420">
        <v>9</v>
      </c>
      <c r="O420">
        <f>DATEDIF(Table1[[#This Row],[lead_date]], Table1[[#This Row],[delivery_date]], "d")</f>
        <v>12</v>
      </c>
      <c r="P420" s="5" t="str">
        <f>IF(AND(Table1[[#This Row],[customer_rating]]&gt;=8, Table1[[#This Row],[Tat_day]]&lt;=7, Table1[[#This Row],[lead_type]]="Hot"), "High", "Normal")</f>
        <v>Normal</v>
      </c>
      <c r="Q420" s="5" t="str">
        <f>IF(Table1[[#This Row],[customer_rating]]&gt;=9,"Promoter",IF(Table1[[#This Row],[customer_rating]]&gt;=7,"Passive","Detractor"))</f>
        <v>Promoter</v>
      </c>
      <c r="R420" s="5"/>
    </row>
    <row r="421" spans="1:18">
      <c r="A421" t="s">
        <v>447</v>
      </c>
      <c r="B421" t="s">
        <v>14</v>
      </c>
      <c r="C421" t="s">
        <v>15</v>
      </c>
      <c r="D421" s="5">
        <v>45961</v>
      </c>
      <c r="E421" s="5">
        <v>45965</v>
      </c>
      <c r="F421" s="5">
        <v>45970</v>
      </c>
      <c r="G421" s="5">
        <v>45976</v>
      </c>
      <c r="H421" t="s">
        <v>16</v>
      </c>
      <c r="I421" t="s">
        <v>17</v>
      </c>
      <c r="J421" s="5">
        <v>45995</v>
      </c>
      <c r="K421" s="15">
        <f t="shared" si="21"/>
        <v>4</v>
      </c>
      <c r="L421">
        <f t="shared" si="19"/>
        <v>5</v>
      </c>
      <c r="M421">
        <f t="shared" si="20"/>
        <v>6</v>
      </c>
      <c r="N421">
        <v>5</v>
      </c>
      <c r="O421">
        <f>DATEDIF(Table1[[#This Row],[lead_date]], Table1[[#This Row],[delivery_date]], "d")</f>
        <v>15</v>
      </c>
      <c r="P421" s="5" t="str">
        <f>IF(AND(Table1[[#This Row],[customer_rating]]&gt;=8, Table1[[#This Row],[Tat_day]]&lt;=7, Table1[[#This Row],[lead_type]]="Hot"), "High", "Normal")</f>
        <v>Normal</v>
      </c>
      <c r="Q421" s="5" t="str">
        <f>IF(Table1[[#This Row],[customer_rating]]&gt;=9,"Promoter",IF(Table1[[#This Row],[customer_rating]]&gt;=7,"Passive","Detractor"))</f>
        <v>Detractor</v>
      </c>
      <c r="R421" s="5"/>
    </row>
    <row r="422" spans="1:18">
      <c r="A422" t="s">
        <v>448</v>
      </c>
      <c r="B422" t="s">
        <v>14</v>
      </c>
      <c r="C422" t="s">
        <v>15</v>
      </c>
      <c r="D422" s="5">
        <v>45934</v>
      </c>
      <c r="E422" s="5">
        <v>45938</v>
      </c>
      <c r="F422" s="5">
        <v>45941</v>
      </c>
      <c r="G422" s="5">
        <v>45948</v>
      </c>
      <c r="H422" t="s">
        <v>16</v>
      </c>
      <c r="I422" t="s">
        <v>17</v>
      </c>
      <c r="J422" s="5">
        <v>45967</v>
      </c>
      <c r="K422" s="15">
        <f t="shared" si="21"/>
        <v>4</v>
      </c>
      <c r="L422">
        <f t="shared" si="19"/>
        <v>3</v>
      </c>
      <c r="M422">
        <f t="shared" si="20"/>
        <v>7</v>
      </c>
      <c r="N422">
        <v>1</v>
      </c>
      <c r="O422">
        <f>DATEDIF(Table1[[#This Row],[lead_date]], Table1[[#This Row],[delivery_date]], "d")</f>
        <v>14</v>
      </c>
      <c r="P422" s="5" t="str">
        <f>IF(AND(Table1[[#This Row],[customer_rating]]&gt;=8, Table1[[#This Row],[Tat_day]]&lt;=7, Table1[[#This Row],[lead_type]]="Hot"), "High", "Normal")</f>
        <v>Normal</v>
      </c>
      <c r="Q422" s="5" t="str">
        <f>IF(Table1[[#This Row],[customer_rating]]&gt;=9,"Promoter",IF(Table1[[#This Row],[customer_rating]]&gt;=7,"Passive","Detractor"))</f>
        <v>Detractor</v>
      </c>
      <c r="R422" s="5"/>
    </row>
    <row r="423" spans="1:18">
      <c r="A423" t="s">
        <v>449</v>
      </c>
      <c r="B423" t="s">
        <v>19</v>
      </c>
      <c r="C423" t="s">
        <v>30</v>
      </c>
      <c r="D423" s="5">
        <v>45951</v>
      </c>
      <c r="E423" s="5">
        <v>45954</v>
      </c>
      <c r="F423" s="5">
        <v>45959</v>
      </c>
      <c r="G423" s="5">
        <v>45964</v>
      </c>
      <c r="H423" t="s">
        <v>16</v>
      </c>
      <c r="I423" t="s">
        <v>17</v>
      </c>
      <c r="J423" s="5">
        <v>45982</v>
      </c>
      <c r="K423" s="15">
        <f t="shared" si="21"/>
        <v>3</v>
      </c>
      <c r="L423">
        <f t="shared" si="19"/>
        <v>5</v>
      </c>
      <c r="M423">
        <f t="shared" si="20"/>
        <v>5</v>
      </c>
      <c r="N423">
        <v>7</v>
      </c>
      <c r="O423">
        <f>DATEDIF(Table1[[#This Row],[lead_date]], Table1[[#This Row],[delivery_date]], "d")</f>
        <v>13</v>
      </c>
      <c r="P423" s="5" t="str">
        <f>IF(AND(Table1[[#This Row],[customer_rating]]&gt;=8, Table1[[#This Row],[Tat_day]]&lt;=7, Table1[[#This Row],[lead_type]]="Hot"), "High", "Normal")</f>
        <v>Normal</v>
      </c>
      <c r="Q423" s="5" t="str">
        <f>IF(Table1[[#This Row],[customer_rating]]&gt;=9,"Promoter",IF(Table1[[#This Row],[customer_rating]]&gt;=7,"Passive","Detractor"))</f>
        <v>Passive</v>
      </c>
      <c r="R423" s="5"/>
    </row>
    <row r="424" spans="1:18">
      <c r="A424" t="s">
        <v>450</v>
      </c>
      <c r="B424" t="s">
        <v>32</v>
      </c>
      <c r="C424" t="s">
        <v>15</v>
      </c>
      <c r="D424" s="5">
        <v>45957</v>
      </c>
      <c r="E424" s="5">
        <v>45961</v>
      </c>
      <c r="F424" s="5">
        <v>45966</v>
      </c>
      <c r="G424" s="5">
        <v>45969</v>
      </c>
      <c r="H424" t="s">
        <v>16</v>
      </c>
      <c r="I424" t="s">
        <v>17</v>
      </c>
      <c r="J424" s="5">
        <v>45994</v>
      </c>
      <c r="K424" s="15">
        <f t="shared" si="21"/>
        <v>4</v>
      </c>
      <c r="L424">
        <f t="shared" si="19"/>
        <v>5</v>
      </c>
      <c r="M424">
        <f t="shared" si="20"/>
        <v>3</v>
      </c>
      <c r="N424">
        <v>2</v>
      </c>
      <c r="O424">
        <f>DATEDIF(Table1[[#This Row],[lead_date]], Table1[[#This Row],[delivery_date]], "d")</f>
        <v>12</v>
      </c>
      <c r="P424" s="5" t="str">
        <f>IF(AND(Table1[[#This Row],[customer_rating]]&gt;=8, Table1[[#This Row],[Tat_day]]&lt;=7, Table1[[#This Row],[lead_type]]="Hot"), "High", "Normal")</f>
        <v>Normal</v>
      </c>
      <c r="Q424" s="5" t="str">
        <f>IF(Table1[[#This Row],[customer_rating]]&gt;=9,"Promoter",IF(Table1[[#This Row],[customer_rating]]&gt;=7,"Passive","Detractor"))</f>
        <v>Detractor</v>
      </c>
      <c r="R424" s="5"/>
    </row>
    <row r="425" spans="1:18">
      <c r="A425" t="s">
        <v>451</v>
      </c>
      <c r="B425" t="s">
        <v>32</v>
      </c>
      <c r="C425" t="s">
        <v>22</v>
      </c>
      <c r="D425" s="5">
        <v>45935</v>
      </c>
      <c r="H425" t="s">
        <v>23</v>
      </c>
      <c r="I425" t="s">
        <v>101</v>
      </c>
      <c r="K425" s="15" t="str">
        <f t="shared" si="21"/>
        <v/>
      </c>
      <c r="L425" t="str">
        <f t="shared" si="19"/>
        <v/>
      </c>
      <c r="M425" t="str">
        <f t="shared" si="20"/>
        <v/>
      </c>
      <c r="O425"/>
      <c r="P425" s="5" t="str">
        <f>IF(AND(Table1[[#This Row],[customer_rating]]&gt;=8, Table1[[#This Row],[Tat_day]]&lt;=7, Table1[[#This Row],[lead_type]]="Hot"), "High", "Normal")</f>
        <v>Normal</v>
      </c>
      <c r="Q425" s="5" t="str">
        <f>IF(Table1[[#This Row],[customer_rating]]&gt;=9,"Promoter",IF(Table1[[#This Row],[customer_rating]]&gt;=7,"Passive","Detractor"))</f>
        <v>Detractor</v>
      </c>
      <c r="R425" s="5"/>
    </row>
    <row r="426" spans="1:18">
      <c r="A426" t="s">
        <v>452</v>
      </c>
      <c r="B426" t="s">
        <v>19</v>
      </c>
      <c r="C426" t="s">
        <v>15</v>
      </c>
      <c r="D426" s="5">
        <v>45946</v>
      </c>
      <c r="E426" s="5">
        <v>45951</v>
      </c>
      <c r="F426" s="5">
        <v>45954</v>
      </c>
      <c r="G426" s="5">
        <v>45956</v>
      </c>
      <c r="H426" t="s">
        <v>16</v>
      </c>
      <c r="I426" t="s">
        <v>17</v>
      </c>
      <c r="J426" s="5">
        <v>45969</v>
      </c>
      <c r="K426" s="15">
        <f t="shared" si="21"/>
        <v>5</v>
      </c>
      <c r="L426">
        <f t="shared" si="19"/>
        <v>3</v>
      </c>
      <c r="M426">
        <f t="shared" si="20"/>
        <v>2</v>
      </c>
      <c r="N426">
        <v>3</v>
      </c>
      <c r="O426">
        <f>DATEDIF(Table1[[#This Row],[lead_date]], Table1[[#This Row],[delivery_date]], "d")</f>
        <v>10</v>
      </c>
      <c r="P426" s="5" t="str">
        <f>IF(AND(Table1[[#This Row],[customer_rating]]&gt;=8, Table1[[#This Row],[Tat_day]]&lt;=7, Table1[[#This Row],[lead_type]]="Hot"), "High", "Normal")</f>
        <v>Normal</v>
      </c>
      <c r="Q426" s="5" t="str">
        <f>IF(Table1[[#This Row],[customer_rating]]&gt;=9,"Promoter",IF(Table1[[#This Row],[customer_rating]]&gt;=7,"Passive","Detractor"))</f>
        <v>Detractor</v>
      </c>
      <c r="R426" s="5"/>
    </row>
    <row r="427" spans="1:18">
      <c r="A427" t="s">
        <v>453</v>
      </c>
      <c r="B427" t="s">
        <v>19</v>
      </c>
      <c r="C427" t="s">
        <v>30</v>
      </c>
      <c r="D427" s="5">
        <v>45960</v>
      </c>
      <c r="E427" s="5">
        <v>45965</v>
      </c>
      <c r="F427" s="5">
        <v>45967</v>
      </c>
      <c r="G427" s="5">
        <v>45969</v>
      </c>
      <c r="H427" t="s">
        <v>16</v>
      </c>
      <c r="I427" t="s">
        <v>17</v>
      </c>
      <c r="J427" s="5">
        <v>45986</v>
      </c>
      <c r="K427" s="15">
        <f t="shared" si="21"/>
        <v>5</v>
      </c>
      <c r="L427">
        <f t="shared" si="19"/>
        <v>2</v>
      </c>
      <c r="M427">
        <f t="shared" si="20"/>
        <v>2</v>
      </c>
      <c r="N427">
        <v>3</v>
      </c>
      <c r="O427">
        <f>DATEDIF(Table1[[#This Row],[lead_date]], Table1[[#This Row],[delivery_date]], "d")</f>
        <v>9</v>
      </c>
      <c r="P427" s="5" t="str">
        <f>IF(AND(Table1[[#This Row],[customer_rating]]&gt;=8, Table1[[#This Row],[Tat_day]]&lt;=7, Table1[[#This Row],[lead_type]]="Hot"), "High", "Normal")</f>
        <v>Normal</v>
      </c>
      <c r="Q427" s="5" t="str">
        <f>IF(Table1[[#This Row],[customer_rating]]&gt;=9,"Promoter",IF(Table1[[#This Row],[customer_rating]]&gt;=7,"Passive","Detractor"))</f>
        <v>Detractor</v>
      </c>
      <c r="R427" s="5"/>
    </row>
    <row r="428" spans="1:18">
      <c r="A428" t="s">
        <v>454</v>
      </c>
      <c r="B428" t="s">
        <v>14</v>
      </c>
      <c r="C428" t="s">
        <v>15</v>
      </c>
      <c r="D428" s="5">
        <v>45953</v>
      </c>
      <c r="E428" s="5">
        <v>45957</v>
      </c>
      <c r="F428" s="5">
        <v>45960</v>
      </c>
      <c r="G428" s="5">
        <v>45963</v>
      </c>
      <c r="H428" t="s">
        <v>16</v>
      </c>
      <c r="I428" t="s">
        <v>17</v>
      </c>
      <c r="J428" s="5">
        <v>45977</v>
      </c>
      <c r="K428" s="15">
        <f t="shared" si="21"/>
        <v>4</v>
      </c>
      <c r="L428">
        <f t="shared" si="19"/>
        <v>3</v>
      </c>
      <c r="M428">
        <f t="shared" si="20"/>
        <v>3</v>
      </c>
      <c r="N428">
        <v>6</v>
      </c>
      <c r="O428">
        <f>DATEDIF(Table1[[#This Row],[lead_date]], Table1[[#This Row],[delivery_date]], "d")</f>
        <v>10</v>
      </c>
      <c r="P428" s="5" t="str">
        <f>IF(AND(Table1[[#This Row],[customer_rating]]&gt;=8, Table1[[#This Row],[Tat_day]]&lt;=7, Table1[[#This Row],[lead_type]]="Hot"), "High", "Normal")</f>
        <v>Normal</v>
      </c>
      <c r="Q428" s="5" t="str">
        <f>IF(Table1[[#This Row],[customer_rating]]&gt;=9,"Promoter",IF(Table1[[#This Row],[customer_rating]]&gt;=7,"Passive","Detractor"))</f>
        <v>Detractor</v>
      </c>
      <c r="R428" s="5"/>
    </row>
    <row r="429" spans="1:18">
      <c r="A429" t="s">
        <v>455</v>
      </c>
      <c r="B429" t="s">
        <v>32</v>
      </c>
      <c r="C429" t="s">
        <v>15</v>
      </c>
      <c r="D429" s="5">
        <v>45940</v>
      </c>
      <c r="E429" s="5">
        <v>45942</v>
      </c>
      <c r="F429" s="5">
        <v>45944</v>
      </c>
      <c r="G429" s="5">
        <v>45946</v>
      </c>
      <c r="H429" t="s">
        <v>16</v>
      </c>
      <c r="I429" t="s">
        <v>17</v>
      </c>
      <c r="J429" s="5">
        <v>45965</v>
      </c>
      <c r="K429" s="15">
        <f t="shared" si="21"/>
        <v>2</v>
      </c>
      <c r="L429">
        <f t="shared" si="19"/>
        <v>2</v>
      </c>
      <c r="M429">
        <f t="shared" si="20"/>
        <v>2</v>
      </c>
      <c r="N429">
        <v>7</v>
      </c>
      <c r="O429">
        <f>DATEDIF(Table1[[#This Row],[lead_date]], Table1[[#This Row],[delivery_date]], "d")</f>
        <v>6</v>
      </c>
      <c r="P429" s="5" t="str">
        <f>IF(AND(Table1[[#This Row],[customer_rating]]&gt;=8, Table1[[#This Row],[Tat_day]]&lt;=7, Table1[[#This Row],[lead_type]]="Hot"), "High", "Normal")</f>
        <v>Normal</v>
      </c>
      <c r="Q429" s="5" t="str">
        <f>IF(Table1[[#This Row],[customer_rating]]&gt;=9,"Promoter",IF(Table1[[#This Row],[customer_rating]]&gt;=7,"Passive","Detractor"))</f>
        <v>Passive</v>
      </c>
      <c r="R429" s="5"/>
    </row>
    <row r="430" spans="1:18">
      <c r="A430" t="s">
        <v>456</v>
      </c>
      <c r="B430" t="s">
        <v>21</v>
      </c>
      <c r="C430" t="s">
        <v>15</v>
      </c>
      <c r="D430" s="5">
        <v>45947</v>
      </c>
      <c r="E430" s="5">
        <v>45949</v>
      </c>
      <c r="F430" s="5">
        <v>45954</v>
      </c>
      <c r="G430" s="5">
        <v>45960</v>
      </c>
      <c r="H430" t="s">
        <v>16</v>
      </c>
      <c r="I430" t="s">
        <v>17</v>
      </c>
      <c r="J430" s="5">
        <v>45984</v>
      </c>
      <c r="K430" s="15">
        <f t="shared" si="21"/>
        <v>2</v>
      </c>
      <c r="L430">
        <f t="shared" si="19"/>
        <v>5</v>
      </c>
      <c r="M430">
        <f t="shared" si="20"/>
        <v>6</v>
      </c>
      <c r="N430">
        <v>8</v>
      </c>
      <c r="O430">
        <f>DATEDIF(Table1[[#This Row],[lead_date]], Table1[[#This Row],[delivery_date]], "d")</f>
        <v>13</v>
      </c>
      <c r="P430" s="5" t="str">
        <f>IF(AND(Table1[[#This Row],[customer_rating]]&gt;=8, Table1[[#This Row],[Tat_day]]&lt;=7, Table1[[#This Row],[lead_type]]="Hot"), "High", "Normal")</f>
        <v>Normal</v>
      </c>
      <c r="Q430" s="5" t="str">
        <f>IF(Table1[[#This Row],[customer_rating]]&gt;=9,"Promoter",IF(Table1[[#This Row],[customer_rating]]&gt;=7,"Passive","Detractor"))</f>
        <v>Passive</v>
      </c>
      <c r="R430" s="5"/>
    </row>
    <row r="431" spans="1:18">
      <c r="A431" t="s">
        <v>457</v>
      </c>
      <c r="B431" t="s">
        <v>14</v>
      </c>
      <c r="C431" t="s">
        <v>30</v>
      </c>
      <c r="D431" s="5">
        <v>45953</v>
      </c>
      <c r="E431" s="5">
        <v>45958</v>
      </c>
      <c r="F431" s="5">
        <v>45960</v>
      </c>
      <c r="G431" s="5">
        <v>45967</v>
      </c>
      <c r="H431" t="s">
        <v>16</v>
      </c>
      <c r="I431" t="s">
        <v>17</v>
      </c>
      <c r="J431" s="5">
        <v>45987</v>
      </c>
      <c r="K431" s="15">
        <f t="shared" si="21"/>
        <v>5</v>
      </c>
      <c r="L431">
        <f t="shared" si="19"/>
        <v>2</v>
      </c>
      <c r="M431">
        <f t="shared" si="20"/>
        <v>7</v>
      </c>
      <c r="N431">
        <v>6</v>
      </c>
      <c r="O431">
        <f>DATEDIF(Table1[[#This Row],[lead_date]], Table1[[#This Row],[delivery_date]], "d")</f>
        <v>14</v>
      </c>
      <c r="P431" s="5" t="str">
        <f>IF(AND(Table1[[#This Row],[customer_rating]]&gt;=8, Table1[[#This Row],[Tat_day]]&lt;=7, Table1[[#This Row],[lead_type]]="Hot"), "High", "Normal")</f>
        <v>Normal</v>
      </c>
      <c r="Q431" s="5" t="str">
        <f>IF(Table1[[#This Row],[customer_rating]]&gt;=9,"Promoter",IF(Table1[[#This Row],[customer_rating]]&gt;=7,"Passive","Detractor"))</f>
        <v>Detractor</v>
      </c>
      <c r="R431" s="5"/>
    </row>
    <row r="432" spans="1:18">
      <c r="A432" t="s">
        <v>458</v>
      </c>
      <c r="B432" t="s">
        <v>19</v>
      </c>
      <c r="C432" t="s">
        <v>30</v>
      </c>
      <c r="D432" s="5">
        <v>45939</v>
      </c>
      <c r="E432" s="5">
        <v>45941</v>
      </c>
      <c r="F432" s="5">
        <v>45945</v>
      </c>
      <c r="G432" s="5">
        <v>45950</v>
      </c>
      <c r="H432" t="s">
        <v>16</v>
      </c>
      <c r="I432" t="s">
        <v>17</v>
      </c>
      <c r="J432" s="5">
        <v>45968</v>
      </c>
      <c r="K432" s="15">
        <f t="shared" si="21"/>
        <v>2</v>
      </c>
      <c r="L432">
        <f t="shared" si="19"/>
        <v>4</v>
      </c>
      <c r="M432">
        <f t="shared" si="20"/>
        <v>5</v>
      </c>
      <c r="N432">
        <v>10</v>
      </c>
      <c r="O432">
        <f>DATEDIF(Table1[[#This Row],[lead_date]], Table1[[#This Row],[delivery_date]], "d")</f>
        <v>11</v>
      </c>
      <c r="P432" s="5" t="str">
        <f>IF(AND(Table1[[#This Row],[customer_rating]]&gt;=8, Table1[[#This Row],[Tat_day]]&lt;=7, Table1[[#This Row],[lead_type]]="Hot"), "High", "Normal")</f>
        <v>Normal</v>
      </c>
      <c r="Q432" s="5" t="str">
        <f>IF(Table1[[#This Row],[customer_rating]]&gt;=9,"Promoter",IF(Table1[[#This Row],[customer_rating]]&gt;=7,"Passive","Detractor"))</f>
        <v>Promoter</v>
      </c>
      <c r="R432" s="5"/>
    </row>
    <row r="433" spans="1:18">
      <c r="A433" t="s">
        <v>459</v>
      </c>
      <c r="B433" t="s">
        <v>32</v>
      </c>
      <c r="C433" t="s">
        <v>30</v>
      </c>
      <c r="D433" s="5">
        <v>45944</v>
      </c>
      <c r="E433" s="5">
        <v>45947</v>
      </c>
      <c r="F433" s="5">
        <v>45950</v>
      </c>
      <c r="G433" s="5">
        <v>45954</v>
      </c>
      <c r="H433" t="s">
        <v>16</v>
      </c>
      <c r="I433" t="s">
        <v>17</v>
      </c>
      <c r="J433" s="5">
        <v>45977</v>
      </c>
      <c r="K433" s="15">
        <f t="shared" si="21"/>
        <v>3</v>
      </c>
      <c r="L433">
        <f t="shared" si="19"/>
        <v>3</v>
      </c>
      <c r="M433">
        <f t="shared" si="20"/>
        <v>4</v>
      </c>
      <c r="N433">
        <v>4</v>
      </c>
      <c r="O433">
        <f>DATEDIF(Table1[[#This Row],[lead_date]], Table1[[#This Row],[delivery_date]], "d")</f>
        <v>10</v>
      </c>
      <c r="P433" s="5" t="str">
        <f>IF(AND(Table1[[#This Row],[customer_rating]]&gt;=8, Table1[[#This Row],[Tat_day]]&lt;=7, Table1[[#This Row],[lead_type]]="Hot"), "High", "Normal")</f>
        <v>Normal</v>
      </c>
      <c r="Q433" s="5" t="str">
        <f>IF(Table1[[#This Row],[customer_rating]]&gt;=9,"Promoter",IF(Table1[[#This Row],[customer_rating]]&gt;=7,"Passive","Detractor"))</f>
        <v>Detractor</v>
      </c>
      <c r="R433" s="5"/>
    </row>
    <row r="434" spans="1:18">
      <c r="A434" t="s">
        <v>460</v>
      </c>
      <c r="B434" t="s">
        <v>21</v>
      </c>
      <c r="C434" t="s">
        <v>22</v>
      </c>
      <c r="D434" s="5">
        <v>45957</v>
      </c>
      <c r="H434" t="s">
        <v>23</v>
      </c>
      <c r="I434" t="s">
        <v>24</v>
      </c>
      <c r="K434" s="15" t="str">
        <f t="shared" si="21"/>
        <v/>
      </c>
      <c r="L434" t="str">
        <f t="shared" si="19"/>
        <v/>
      </c>
      <c r="M434" t="str">
        <f t="shared" si="20"/>
        <v/>
      </c>
      <c r="O434"/>
      <c r="P434" s="5" t="str">
        <f>IF(AND(Table1[[#This Row],[customer_rating]]&gt;=8, Table1[[#This Row],[Tat_day]]&lt;=7, Table1[[#This Row],[lead_type]]="Hot"), "High", "Normal")</f>
        <v>Normal</v>
      </c>
      <c r="Q434" s="5" t="str">
        <f>IF(Table1[[#This Row],[customer_rating]]&gt;=9,"Promoter",IF(Table1[[#This Row],[customer_rating]]&gt;=7,"Passive","Detractor"))</f>
        <v>Detractor</v>
      </c>
      <c r="R434" s="5"/>
    </row>
    <row r="435" spans="1:18">
      <c r="A435" t="s">
        <v>461</v>
      </c>
      <c r="B435" t="s">
        <v>21</v>
      </c>
      <c r="C435" t="s">
        <v>15</v>
      </c>
      <c r="D435" s="5">
        <v>45946</v>
      </c>
      <c r="E435" s="5">
        <v>45947</v>
      </c>
      <c r="F435" s="5">
        <v>45950</v>
      </c>
      <c r="G435" s="5">
        <v>45955</v>
      </c>
      <c r="H435" t="s">
        <v>16</v>
      </c>
      <c r="I435" t="s">
        <v>17</v>
      </c>
      <c r="J435" s="5">
        <v>45984</v>
      </c>
      <c r="K435" s="15">
        <f t="shared" si="21"/>
        <v>1</v>
      </c>
      <c r="L435">
        <f t="shared" si="19"/>
        <v>3</v>
      </c>
      <c r="M435">
        <f t="shared" si="20"/>
        <v>5</v>
      </c>
      <c r="N435">
        <v>1</v>
      </c>
      <c r="O435">
        <f>DATEDIF(Table1[[#This Row],[lead_date]], Table1[[#This Row],[delivery_date]], "d")</f>
        <v>9</v>
      </c>
      <c r="P435" s="5" t="str">
        <f>IF(AND(Table1[[#This Row],[customer_rating]]&gt;=8, Table1[[#This Row],[Tat_day]]&lt;=7, Table1[[#This Row],[lead_type]]="Hot"), "High", "Normal")</f>
        <v>Normal</v>
      </c>
      <c r="Q435" s="5" t="str">
        <f>IF(Table1[[#This Row],[customer_rating]]&gt;=9,"Promoter",IF(Table1[[#This Row],[customer_rating]]&gt;=7,"Passive","Detractor"))</f>
        <v>Detractor</v>
      </c>
      <c r="R435" s="5"/>
    </row>
    <row r="436" spans="1:18">
      <c r="A436" t="s">
        <v>462</v>
      </c>
      <c r="B436" t="s">
        <v>14</v>
      </c>
      <c r="C436" t="s">
        <v>30</v>
      </c>
      <c r="D436" s="5">
        <v>45946</v>
      </c>
      <c r="E436" s="5">
        <v>45950</v>
      </c>
      <c r="F436" s="5">
        <v>45951</v>
      </c>
      <c r="G436" s="5">
        <v>45955</v>
      </c>
      <c r="H436" t="s">
        <v>16</v>
      </c>
      <c r="I436" t="s">
        <v>17</v>
      </c>
      <c r="J436" s="5">
        <v>45985</v>
      </c>
      <c r="K436" s="15">
        <f t="shared" si="21"/>
        <v>4</v>
      </c>
      <c r="L436">
        <f t="shared" si="19"/>
        <v>1</v>
      </c>
      <c r="M436">
        <f t="shared" si="20"/>
        <v>4</v>
      </c>
      <c r="N436">
        <v>3</v>
      </c>
      <c r="O436">
        <f>DATEDIF(Table1[[#This Row],[lead_date]], Table1[[#This Row],[delivery_date]], "d")</f>
        <v>9</v>
      </c>
      <c r="P436" s="5" t="str">
        <f>IF(AND(Table1[[#This Row],[customer_rating]]&gt;=8, Table1[[#This Row],[Tat_day]]&lt;=7, Table1[[#This Row],[lead_type]]="Hot"), "High", "Normal")</f>
        <v>Normal</v>
      </c>
      <c r="Q436" s="5" t="str">
        <f>IF(Table1[[#This Row],[customer_rating]]&gt;=9,"Promoter",IF(Table1[[#This Row],[customer_rating]]&gt;=7,"Passive","Detractor"))</f>
        <v>Detractor</v>
      </c>
      <c r="R436" s="5"/>
    </row>
    <row r="437" spans="1:18">
      <c r="A437" t="s">
        <v>463</v>
      </c>
      <c r="B437" t="s">
        <v>32</v>
      </c>
      <c r="C437" t="s">
        <v>30</v>
      </c>
      <c r="D437" s="5">
        <v>45938</v>
      </c>
      <c r="E437" s="5">
        <v>45941</v>
      </c>
      <c r="F437" s="5">
        <v>45946</v>
      </c>
      <c r="G437" s="5">
        <v>45949</v>
      </c>
      <c r="H437" t="s">
        <v>16</v>
      </c>
      <c r="I437" t="s">
        <v>17</v>
      </c>
      <c r="J437" s="5">
        <v>45961</v>
      </c>
      <c r="K437" s="15">
        <f t="shared" si="21"/>
        <v>3</v>
      </c>
      <c r="L437">
        <f t="shared" si="19"/>
        <v>5</v>
      </c>
      <c r="M437">
        <f t="shared" si="20"/>
        <v>3</v>
      </c>
      <c r="N437">
        <v>7</v>
      </c>
      <c r="O437">
        <f>DATEDIF(Table1[[#This Row],[lead_date]], Table1[[#This Row],[delivery_date]], "d")</f>
        <v>11</v>
      </c>
      <c r="P437" s="5" t="str">
        <f>IF(AND(Table1[[#This Row],[customer_rating]]&gt;=8, Table1[[#This Row],[Tat_day]]&lt;=7, Table1[[#This Row],[lead_type]]="Hot"), "High", "Normal")</f>
        <v>Normal</v>
      </c>
      <c r="Q437" s="5" t="str">
        <f>IF(Table1[[#This Row],[customer_rating]]&gt;=9,"Promoter",IF(Table1[[#This Row],[customer_rating]]&gt;=7,"Passive","Detractor"))</f>
        <v>Passive</v>
      </c>
      <c r="R437" s="5"/>
    </row>
    <row r="438" spans="1:18">
      <c r="A438" t="s">
        <v>464</v>
      </c>
      <c r="B438" t="s">
        <v>32</v>
      </c>
      <c r="C438" t="s">
        <v>15</v>
      </c>
      <c r="D438" s="5">
        <v>45945</v>
      </c>
      <c r="E438" s="5">
        <v>45950</v>
      </c>
      <c r="F438" s="5">
        <v>45955</v>
      </c>
      <c r="G438" s="5">
        <v>45958</v>
      </c>
      <c r="H438" t="s">
        <v>16</v>
      </c>
      <c r="I438" t="s">
        <v>17</v>
      </c>
      <c r="J438" s="5">
        <v>45974</v>
      </c>
      <c r="K438" s="15">
        <f t="shared" si="21"/>
        <v>5</v>
      </c>
      <c r="L438">
        <f t="shared" si="19"/>
        <v>5</v>
      </c>
      <c r="M438">
        <f t="shared" si="20"/>
        <v>3</v>
      </c>
      <c r="N438">
        <v>3</v>
      </c>
      <c r="O438">
        <f>DATEDIF(Table1[[#This Row],[lead_date]], Table1[[#This Row],[delivery_date]], "d")</f>
        <v>13</v>
      </c>
      <c r="P438" s="5" t="str">
        <f>IF(AND(Table1[[#This Row],[customer_rating]]&gt;=8, Table1[[#This Row],[Tat_day]]&lt;=7, Table1[[#This Row],[lead_type]]="Hot"), "High", "Normal")</f>
        <v>Normal</v>
      </c>
      <c r="Q438" s="5" t="str">
        <f>IF(Table1[[#This Row],[customer_rating]]&gt;=9,"Promoter",IF(Table1[[#This Row],[customer_rating]]&gt;=7,"Passive","Detractor"))</f>
        <v>Detractor</v>
      </c>
      <c r="R438" s="5"/>
    </row>
    <row r="439" spans="1:18">
      <c r="A439" t="s">
        <v>465</v>
      </c>
      <c r="B439" t="s">
        <v>19</v>
      </c>
      <c r="C439" t="s">
        <v>30</v>
      </c>
      <c r="D439" s="5">
        <v>45948</v>
      </c>
      <c r="E439" s="5">
        <v>45949</v>
      </c>
      <c r="F439" s="5">
        <v>45951</v>
      </c>
      <c r="G439" s="5">
        <v>45955</v>
      </c>
      <c r="H439" t="s">
        <v>16</v>
      </c>
      <c r="I439" t="s">
        <v>17</v>
      </c>
      <c r="J439" s="5">
        <v>45979</v>
      </c>
      <c r="K439" s="15">
        <f t="shared" si="21"/>
        <v>1</v>
      </c>
      <c r="L439">
        <f t="shared" si="19"/>
        <v>2</v>
      </c>
      <c r="M439">
        <f t="shared" si="20"/>
        <v>4</v>
      </c>
      <c r="N439">
        <v>8</v>
      </c>
      <c r="O439">
        <f>DATEDIF(Table1[[#This Row],[lead_date]], Table1[[#This Row],[delivery_date]], "d")</f>
        <v>7</v>
      </c>
      <c r="P439" s="5" t="str">
        <f>IF(AND(Table1[[#This Row],[customer_rating]]&gt;=8, Table1[[#This Row],[Tat_day]]&lt;=7, Table1[[#This Row],[lead_type]]="Hot"), "High", "Normal")</f>
        <v>High</v>
      </c>
      <c r="Q439" s="5" t="str">
        <f>IF(Table1[[#This Row],[customer_rating]]&gt;=9,"Promoter",IF(Table1[[#This Row],[customer_rating]]&gt;=7,"Passive","Detractor"))</f>
        <v>Passive</v>
      </c>
      <c r="R439" s="5"/>
    </row>
    <row r="440" spans="1:18">
      <c r="A440" t="s">
        <v>466</v>
      </c>
      <c r="B440" t="s">
        <v>32</v>
      </c>
      <c r="C440" t="s">
        <v>30</v>
      </c>
      <c r="D440" s="5">
        <v>45935</v>
      </c>
      <c r="E440" s="5">
        <v>45940</v>
      </c>
      <c r="F440" s="5">
        <v>45944</v>
      </c>
      <c r="G440" s="5">
        <v>45951</v>
      </c>
      <c r="H440" t="s">
        <v>16</v>
      </c>
      <c r="I440" t="s">
        <v>17</v>
      </c>
      <c r="J440" s="5">
        <v>45967</v>
      </c>
      <c r="K440" s="15">
        <f t="shared" si="21"/>
        <v>5</v>
      </c>
      <c r="L440">
        <f t="shared" si="19"/>
        <v>4</v>
      </c>
      <c r="M440">
        <f t="shared" si="20"/>
        <v>7</v>
      </c>
      <c r="N440">
        <v>7</v>
      </c>
      <c r="O440">
        <f>DATEDIF(Table1[[#This Row],[lead_date]], Table1[[#This Row],[delivery_date]], "d")</f>
        <v>16</v>
      </c>
      <c r="P440" s="5" t="str">
        <f>IF(AND(Table1[[#This Row],[customer_rating]]&gt;=8, Table1[[#This Row],[Tat_day]]&lt;=7, Table1[[#This Row],[lead_type]]="Hot"), "High", "Normal")</f>
        <v>Normal</v>
      </c>
      <c r="Q440" s="5" t="str">
        <f>IF(Table1[[#This Row],[customer_rating]]&gt;=9,"Promoter",IF(Table1[[#This Row],[customer_rating]]&gt;=7,"Passive","Detractor"))</f>
        <v>Passive</v>
      </c>
      <c r="R440" s="5"/>
    </row>
    <row r="441" spans="1:18">
      <c r="A441" t="s">
        <v>467</v>
      </c>
      <c r="B441" t="s">
        <v>32</v>
      </c>
      <c r="C441" t="s">
        <v>22</v>
      </c>
      <c r="D441" s="5">
        <v>45943</v>
      </c>
      <c r="H441" t="s">
        <v>23</v>
      </c>
      <c r="I441" t="s">
        <v>101</v>
      </c>
      <c r="K441" s="15" t="str">
        <f t="shared" si="21"/>
        <v/>
      </c>
      <c r="L441" t="str">
        <f t="shared" si="19"/>
        <v/>
      </c>
      <c r="M441" t="str">
        <f t="shared" si="20"/>
        <v/>
      </c>
      <c r="O441"/>
      <c r="P441" s="5" t="str">
        <f>IF(AND(Table1[[#This Row],[customer_rating]]&gt;=8, Table1[[#This Row],[Tat_day]]&lt;=7, Table1[[#This Row],[lead_type]]="Hot"), "High", "Normal")</f>
        <v>Normal</v>
      </c>
      <c r="Q441" s="5" t="str">
        <f>IF(Table1[[#This Row],[customer_rating]]&gt;=9,"Promoter",IF(Table1[[#This Row],[customer_rating]]&gt;=7,"Passive","Detractor"))</f>
        <v>Detractor</v>
      </c>
      <c r="R441" s="5"/>
    </row>
    <row r="442" spans="1:18">
      <c r="A442" t="s">
        <v>468</v>
      </c>
      <c r="B442" t="s">
        <v>14</v>
      </c>
      <c r="C442" t="s">
        <v>30</v>
      </c>
      <c r="D442" s="5">
        <v>45937</v>
      </c>
      <c r="E442" s="5">
        <v>45938</v>
      </c>
      <c r="F442" s="5">
        <v>45943</v>
      </c>
      <c r="G442" s="5">
        <v>45945</v>
      </c>
      <c r="H442" t="s">
        <v>16</v>
      </c>
      <c r="I442" t="s">
        <v>17</v>
      </c>
      <c r="J442" s="5">
        <v>45968</v>
      </c>
      <c r="K442" s="15">
        <f t="shared" si="21"/>
        <v>1</v>
      </c>
      <c r="L442">
        <f t="shared" si="19"/>
        <v>5</v>
      </c>
      <c r="M442">
        <f t="shared" si="20"/>
        <v>2</v>
      </c>
      <c r="N442">
        <v>1</v>
      </c>
      <c r="O442">
        <f>DATEDIF(Table1[[#This Row],[lead_date]], Table1[[#This Row],[delivery_date]], "d")</f>
        <v>8</v>
      </c>
      <c r="P442" s="5" t="str">
        <f>IF(AND(Table1[[#This Row],[customer_rating]]&gt;=8, Table1[[#This Row],[Tat_day]]&lt;=7, Table1[[#This Row],[lead_type]]="Hot"), "High", "Normal")</f>
        <v>Normal</v>
      </c>
      <c r="Q442" s="5" t="str">
        <f>IF(Table1[[#This Row],[customer_rating]]&gt;=9,"Promoter",IF(Table1[[#This Row],[customer_rating]]&gt;=7,"Passive","Detractor"))</f>
        <v>Detractor</v>
      </c>
      <c r="R442" s="5"/>
    </row>
    <row r="443" spans="1:18">
      <c r="A443" t="s">
        <v>469</v>
      </c>
      <c r="B443" t="s">
        <v>32</v>
      </c>
      <c r="C443" t="s">
        <v>15</v>
      </c>
      <c r="D443" s="5">
        <v>45960</v>
      </c>
      <c r="E443" s="5">
        <v>45963</v>
      </c>
      <c r="F443" s="5">
        <v>45967</v>
      </c>
      <c r="G443" s="5">
        <v>45970</v>
      </c>
      <c r="H443" t="s">
        <v>16</v>
      </c>
      <c r="I443" t="s">
        <v>17</v>
      </c>
      <c r="J443" s="5">
        <v>45995</v>
      </c>
      <c r="K443" s="15">
        <f t="shared" si="21"/>
        <v>3</v>
      </c>
      <c r="L443">
        <f t="shared" si="19"/>
        <v>4</v>
      </c>
      <c r="M443">
        <f t="shared" si="20"/>
        <v>3</v>
      </c>
      <c r="N443">
        <v>8</v>
      </c>
      <c r="O443">
        <f>DATEDIF(Table1[[#This Row],[lead_date]], Table1[[#This Row],[delivery_date]], "d")</f>
        <v>10</v>
      </c>
      <c r="P443" s="5" t="str">
        <f>IF(AND(Table1[[#This Row],[customer_rating]]&gt;=8, Table1[[#This Row],[Tat_day]]&lt;=7, Table1[[#This Row],[lead_type]]="Hot"), "High", "Normal")</f>
        <v>Normal</v>
      </c>
      <c r="Q443" s="5" t="str">
        <f>IF(Table1[[#This Row],[customer_rating]]&gt;=9,"Promoter",IF(Table1[[#This Row],[customer_rating]]&gt;=7,"Passive","Detractor"))</f>
        <v>Passive</v>
      </c>
      <c r="R443" s="5"/>
    </row>
    <row r="444" spans="1:18">
      <c r="A444" t="s">
        <v>470</v>
      </c>
      <c r="B444" t="s">
        <v>21</v>
      </c>
      <c r="C444" t="s">
        <v>22</v>
      </c>
      <c r="D444" s="5">
        <v>45950</v>
      </c>
      <c r="H444" t="s">
        <v>23</v>
      </c>
      <c r="I444" t="s">
        <v>33</v>
      </c>
      <c r="K444" s="15" t="str">
        <f t="shared" si="21"/>
        <v/>
      </c>
      <c r="L444" t="str">
        <f t="shared" si="19"/>
        <v/>
      </c>
      <c r="M444" t="str">
        <f t="shared" si="20"/>
        <v/>
      </c>
      <c r="O444"/>
      <c r="P444" s="5" t="str">
        <f>IF(AND(Table1[[#This Row],[customer_rating]]&gt;=8, Table1[[#This Row],[Tat_day]]&lt;=7, Table1[[#This Row],[lead_type]]="Hot"), "High", "Normal")</f>
        <v>Normal</v>
      </c>
      <c r="Q444" s="5" t="str">
        <f>IF(Table1[[#This Row],[customer_rating]]&gt;=9,"Promoter",IF(Table1[[#This Row],[customer_rating]]&gt;=7,"Passive","Detractor"))</f>
        <v>Detractor</v>
      </c>
      <c r="R444" s="5"/>
    </row>
    <row r="445" spans="1:18">
      <c r="A445" t="s">
        <v>471</v>
      </c>
      <c r="B445" t="s">
        <v>14</v>
      </c>
      <c r="C445" t="s">
        <v>15</v>
      </c>
      <c r="D445" s="5">
        <v>45947</v>
      </c>
      <c r="E445" s="5">
        <v>45948</v>
      </c>
      <c r="F445" s="5">
        <v>45949</v>
      </c>
      <c r="G445" s="5">
        <v>45955</v>
      </c>
      <c r="H445" t="s">
        <v>16</v>
      </c>
      <c r="I445" t="s">
        <v>17</v>
      </c>
      <c r="J445" s="5">
        <v>45981</v>
      </c>
      <c r="K445" s="15">
        <f t="shared" si="21"/>
        <v>1</v>
      </c>
      <c r="L445">
        <f t="shared" si="19"/>
        <v>1</v>
      </c>
      <c r="M445">
        <f t="shared" si="20"/>
        <v>6</v>
      </c>
      <c r="N445">
        <v>6</v>
      </c>
      <c r="O445">
        <f>DATEDIF(Table1[[#This Row],[lead_date]], Table1[[#This Row],[delivery_date]], "d")</f>
        <v>8</v>
      </c>
      <c r="P445" s="5" t="str">
        <f>IF(AND(Table1[[#This Row],[customer_rating]]&gt;=8, Table1[[#This Row],[Tat_day]]&lt;=7, Table1[[#This Row],[lead_type]]="Hot"), "High", "Normal")</f>
        <v>Normal</v>
      </c>
      <c r="Q445" s="5" t="str">
        <f>IF(Table1[[#This Row],[customer_rating]]&gt;=9,"Promoter",IF(Table1[[#This Row],[customer_rating]]&gt;=7,"Passive","Detractor"))</f>
        <v>Detractor</v>
      </c>
      <c r="R445" s="5"/>
    </row>
    <row r="446" spans="1:18">
      <c r="A446" t="s">
        <v>472</v>
      </c>
      <c r="B446" t="s">
        <v>14</v>
      </c>
      <c r="C446" t="s">
        <v>30</v>
      </c>
      <c r="D446" s="5">
        <v>45954</v>
      </c>
      <c r="E446" s="5">
        <v>45956</v>
      </c>
      <c r="F446" s="5">
        <v>45959</v>
      </c>
      <c r="G446" s="5">
        <v>45965</v>
      </c>
      <c r="H446" t="s">
        <v>23</v>
      </c>
      <c r="I446" t="s">
        <v>24</v>
      </c>
      <c r="K446" s="15">
        <f t="shared" si="21"/>
        <v>2</v>
      </c>
      <c r="L446">
        <f t="shared" si="19"/>
        <v>3</v>
      </c>
      <c r="M446">
        <f t="shared" si="20"/>
        <v>6</v>
      </c>
      <c r="O446">
        <f>DATEDIF(Table1[[#This Row],[lead_date]], Table1[[#This Row],[delivery_date]], "d")</f>
        <v>11</v>
      </c>
      <c r="P446" s="5" t="str">
        <f>IF(AND(Table1[[#This Row],[customer_rating]]&gt;=8, Table1[[#This Row],[Tat_day]]&lt;=7, Table1[[#This Row],[lead_type]]="Hot"), "High", "Normal")</f>
        <v>Normal</v>
      </c>
      <c r="Q446" s="5" t="str">
        <f>IF(Table1[[#This Row],[customer_rating]]&gt;=9,"Promoter",IF(Table1[[#This Row],[customer_rating]]&gt;=7,"Passive","Detractor"))</f>
        <v>Detractor</v>
      </c>
      <c r="R446" s="5"/>
    </row>
    <row r="447" spans="1:18">
      <c r="A447" t="s">
        <v>473</v>
      </c>
      <c r="B447" t="s">
        <v>19</v>
      </c>
      <c r="C447" t="s">
        <v>30</v>
      </c>
      <c r="D447" s="5">
        <v>45959</v>
      </c>
      <c r="E447" s="5">
        <v>45962</v>
      </c>
      <c r="F447" s="5">
        <v>45966</v>
      </c>
      <c r="G447" s="5">
        <v>45972</v>
      </c>
      <c r="H447" t="s">
        <v>16</v>
      </c>
      <c r="I447" t="s">
        <v>17</v>
      </c>
      <c r="J447" s="5">
        <v>45993</v>
      </c>
      <c r="K447" s="15">
        <f t="shared" si="21"/>
        <v>3</v>
      </c>
      <c r="L447">
        <f t="shared" si="19"/>
        <v>4</v>
      </c>
      <c r="M447">
        <f t="shared" si="20"/>
        <v>6</v>
      </c>
      <c r="N447">
        <v>3</v>
      </c>
      <c r="O447">
        <f>DATEDIF(Table1[[#This Row],[lead_date]], Table1[[#This Row],[delivery_date]], "d")</f>
        <v>13</v>
      </c>
      <c r="P447" s="5" t="str">
        <f>IF(AND(Table1[[#This Row],[customer_rating]]&gt;=8, Table1[[#This Row],[Tat_day]]&lt;=7, Table1[[#This Row],[lead_type]]="Hot"), "High", "Normal")</f>
        <v>Normal</v>
      </c>
      <c r="Q447" s="5" t="str">
        <f>IF(Table1[[#This Row],[customer_rating]]&gt;=9,"Promoter",IF(Table1[[#This Row],[customer_rating]]&gt;=7,"Passive","Detractor"))</f>
        <v>Detractor</v>
      </c>
      <c r="R447" s="5"/>
    </row>
    <row r="448" spans="1:18">
      <c r="A448" t="s">
        <v>474</v>
      </c>
      <c r="B448" t="s">
        <v>32</v>
      </c>
      <c r="C448" t="s">
        <v>22</v>
      </c>
      <c r="D448" s="5">
        <v>45935</v>
      </c>
      <c r="H448" t="s">
        <v>23</v>
      </c>
      <c r="I448" t="s">
        <v>101</v>
      </c>
      <c r="K448" s="15" t="str">
        <f t="shared" si="21"/>
        <v/>
      </c>
      <c r="L448" t="str">
        <f t="shared" si="19"/>
        <v/>
      </c>
      <c r="M448" t="str">
        <f t="shared" si="20"/>
        <v/>
      </c>
      <c r="O448"/>
      <c r="P448" s="5" t="str">
        <f>IF(AND(Table1[[#This Row],[customer_rating]]&gt;=8, Table1[[#This Row],[Tat_day]]&lt;=7, Table1[[#This Row],[lead_type]]="Hot"), "High", "Normal")</f>
        <v>Normal</v>
      </c>
      <c r="Q448" s="5" t="str">
        <f>IF(Table1[[#This Row],[customer_rating]]&gt;=9,"Promoter",IF(Table1[[#This Row],[customer_rating]]&gt;=7,"Passive","Detractor"))</f>
        <v>Detractor</v>
      </c>
      <c r="R448" s="5"/>
    </row>
    <row r="449" spans="1:18">
      <c r="A449" t="s">
        <v>475</v>
      </c>
      <c r="B449" t="s">
        <v>19</v>
      </c>
      <c r="C449" t="s">
        <v>22</v>
      </c>
      <c r="D449" s="5">
        <v>45958</v>
      </c>
      <c r="H449" t="s">
        <v>23</v>
      </c>
      <c r="I449" t="s">
        <v>1028</v>
      </c>
      <c r="K449" s="15" t="str">
        <f t="shared" si="21"/>
        <v/>
      </c>
      <c r="L449" t="str">
        <f t="shared" si="19"/>
        <v/>
      </c>
      <c r="M449" t="str">
        <f t="shared" si="20"/>
        <v/>
      </c>
      <c r="O449"/>
      <c r="P449" s="5" t="str">
        <f>IF(AND(Table1[[#This Row],[customer_rating]]&gt;=8, Table1[[#This Row],[Tat_day]]&lt;=7, Table1[[#This Row],[lead_type]]="Hot"), "High", "Normal")</f>
        <v>Normal</v>
      </c>
      <c r="Q449" s="5" t="str">
        <f>IF(Table1[[#This Row],[customer_rating]]&gt;=9,"Promoter",IF(Table1[[#This Row],[customer_rating]]&gt;=7,"Passive","Detractor"))</f>
        <v>Detractor</v>
      </c>
      <c r="R449" s="5"/>
    </row>
    <row r="450" spans="1:18">
      <c r="A450" t="s">
        <v>476</v>
      </c>
      <c r="B450" t="s">
        <v>21</v>
      </c>
      <c r="C450" t="s">
        <v>15</v>
      </c>
      <c r="D450" s="5">
        <v>45933</v>
      </c>
      <c r="E450" s="5">
        <v>45937</v>
      </c>
      <c r="F450" s="5">
        <v>45942</v>
      </c>
      <c r="G450" s="5">
        <v>45949</v>
      </c>
      <c r="H450" t="s">
        <v>16</v>
      </c>
      <c r="I450" t="s">
        <v>17</v>
      </c>
      <c r="J450" s="5">
        <v>45960</v>
      </c>
      <c r="K450" s="15">
        <f t="shared" si="21"/>
        <v>4</v>
      </c>
      <c r="L450">
        <f t="shared" si="19"/>
        <v>5</v>
      </c>
      <c r="M450">
        <f t="shared" si="20"/>
        <v>7</v>
      </c>
      <c r="N450">
        <v>3</v>
      </c>
      <c r="O450">
        <f>DATEDIF(Table1[[#This Row],[lead_date]], Table1[[#This Row],[delivery_date]], "d")</f>
        <v>16</v>
      </c>
      <c r="P450" s="5" t="str">
        <f>IF(AND(Table1[[#This Row],[customer_rating]]&gt;=8, Table1[[#This Row],[Tat_day]]&lt;=7, Table1[[#This Row],[lead_type]]="Hot"), "High", "Normal")</f>
        <v>Normal</v>
      </c>
      <c r="Q450" s="5" t="str">
        <f>IF(Table1[[#This Row],[customer_rating]]&gt;=9,"Promoter",IF(Table1[[#This Row],[customer_rating]]&gt;=7,"Passive","Detractor"))</f>
        <v>Detractor</v>
      </c>
      <c r="R450" s="5"/>
    </row>
    <row r="451" spans="1:18">
      <c r="A451" t="s">
        <v>477</v>
      </c>
      <c r="B451" t="s">
        <v>14</v>
      </c>
      <c r="C451" t="s">
        <v>30</v>
      </c>
      <c r="D451" s="5">
        <v>45939</v>
      </c>
      <c r="E451" s="5">
        <v>45944</v>
      </c>
      <c r="F451" s="5">
        <v>45947</v>
      </c>
      <c r="G451" s="5">
        <v>45953</v>
      </c>
      <c r="H451" t="s">
        <v>16</v>
      </c>
      <c r="I451" t="s">
        <v>17</v>
      </c>
      <c r="J451" s="5">
        <v>45979</v>
      </c>
      <c r="K451" s="15">
        <f t="shared" si="21"/>
        <v>5</v>
      </c>
      <c r="L451">
        <f t="shared" ref="L451:L514" si="22">IF(OR(E451="", F451=""), "", INT(F451 - E451))</f>
        <v>3</v>
      </c>
      <c r="M451">
        <f t="shared" ref="M451:M514" si="23">IF(OR(F451="", G451=""), "", INT(G451 - F451))</f>
        <v>6</v>
      </c>
      <c r="N451">
        <v>3</v>
      </c>
      <c r="O451">
        <f>DATEDIF(Table1[[#This Row],[lead_date]], Table1[[#This Row],[delivery_date]], "d")</f>
        <v>14</v>
      </c>
      <c r="P451" s="5" t="str">
        <f>IF(AND(Table1[[#This Row],[customer_rating]]&gt;=8, Table1[[#This Row],[Tat_day]]&lt;=7, Table1[[#This Row],[lead_type]]="Hot"), "High", "Normal")</f>
        <v>Normal</v>
      </c>
      <c r="Q451" s="5" t="str">
        <f>IF(Table1[[#This Row],[customer_rating]]&gt;=9,"Promoter",IF(Table1[[#This Row],[customer_rating]]&gt;=7,"Passive","Detractor"))</f>
        <v>Detractor</v>
      </c>
      <c r="R451" s="5"/>
    </row>
    <row r="452" spans="1:18">
      <c r="A452" t="s">
        <v>478</v>
      </c>
      <c r="B452" t="s">
        <v>14</v>
      </c>
      <c r="C452" t="s">
        <v>15</v>
      </c>
      <c r="D452" s="5">
        <v>45955</v>
      </c>
      <c r="E452" s="5">
        <v>45957</v>
      </c>
      <c r="F452" s="5">
        <v>45961</v>
      </c>
      <c r="G452" s="5">
        <v>45965</v>
      </c>
      <c r="H452" t="s">
        <v>16</v>
      </c>
      <c r="I452" t="s">
        <v>17</v>
      </c>
      <c r="J452" s="5">
        <v>45980</v>
      </c>
      <c r="K452" s="15">
        <f t="shared" si="21"/>
        <v>2</v>
      </c>
      <c r="L452">
        <f t="shared" si="22"/>
        <v>4</v>
      </c>
      <c r="M452">
        <f t="shared" si="23"/>
        <v>4</v>
      </c>
      <c r="N452">
        <v>0</v>
      </c>
      <c r="O452">
        <f>DATEDIF(Table1[[#This Row],[lead_date]], Table1[[#This Row],[delivery_date]], "d")</f>
        <v>10</v>
      </c>
      <c r="P452" s="5" t="str">
        <f>IF(AND(Table1[[#This Row],[customer_rating]]&gt;=8, Table1[[#This Row],[Tat_day]]&lt;=7, Table1[[#This Row],[lead_type]]="Hot"), "High", "Normal")</f>
        <v>Normal</v>
      </c>
      <c r="Q452" s="5" t="str">
        <f>IF(Table1[[#This Row],[customer_rating]]&gt;=9,"Promoter",IF(Table1[[#This Row],[customer_rating]]&gt;=7,"Passive","Detractor"))</f>
        <v>Detractor</v>
      </c>
      <c r="R452" s="5"/>
    </row>
    <row r="453" spans="1:18">
      <c r="A453" t="s">
        <v>479</v>
      </c>
      <c r="B453" t="s">
        <v>14</v>
      </c>
      <c r="C453" t="s">
        <v>22</v>
      </c>
      <c r="D453" s="5">
        <v>45956</v>
      </c>
      <c r="H453" t="s">
        <v>23</v>
      </c>
      <c r="I453" t="s">
        <v>24</v>
      </c>
      <c r="K453" s="15" t="str">
        <f t="shared" si="21"/>
        <v/>
      </c>
      <c r="L453" t="str">
        <f t="shared" si="22"/>
        <v/>
      </c>
      <c r="M453" t="str">
        <f t="shared" si="23"/>
        <v/>
      </c>
      <c r="O453"/>
      <c r="P453" s="5" t="str">
        <f>IF(AND(Table1[[#This Row],[customer_rating]]&gt;=8, Table1[[#This Row],[Tat_day]]&lt;=7, Table1[[#This Row],[lead_type]]="Hot"), "High", "Normal")</f>
        <v>Normal</v>
      </c>
      <c r="Q453" s="5" t="str">
        <f>IF(Table1[[#This Row],[customer_rating]]&gt;=9,"Promoter",IF(Table1[[#This Row],[customer_rating]]&gt;=7,"Passive","Detractor"))</f>
        <v>Detractor</v>
      </c>
      <c r="R453" s="5"/>
    </row>
    <row r="454" spans="1:18">
      <c r="A454" t="s">
        <v>480</v>
      </c>
      <c r="B454" t="s">
        <v>21</v>
      </c>
      <c r="C454" t="s">
        <v>15</v>
      </c>
      <c r="D454" s="5">
        <v>45958</v>
      </c>
      <c r="E454" s="5">
        <v>45962</v>
      </c>
      <c r="F454" s="5">
        <v>45966</v>
      </c>
      <c r="G454" s="5">
        <v>45973</v>
      </c>
      <c r="H454" t="s">
        <v>16</v>
      </c>
      <c r="I454" t="s">
        <v>17</v>
      </c>
      <c r="J454" s="5">
        <v>45985</v>
      </c>
      <c r="K454" s="15">
        <f t="shared" si="21"/>
        <v>4</v>
      </c>
      <c r="L454">
        <f t="shared" si="22"/>
        <v>4</v>
      </c>
      <c r="M454">
        <f t="shared" si="23"/>
        <v>7</v>
      </c>
      <c r="N454">
        <v>4</v>
      </c>
      <c r="O454">
        <f>DATEDIF(Table1[[#This Row],[lead_date]], Table1[[#This Row],[delivery_date]], "d")</f>
        <v>15</v>
      </c>
      <c r="P454" s="5" t="str">
        <f>IF(AND(Table1[[#This Row],[customer_rating]]&gt;=8, Table1[[#This Row],[Tat_day]]&lt;=7, Table1[[#This Row],[lead_type]]="Hot"), "High", "Normal")</f>
        <v>Normal</v>
      </c>
      <c r="Q454" s="5" t="str">
        <f>IF(Table1[[#This Row],[customer_rating]]&gt;=9,"Promoter",IF(Table1[[#This Row],[customer_rating]]&gt;=7,"Passive","Detractor"))</f>
        <v>Detractor</v>
      </c>
      <c r="R454" s="5"/>
    </row>
    <row r="455" spans="1:18">
      <c r="A455" t="s">
        <v>481</v>
      </c>
      <c r="B455" t="s">
        <v>21</v>
      </c>
      <c r="C455" t="s">
        <v>22</v>
      </c>
      <c r="D455" s="5">
        <v>45944</v>
      </c>
      <c r="H455" t="s">
        <v>23</v>
      </c>
      <c r="I455" t="s">
        <v>24</v>
      </c>
      <c r="K455" s="15" t="str">
        <f t="shared" si="21"/>
        <v/>
      </c>
      <c r="L455" t="str">
        <f t="shared" si="22"/>
        <v/>
      </c>
      <c r="M455" t="str">
        <f t="shared" si="23"/>
        <v/>
      </c>
      <c r="O455"/>
      <c r="P455" s="5" t="str">
        <f>IF(AND(Table1[[#This Row],[customer_rating]]&gt;=8, Table1[[#This Row],[Tat_day]]&lt;=7, Table1[[#This Row],[lead_type]]="Hot"), "High", "Normal")</f>
        <v>Normal</v>
      </c>
      <c r="Q455" s="5" t="str">
        <f>IF(Table1[[#This Row],[customer_rating]]&gt;=9,"Promoter",IF(Table1[[#This Row],[customer_rating]]&gt;=7,"Passive","Detractor"))</f>
        <v>Detractor</v>
      </c>
      <c r="R455" s="5"/>
    </row>
    <row r="456" spans="1:18">
      <c r="A456" t="s">
        <v>482</v>
      </c>
      <c r="B456" t="s">
        <v>19</v>
      </c>
      <c r="C456" t="s">
        <v>22</v>
      </c>
      <c r="D456" s="5">
        <v>45941</v>
      </c>
      <c r="H456" t="s">
        <v>23</v>
      </c>
      <c r="I456" t="s">
        <v>33</v>
      </c>
      <c r="K456" s="15" t="str">
        <f t="shared" si="21"/>
        <v/>
      </c>
      <c r="L456" t="str">
        <f t="shared" si="22"/>
        <v/>
      </c>
      <c r="M456" t="str">
        <f t="shared" si="23"/>
        <v/>
      </c>
      <c r="O456"/>
      <c r="P456" s="5" t="str">
        <f>IF(AND(Table1[[#This Row],[customer_rating]]&gt;=8, Table1[[#This Row],[Tat_day]]&lt;=7, Table1[[#This Row],[lead_type]]="Hot"), "High", "Normal")</f>
        <v>Normal</v>
      </c>
      <c r="Q456" s="5" t="str">
        <f>IF(Table1[[#This Row],[customer_rating]]&gt;=9,"Promoter",IF(Table1[[#This Row],[customer_rating]]&gt;=7,"Passive","Detractor"))</f>
        <v>Detractor</v>
      </c>
      <c r="R456" s="5"/>
    </row>
    <row r="457" spans="1:18">
      <c r="A457" t="s">
        <v>483</v>
      </c>
      <c r="B457" t="s">
        <v>19</v>
      </c>
      <c r="C457" t="s">
        <v>15</v>
      </c>
      <c r="D457" s="5">
        <v>45960</v>
      </c>
      <c r="E457" s="5">
        <v>45961</v>
      </c>
      <c r="F457" s="5">
        <v>45963</v>
      </c>
      <c r="G457" s="5">
        <v>45965</v>
      </c>
      <c r="H457" t="s">
        <v>16</v>
      </c>
      <c r="I457" t="s">
        <v>17</v>
      </c>
      <c r="J457" s="5">
        <v>45984</v>
      </c>
      <c r="K457" s="15">
        <f t="shared" ref="K457:K520" si="24">IF(OR(D457="",E457=""),"",INT(E457-D457))</f>
        <v>1</v>
      </c>
      <c r="L457">
        <f t="shared" si="22"/>
        <v>2</v>
      </c>
      <c r="M457">
        <f t="shared" si="23"/>
        <v>2</v>
      </c>
      <c r="N457">
        <v>9</v>
      </c>
      <c r="O457">
        <f>DATEDIF(Table1[[#This Row],[lead_date]], Table1[[#This Row],[delivery_date]], "d")</f>
        <v>5</v>
      </c>
      <c r="P457" s="5" t="str">
        <f>IF(AND(Table1[[#This Row],[customer_rating]]&gt;=8, Table1[[#This Row],[Tat_day]]&lt;=7, Table1[[#This Row],[lead_type]]="Hot"), "High", "Normal")</f>
        <v>Normal</v>
      </c>
      <c r="Q457" s="5" t="str">
        <f>IF(Table1[[#This Row],[customer_rating]]&gt;=9,"Promoter",IF(Table1[[#This Row],[customer_rating]]&gt;=7,"Passive","Detractor"))</f>
        <v>Promoter</v>
      </c>
      <c r="R457" s="5"/>
    </row>
    <row r="458" spans="1:18">
      <c r="A458" t="s">
        <v>484</v>
      </c>
      <c r="B458" t="s">
        <v>19</v>
      </c>
      <c r="C458" t="s">
        <v>15</v>
      </c>
      <c r="D458" s="5">
        <v>45956</v>
      </c>
      <c r="E458" s="5">
        <v>45958</v>
      </c>
      <c r="F458" s="5">
        <v>45961</v>
      </c>
      <c r="G458" s="5">
        <v>45968</v>
      </c>
      <c r="H458" t="s">
        <v>23</v>
      </c>
      <c r="I458" t="s">
        <v>63</v>
      </c>
      <c r="K458" s="15">
        <f t="shared" si="24"/>
        <v>2</v>
      </c>
      <c r="L458">
        <f t="shared" si="22"/>
        <v>3</v>
      </c>
      <c r="M458">
        <f t="shared" si="23"/>
        <v>7</v>
      </c>
      <c r="O458">
        <f>DATEDIF(Table1[[#This Row],[lead_date]], Table1[[#This Row],[delivery_date]], "d")</f>
        <v>12</v>
      </c>
      <c r="P458" s="5" t="str">
        <f>IF(AND(Table1[[#This Row],[customer_rating]]&gt;=8, Table1[[#This Row],[Tat_day]]&lt;=7, Table1[[#This Row],[lead_type]]="Hot"), "High", "Normal")</f>
        <v>Normal</v>
      </c>
      <c r="Q458" s="5" t="str">
        <f>IF(Table1[[#This Row],[customer_rating]]&gt;=9,"Promoter",IF(Table1[[#This Row],[customer_rating]]&gt;=7,"Passive","Detractor"))</f>
        <v>Detractor</v>
      </c>
      <c r="R458" s="5"/>
    </row>
    <row r="459" spans="1:18">
      <c r="A459" t="s">
        <v>485</v>
      </c>
      <c r="B459" t="s">
        <v>32</v>
      </c>
      <c r="C459" t="s">
        <v>15</v>
      </c>
      <c r="D459" s="5">
        <v>45947</v>
      </c>
      <c r="E459" s="5">
        <v>45951</v>
      </c>
      <c r="F459" s="5">
        <v>45955</v>
      </c>
      <c r="G459" s="5">
        <v>45959</v>
      </c>
      <c r="H459" t="s">
        <v>16</v>
      </c>
      <c r="I459" t="s">
        <v>17</v>
      </c>
      <c r="J459" s="5">
        <v>45985</v>
      </c>
      <c r="K459" s="15">
        <f t="shared" si="24"/>
        <v>4</v>
      </c>
      <c r="L459">
        <f t="shared" si="22"/>
        <v>4</v>
      </c>
      <c r="M459">
        <f t="shared" si="23"/>
        <v>4</v>
      </c>
      <c r="N459">
        <v>5</v>
      </c>
      <c r="O459">
        <f>DATEDIF(Table1[[#This Row],[lead_date]], Table1[[#This Row],[delivery_date]], "d")</f>
        <v>12</v>
      </c>
      <c r="P459" s="5" t="str">
        <f>IF(AND(Table1[[#This Row],[customer_rating]]&gt;=8, Table1[[#This Row],[Tat_day]]&lt;=7, Table1[[#This Row],[lead_type]]="Hot"), "High", "Normal")</f>
        <v>Normal</v>
      </c>
      <c r="Q459" s="5" t="str">
        <f>IF(Table1[[#This Row],[customer_rating]]&gt;=9,"Promoter",IF(Table1[[#This Row],[customer_rating]]&gt;=7,"Passive","Detractor"))</f>
        <v>Detractor</v>
      </c>
      <c r="R459" s="5"/>
    </row>
    <row r="460" spans="1:18">
      <c r="A460" t="s">
        <v>486</v>
      </c>
      <c r="B460" t="s">
        <v>14</v>
      </c>
      <c r="C460" t="s">
        <v>30</v>
      </c>
      <c r="D460" s="5">
        <v>45939</v>
      </c>
      <c r="E460" s="5">
        <v>45942</v>
      </c>
      <c r="F460" s="5">
        <v>45944</v>
      </c>
      <c r="G460" s="5">
        <v>45947</v>
      </c>
      <c r="H460" t="s">
        <v>16</v>
      </c>
      <c r="I460" t="s">
        <v>17</v>
      </c>
      <c r="J460" s="5">
        <v>45969</v>
      </c>
      <c r="K460" s="15">
        <f t="shared" si="24"/>
        <v>3</v>
      </c>
      <c r="L460">
        <f t="shared" si="22"/>
        <v>2</v>
      </c>
      <c r="M460">
        <f t="shared" si="23"/>
        <v>3</v>
      </c>
      <c r="N460">
        <v>5</v>
      </c>
      <c r="O460">
        <f>DATEDIF(Table1[[#This Row],[lead_date]], Table1[[#This Row],[delivery_date]], "d")</f>
        <v>8</v>
      </c>
      <c r="P460" s="5" t="str">
        <f>IF(AND(Table1[[#This Row],[customer_rating]]&gt;=8, Table1[[#This Row],[Tat_day]]&lt;=7, Table1[[#This Row],[lead_type]]="Hot"), "High", "Normal")</f>
        <v>Normal</v>
      </c>
      <c r="Q460" s="5" t="str">
        <f>IF(Table1[[#This Row],[customer_rating]]&gt;=9,"Promoter",IF(Table1[[#This Row],[customer_rating]]&gt;=7,"Passive","Detractor"))</f>
        <v>Detractor</v>
      </c>
      <c r="R460" s="5"/>
    </row>
    <row r="461" spans="1:18">
      <c r="A461" t="s">
        <v>487</v>
      </c>
      <c r="B461" t="s">
        <v>14</v>
      </c>
      <c r="C461" t="s">
        <v>15</v>
      </c>
      <c r="D461" s="5">
        <v>45957</v>
      </c>
      <c r="E461" s="5">
        <v>45958</v>
      </c>
      <c r="F461" s="5">
        <v>45963</v>
      </c>
      <c r="G461" s="5">
        <v>45969</v>
      </c>
      <c r="H461" t="s">
        <v>16</v>
      </c>
      <c r="I461" t="s">
        <v>17</v>
      </c>
      <c r="J461" s="5">
        <v>45983</v>
      </c>
      <c r="K461" s="15">
        <f t="shared" si="24"/>
        <v>1</v>
      </c>
      <c r="L461">
        <f t="shared" si="22"/>
        <v>5</v>
      </c>
      <c r="M461">
        <f t="shared" si="23"/>
        <v>6</v>
      </c>
      <c r="N461">
        <v>1</v>
      </c>
      <c r="O461">
        <f>DATEDIF(Table1[[#This Row],[lead_date]], Table1[[#This Row],[delivery_date]], "d")</f>
        <v>12</v>
      </c>
      <c r="P461" s="5" t="str">
        <f>IF(AND(Table1[[#This Row],[customer_rating]]&gt;=8, Table1[[#This Row],[Tat_day]]&lt;=7, Table1[[#This Row],[lead_type]]="Hot"), "High", "Normal")</f>
        <v>Normal</v>
      </c>
      <c r="Q461" s="5" t="str">
        <f>IF(Table1[[#This Row],[customer_rating]]&gt;=9,"Promoter",IF(Table1[[#This Row],[customer_rating]]&gt;=7,"Passive","Detractor"))</f>
        <v>Detractor</v>
      </c>
      <c r="R461" s="5"/>
    </row>
    <row r="462" spans="1:18">
      <c r="A462" t="s">
        <v>488</v>
      </c>
      <c r="B462" t="s">
        <v>19</v>
      </c>
      <c r="C462" t="s">
        <v>15</v>
      </c>
      <c r="D462" s="5">
        <v>45931</v>
      </c>
      <c r="E462" s="5">
        <v>45935</v>
      </c>
      <c r="F462" s="5">
        <v>45939</v>
      </c>
      <c r="G462" s="5">
        <v>45945</v>
      </c>
      <c r="H462" t="s">
        <v>23</v>
      </c>
      <c r="I462" t="s">
        <v>63</v>
      </c>
      <c r="K462" s="15">
        <f t="shared" si="24"/>
        <v>4</v>
      </c>
      <c r="L462">
        <f t="shared" si="22"/>
        <v>4</v>
      </c>
      <c r="M462">
        <f t="shared" si="23"/>
        <v>6</v>
      </c>
      <c r="O462">
        <f>DATEDIF(Table1[[#This Row],[lead_date]], Table1[[#This Row],[delivery_date]], "d")</f>
        <v>14</v>
      </c>
      <c r="P462" s="5" t="str">
        <f>IF(AND(Table1[[#This Row],[customer_rating]]&gt;=8, Table1[[#This Row],[Tat_day]]&lt;=7, Table1[[#This Row],[lead_type]]="Hot"), "High", "Normal")</f>
        <v>Normal</v>
      </c>
      <c r="Q462" s="5" t="str">
        <f>IF(Table1[[#This Row],[customer_rating]]&gt;=9,"Promoter",IF(Table1[[#This Row],[customer_rating]]&gt;=7,"Passive","Detractor"))</f>
        <v>Detractor</v>
      </c>
      <c r="R462" s="5"/>
    </row>
    <row r="463" spans="1:18">
      <c r="A463" t="s">
        <v>489</v>
      </c>
      <c r="B463" t="s">
        <v>14</v>
      </c>
      <c r="C463" t="s">
        <v>22</v>
      </c>
      <c r="D463" s="5">
        <v>45940</v>
      </c>
      <c r="H463" t="s">
        <v>23</v>
      </c>
      <c r="I463" t="s">
        <v>33</v>
      </c>
      <c r="K463" s="15" t="str">
        <f t="shared" si="24"/>
        <v/>
      </c>
      <c r="L463" t="str">
        <f t="shared" si="22"/>
        <v/>
      </c>
      <c r="M463" t="str">
        <f t="shared" si="23"/>
        <v/>
      </c>
      <c r="O463"/>
      <c r="P463" s="5" t="str">
        <f>IF(AND(Table1[[#This Row],[customer_rating]]&gt;=8, Table1[[#This Row],[Tat_day]]&lt;=7, Table1[[#This Row],[lead_type]]="Hot"), "High", "Normal")</f>
        <v>Normal</v>
      </c>
      <c r="Q463" s="5" t="str">
        <f>IF(Table1[[#This Row],[customer_rating]]&gt;=9,"Promoter",IF(Table1[[#This Row],[customer_rating]]&gt;=7,"Passive","Detractor"))</f>
        <v>Detractor</v>
      </c>
      <c r="R463" s="5"/>
    </row>
    <row r="464" spans="1:18">
      <c r="A464" t="s">
        <v>490</v>
      </c>
      <c r="B464" t="s">
        <v>19</v>
      </c>
      <c r="C464" t="s">
        <v>22</v>
      </c>
      <c r="D464" s="5">
        <v>45954</v>
      </c>
      <c r="H464" t="s">
        <v>23</v>
      </c>
      <c r="I464" t="s">
        <v>33</v>
      </c>
      <c r="K464" s="15" t="str">
        <f t="shared" si="24"/>
        <v/>
      </c>
      <c r="L464" t="str">
        <f t="shared" si="22"/>
        <v/>
      </c>
      <c r="M464" t="str">
        <f t="shared" si="23"/>
        <v/>
      </c>
      <c r="O464"/>
      <c r="P464" s="5" t="str">
        <f>IF(AND(Table1[[#This Row],[customer_rating]]&gt;=8, Table1[[#This Row],[Tat_day]]&lt;=7, Table1[[#This Row],[lead_type]]="Hot"), "High", "Normal")</f>
        <v>Normal</v>
      </c>
      <c r="Q464" s="5" t="str">
        <f>IF(Table1[[#This Row],[customer_rating]]&gt;=9,"Promoter",IF(Table1[[#This Row],[customer_rating]]&gt;=7,"Passive","Detractor"))</f>
        <v>Detractor</v>
      </c>
      <c r="R464" s="5"/>
    </row>
    <row r="465" spans="1:18">
      <c r="A465" t="s">
        <v>491</v>
      </c>
      <c r="B465" t="s">
        <v>32</v>
      </c>
      <c r="C465" t="s">
        <v>15</v>
      </c>
      <c r="D465" s="5">
        <v>45940</v>
      </c>
      <c r="E465" s="5">
        <v>45941</v>
      </c>
      <c r="F465" s="5">
        <v>45943</v>
      </c>
      <c r="G465" s="5">
        <v>45949</v>
      </c>
      <c r="H465" t="s">
        <v>16</v>
      </c>
      <c r="I465" t="s">
        <v>17</v>
      </c>
      <c r="J465" s="5">
        <v>45975</v>
      </c>
      <c r="K465" s="15">
        <f t="shared" si="24"/>
        <v>1</v>
      </c>
      <c r="L465">
        <f t="shared" si="22"/>
        <v>2</v>
      </c>
      <c r="M465">
        <f t="shared" si="23"/>
        <v>6</v>
      </c>
      <c r="N465">
        <v>1</v>
      </c>
      <c r="O465">
        <f>DATEDIF(Table1[[#This Row],[lead_date]], Table1[[#This Row],[delivery_date]], "d")</f>
        <v>9</v>
      </c>
      <c r="P465" s="5" t="str">
        <f>IF(AND(Table1[[#This Row],[customer_rating]]&gt;=8, Table1[[#This Row],[Tat_day]]&lt;=7, Table1[[#This Row],[lead_type]]="Hot"), "High", "Normal")</f>
        <v>Normal</v>
      </c>
      <c r="Q465" s="5" t="str">
        <f>IF(Table1[[#This Row],[customer_rating]]&gt;=9,"Promoter",IF(Table1[[#This Row],[customer_rating]]&gt;=7,"Passive","Detractor"))</f>
        <v>Detractor</v>
      </c>
      <c r="R465" s="5"/>
    </row>
    <row r="466" spans="1:18">
      <c r="A466" t="s">
        <v>492</v>
      </c>
      <c r="B466" t="s">
        <v>32</v>
      </c>
      <c r="C466" t="s">
        <v>30</v>
      </c>
      <c r="D466" s="5">
        <v>45957</v>
      </c>
      <c r="E466" s="5">
        <v>45961</v>
      </c>
      <c r="F466" s="5">
        <v>45963</v>
      </c>
      <c r="G466" s="5">
        <v>45966</v>
      </c>
      <c r="H466" t="s">
        <v>16</v>
      </c>
      <c r="I466" t="s">
        <v>17</v>
      </c>
      <c r="J466" s="5">
        <v>45994</v>
      </c>
      <c r="K466" s="15">
        <f t="shared" si="24"/>
        <v>4</v>
      </c>
      <c r="L466">
        <f t="shared" si="22"/>
        <v>2</v>
      </c>
      <c r="M466">
        <f t="shared" si="23"/>
        <v>3</v>
      </c>
      <c r="N466">
        <v>4</v>
      </c>
      <c r="O466">
        <f>DATEDIF(Table1[[#This Row],[lead_date]], Table1[[#This Row],[delivery_date]], "d")</f>
        <v>9</v>
      </c>
      <c r="P466" s="5" t="str">
        <f>IF(AND(Table1[[#This Row],[customer_rating]]&gt;=8, Table1[[#This Row],[Tat_day]]&lt;=7, Table1[[#This Row],[lead_type]]="Hot"), "High", "Normal")</f>
        <v>Normal</v>
      </c>
      <c r="Q466" s="5" t="str">
        <f>IF(Table1[[#This Row],[customer_rating]]&gt;=9,"Promoter",IF(Table1[[#This Row],[customer_rating]]&gt;=7,"Passive","Detractor"))</f>
        <v>Detractor</v>
      </c>
      <c r="R466" s="5"/>
    </row>
    <row r="467" spans="1:18">
      <c r="A467" t="s">
        <v>493</v>
      </c>
      <c r="B467" t="s">
        <v>21</v>
      </c>
      <c r="C467" t="s">
        <v>30</v>
      </c>
      <c r="D467" s="5">
        <v>45949</v>
      </c>
      <c r="E467" s="5">
        <v>45954</v>
      </c>
      <c r="F467" s="5">
        <v>45957</v>
      </c>
      <c r="G467" s="5">
        <v>45964</v>
      </c>
      <c r="H467" t="s">
        <v>16</v>
      </c>
      <c r="I467" t="s">
        <v>17</v>
      </c>
      <c r="J467" s="5">
        <v>45974</v>
      </c>
      <c r="K467" s="15">
        <f t="shared" si="24"/>
        <v>5</v>
      </c>
      <c r="L467">
        <f t="shared" si="22"/>
        <v>3</v>
      </c>
      <c r="M467">
        <f t="shared" si="23"/>
        <v>7</v>
      </c>
      <c r="N467">
        <v>4</v>
      </c>
      <c r="O467">
        <f>DATEDIF(Table1[[#This Row],[lead_date]], Table1[[#This Row],[delivery_date]], "d")</f>
        <v>15</v>
      </c>
      <c r="P467" s="5" t="str">
        <f>IF(AND(Table1[[#This Row],[customer_rating]]&gt;=8, Table1[[#This Row],[Tat_day]]&lt;=7, Table1[[#This Row],[lead_type]]="Hot"), "High", "Normal")</f>
        <v>Normal</v>
      </c>
      <c r="Q467" s="5" t="str">
        <f>IF(Table1[[#This Row],[customer_rating]]&gt;=9,"Promoter",IF(Table1[[#This Row],[customer_rating]]&gt;=7,"Passive","Detractor"))</f>
        <v>Detractor</v>
      </c>
      <c r="R467" s="5"/>
    </row>
    <row r="468" spans="1:18">
      <c r="A468" t="s">
        <v>494</v>
      </c>
      <c r="B468" t="s">
        <v>32</v>
      </c>
      <c r="C468" t="s">
        <v>30</v>
      </c>
      <c r="D468" s="5">
        <v>45949</v>
      </c>
      <c r="E468" s="5">
        <v>45952</v>
      </c>
      <c r="F468" s="5">
        <v>45954</v>
      </c>
      <c r="G468" s="5">
        <v>45959</v>
      </c>
      <c r="H468" t="s">
        <v>16</v>
      </c>
      <c r="I468" t="s">
        <v>17</v>
      </c>
      <c r="J468" s="5">
        <v>45974</v>
      </c>
      <c r="K468" s="15">
        <f t="shared" si="24"/>
        <v>3</v>
      </c>
      <c r="L468">
        <f t="shared" si="22"/>
        <v>2</v>
      </c>
      <c r="M468">
        <f t="shared" si="23"/>
        <v>5</v>
      </c>
      <c r="N468">
        <v>1</v>
      </c>
      <c r="O468">
        <f>DATEDIF(Table1[[#This Row],[lead_date]], Table1[[#This Row],[delivery_date]], "d")</f>
        <v>10</v>
      </c>
      <c r="P468" s="5" t="str">
        <f>IF(AND(Table1[[#This Row],[customer_rating]]&gt;=8, Table1[[#This Row],[Tat_day]]&lt;=7, Table1[[#This Row],[lead_type]]="Hot"), "High", "Normal")</f>
        <v>Normal</v>
      </c>
      <c r="Q468" s="5" t="str">
        <f>IF(Table1[[#This Row],[customer_rating]]&gt;=9,"Promoter",IF(Table1[[#This Row],[customer_rating]]&gt;=7,"Passive","Detractor"))</f>
        <v>Detractor</v>
      </c>
      <c r="R468" s="5"/>
    </row>
    <row r="469" spans="1:18">
      <c r="A469" t="s">
        <v>495</v>
      </c>
      <c r="B469" t="s">
        <v>19</v>
      </c>
      <c r="C469" t="s">
        <v>15</v>
      </c>
      <c r="D469" s="5">
        <v>45952</v>
      </c>
      <c r="E469" s="5">
        <v>45954</v>
      </c>
      <c r="F469" s="5">
        <v>45958</v>
      </c>
      <c r="G469" s="5">
        <v>45962</v>
      </c>
      <c r="H469" t="s">
        <v>16</v>
      </c>
      <c r="I469" t="s">
        <v>17</v>
      </c>
      <c r="J469" s="5">
        <v>45978</v>
      </c>
      <c r="K469" s="15">
        <f t="shared" si="24"/>
        <v>2</v>
      </c>
      <c r="L469">
        <f t="shared" si="22"/>
        <v>4</v>
      </c>
      <c r="M469">
        <f t="shared" si="23"/>
        <v>4</v>
      </c>
      <c r="N469">
        <v>1</v>
      </c>
      <c r="O469">
        <f>DATEDIF(Table1[[#This Row],[lead_date]], Table1[[#This Row],[delivery_date]], "d")</f>
        <v>10</v>
      </c>
      <c r="P469" s="5" t="str">
        <f>IF(AND(Table1[[#This Row],[customer_rating]]&gt;=8, Table1[[#This Row],[Tat_day]]&lt;=7, Table1[[#This Row],[lead_type]]="Hot"), "High", "Normal")</f>
        <v>Normal</v>
      </c>
      <c r="Q469" s="5" t="str">
        <f>IF(Table1[[#This Row],[customer_rating]]&gt;=9,"Promoter",IF(Table1[[#This Row],[customer_rating]]&gt;=7,"Passive","Detractor"))</f>
        <v>Detractor</v>
      </c>
      <c r="R469" s="5"/>
    </row>
    <row r="470" spans="1:18">
      <c r="A470" t="s">
        <v>496</v>
      </c>
      <c r="B470" t="s">
        <v>32</v>
      </c>
      <c r="C470" t="s">
        <v>15</v>
      </c>
      <c r="D470" s="5">
        <v>45946</v>
      </c>
      <c r="E470" s="5">
        <v>45950</v>
      </c>
      <c r="F470" s="5">
        <v>45951</v>
      </c>
      <c r="G470" s="5">
        <v>45958</v>
      </c>
      <c r="H470" t="s">
        <v>16</v>
      </c>
      <c r="I470" t="s">
        <v>17</v>
      </c>
      <c r="J470" s="5">
        <v>45974</v>
      </c>
      <c r="K470" s="15">
        <f t="shared" si="24"/>
        <v>4</v>
      </c>
      <c r="L470">
        <f t="shared" si="22"/>
        <v>1</v>
      </c>
      <c r="M470">
        <f t="shared" si="23"/>
        <v>7</v>
      </c>
      <c r="N470">
        <v>0</v>
      </c>
      <c r="O470">
        <f>DATEDIF(Table1[[#This Row],[lead_date]], Table1[[#This Row],[delivery_date]], "d")</f>
        <v>12</v>
      </c>
      <c r="P470" s="5" t="str">
        <f>IF(AND(Table1[[#This Row],[customer_rating]]&gt;=8, Table1[[#This Row],[Tat_day]]&lt;=7, Table1[[#This Row],[lead_type]]="Hot"), "High", "Normal")</f>
        <v>Normal</v>
      </c>
      <c r="Q470" s="5" t="str">
        <f>IF(Table1[[#This Row],[customer_rating]]&gt;=9,"Promoter",IF(Table1[[#This Row],[customer_rating]]&gt;=7,"Passive","Detractor"))</f>
        <v>Detractor</v>
      </c>
      <c r="R470" s="5"/>
    </row>
    <row r="471" spans="1:18">
      <c r="A471" t="s">
        <v>497</v>
      </c>
      <c r="B471" t="s">
        <v>21</v>
      </c>
      <c r="C471" t="s">
        <v>22</v>
      </c>
      <c r="D471" s="5">
        <v>45958</v>
      </c>
      <c r="H471" t="s">
        <v>23</v>
      </c>
      <c r="I471" t="s">
        <v>33</v>
      </c>
      <c r="K471" s="15" t="str">
        <f t="shared" si="24"/>
        <v/>
      </c>
      <c r="L471" t="str">
        <f t="shared" si="22"/>
        <v/>
      </c>
      <c r="M471" t="str">
        <f t="shared" si="23"/>
        <v/>
      </c>
      <c r="O471"/>
      <c r="P471" s="5" t="str">
        <f>IF(AND(Table1[[#This Row],[customer_rating]]&gt;=8, Table1[[#This Row],[Tat_day]]&lt;=7, Table1[[#This Row],[lead_type]]="Hot"), "High", "Normal")</f>
        <v>Normal</v>
      </c>
      <c r="Q471" s="5" t="str">
        <f>IF(Table1[[#This Row],[customer_rating]]&gt;=9,"Promoter",IF(Table1[[#This Row],[customer_rating]]&gt;=7,"Passive","Detractor"))</f>
        <v>Detractor</v>
      </c>
      <c r="R471" s="5"/>
    </row>
    <row r="472" spans="1:18">
      <c r="A472" t="s">
        <v>498</v>
      </c>
      <c r="B472" t="s">
        <v>14</v>
      </c>
      <c r="C472" t="s">
        <v>15</v>
      </c>
      <c r="D472" s="5">
        <v>45935</v>
      </c>
      <c r="E472" s="5">
        <v>45936</v>
      </c>
      <c r="F472" s="5">
        <v>45941</v>
      </c>
      <c r="G472" s="5">
        <v>45943</v>
      </c>
      <c r="H472" t="s">
        <v>16</v>
      </c>
      <c r="I472" t="s">
        <v>17</v>
      </c>
      <c r="J472" s="5">
        <v>45954</v>
      </c>
      <c r="K472" s="15">
        <f t="shared" si="24"/>
        <v>1</v>
      </c>
      <c r="L472">
        <f t="shared" si="22"/>
        <v>5</v>
      </c>
      <c r="M472">
        <f t="shared" si="23"/>
        <v>2</v>
      </c>
      <c r="N472">
        <v>7</v>
      </c>
      <c r="O472">
        <f>DATEDIF(Table1[[#This Row],[lead_date]], Table1[[#This Row],[delivery_date]], "d")</f>
        <v>8</v>
      </c>
      <c r="P472" s="5" t="str">
        <f>IF(AND(Table1[[#This Row],[customer_rating]]&gt;=8, Table1[[#This Row],[Tat_day]]&lt;=7, Table1[[#This Row],[lead_type]]="Hot"), "High", "Normal")</f>
        <v>Normal</v>
      </c>
      <c r="Q472" s="5" t="str">
        <f>IF(Table1[[#This Row],[customer_rating]]&gt;=9,"Promoter",IF(Table1[[#This Row],[customer_rating]]&gt;=7,"Passive","Detractor"))</f>
        <v>Passive</v>
      </c>
      <c r="R472" s="5"/>
    </row>
    <row r="473" spans="1:18">
      <c r="A473" t="s">
        <v>499</v>
      </c>
      <c r="B473" t="s">
        <v>19</v>
      </c>
      <c r="C473" t="s">
        <v>22</v>
      </c>
      <c r="D473" s="5">
        <v>45945</v>
      </c>
      <c r="H473" t="s">
        <v>23</v>
      </c>
      <c r="I473" t="s">
        <v>63</v>
      </c>
      <c r="K473" s="15" t="str">
        <f t="shared" si="24"/>
        <v/>
      </c>
      <c r="L473" t="str">
        <f t="shared" si="22"/>
        <v/>
      </c>
      <c r="M473" t="str">
        <f t="shared" si="23"/>
        <v/>
      </c>
      <c r="O473"/>
      <c r="P473" s="5" t="str">
        <f>IF(AND(Table1[[#This Row],[customer_rating]]&gt;=8, Table1[[#This Row],[Tat_day]]&lt;=7, Table1[[#This Row],[lead_type]]="Hot"), "High", "Normal")</f>
        <v>Normal</v>
      </c>
      <c r="Q473" s="5" t="str">
        <f>IF(Table1[[#This Row],[customer_rating]]&gt;=9,"Promoter",IF(Table1[[#This Row],[customer_rating]]&gt;=7,"Passive","Detractor"))</f>
        <v>Detractor</v>
      </c>
      <c r="R473" s="5"/>
    </row>
    <row r="474" spans="1:18">
      <c r="A474" t="s">
        <v>500</v>
      </c>
      <c r="B474" t="s">
        <v>14</v>
      </c>
      <c r="C474" t="s">
        <v>22</v>
      </c>
      <c r="D474" s="5">
        <v>45948</v>
      </c>
      <c r="H474" t="s">
        <v>23</v>
      </c>
      <c r="I474" t="s">
        <v>33</v>
      </c>
      <c r="K474" s="15" t="str">
        <f t="shared" si="24"/>
        <v/>
      </c>
      <c r="L474" t="str">
        <f t="shared" si="22"/>
        <v/>
      </c>
      <c r="M474" t="str">
        <f t="shared" si="23"/>
        <v/>
      </c>
      <c r="O474"/>
      <c r="P474" s="5" t="str">
        <f>IF(AND(Table1[[#This Row],[customer_rating]]&gt;=8, Table1[[#This Row],[Tat_day]]&lt;=7, Table1[[#This Row],[lead_type]]="Hot"), "High", "Normal")</f>
        <v>Normal</v>
      </c>
      <c r="Q474" s="5" t="str">
        <f>IF(Table1[[#This Row],[customer_rating]]&gt;=9,"Promoter",IF(Table1[[#This Row],[customer_rating]]&gt;=7,"Passive","Detractor"))</f>
        <v>Detractor</v>
      </c>
      <c r="R474" s="5"/>
    </row>
    <row r="475" spans="1:18">
      <c r="A475" t="s">
        <v>501</v>
      </c>
      <c r="B475" t="s">
        <v>21</v>
      </c>
      <c r="C475" t="s">
        <v>15</v>
      </c>
      <c r="D475" s="5">
        <v>45946</v>
      </c>
      <c r="E475" s="5">
        <v>45949</v>
      </c>
      <c r="F475" s="5">
        <v>45953</v>
      </c>
      <c r="G475" s="5">
        <v>45956</v>
      </c>
      <c r="H475" t="s">
        <v>16</v>
      </c>
      <c r="I475" t="s">
        <v>17</v>
      </c>
      <c r="J475" s="5">
        <v>45973</v>
      </c>
      <c r="K475" s="15">
        <f t="shared" si="24"/>
        <v>3</v>
      </c>
      <c r="L475">
        <f t="shared" si="22"/>
        <v>4</v>
      </c>
      <c r="M475">
        <f t="shared" si="23"/>
        <v>3</v>
      </c>
      <c r="N475">
        <v>8</v>
      </c>
      <c r="O475">
        <f>DATEDIF(Table1[[#This Row],[lead_date]], Table1[[#This Row],[delivery_date]], "d")</f>
        <v>10</v>
      </c>
      <c r="P475" s="5" t="str">
        <f>IF(AND(Table1[[#This Row],[customer_rating]]&gt;=8, Table1[[#This Row],[Tat_day]]&lt;=7, Table1[[#This Row],[lead_type]]="Hot"), "High", "Normal")</f>
        <v>Normal</v>
      </c>
      <c r="Q475" s="5" t="str">
        <f>IF(Table1[[#This Row],[customer_rating]]&gt;=9,"Promoter",IF(Table1[[#This Row],[customer_rating]]&gt;=7,"Passive","Detractor"))</f>
        <v>Passive</v>
      </c>
      <c r="R475" s="5"/>
    </row>
    <row r="476" spans="1:18">
      <c r="A476" t="s">
        <v>502</v>
      </c>
      <c r="B476" t="s">
        <v>21</v>
      </c>
      <c r="C476" t="s">
        <v>22</v>
      </c>
      <c r="D476" s="5">
        <v>45942</v>
      </c>
      <c r="H476" t="s">
        <v>23</v>
      </c>
      <c r="I476" t="s">
        <v>101</v>
      </c>
      <c r="K476" s="15" t="str">
        <f t="shared" si="24"/>
        <v/>
      </c>
      <c r="L476" t="str">
        <f t="shared" si="22"/>
        <v/>
      </c>
      <c r="M476" t="str">
        <f t="shared" si="23"/>
        <v/>
      </c>
      <c r="O476"/>
      <c r="P476" s="5" t="str">
        <f>IF(AND(Table1[[#This Row],[customer_rating]]&gt;=8, Table1[[#This Row],[Tat_day]]&lt;=7, Table1[[#This Row],[lead_type]]="Hot"), "High", "Normal")</f>
        <v>Normal</v>
      </c>
      <c r="Q476" s="5" t="str">
        <f>IF(Table1[[#This Row],[customer_rating]]&gt;=9,"Promoter",IF(Table1[[#This Row],[customer_rating]]&gt;=7,"Passive","Detractor"))</f>
        <v>Detractor</v>
      </c>
      <c r="R476" s="5"/>
    </row>
    <row r="477" spans="1:18">
      <c r="A477" t="s">
        <v>503</v>
      </c>
      <c r="B477" t="s">
        <v>21</v>
      </c>
      <c r="C477" t="s">
        <v>15</v>
      </c>
      <c r="D477" s="5">
        <v>45941</v>
      </c>
      <c r="E477" s="5">
        <v>45943</v>
      </c>
      <c r="F477" s="5">
        <v>45947</v>
      </c>
      <c r="G477" s="5">
        <v>45952</v>
      </c>
      <c r="H477" t="s">
        <v>23</v>
      </c>
      <c r="I477" t="s">
        <v>24</v>
      </c>
      <c r="K477" s="15">
        <f t="shared" si="24"/>
        <v>2</v>
      </c>
      <c r="L477">
        <f t="shared" si="22"/>
        <v>4</v>
      </c>
      <c r="M477">
        <f t="shared" si="23"/>
        <v>5</v>
      </c>
      <c r="O477">
        <f>DATEDIF(Table1[[#This Row],[lead_date]], Table1[[#This Row],[delivery_date]], "d")</f>
        <v>11</v>
      </c>
      <c r="P477" s="5" t="str">
        <f>IF(AND(Table1[[#This Row],[customer_rating]]&gt;=8, Table1[[#This Row],[Tat_day]]&lt;=7, Table1[[#This Row],[lead_type]]="Hot"), "High", "Normal")</f>
        <v>Normal</v>
      </c>
      <c r="Q477" s="5" t="str">
        <f>IF(Table1[[#This Row],[customer_rating]]&gt;=9,"Promoter",IF(Table1[[#This Row],[customer_rating]]&gt;=7,"Passive","Detractor"))</f>
        <v>Detractor</v>
      </c>
      <c r="R477" s="5"/>
    </row>
    <row r="478" spans="1:18">
      <c r="A478" t="s">
        <v>504</v>
      </c>
      <c r="B478" t="s">
        <v>14</v>
      </c>
      <c r="C478" t="s">
        <v>30</v>
      </c>
      <c r="D478" s="5">
        <v>45948</v>
      </c>
      <c r="E478" s="5">
        <v>45949</v>
      </c>
      <c r="F478" s="5">
        <v>45954</v>
      </c>
      <c r="G478" s="5">
        <v>45959</v>
      </c>
      <c r="H478" t="s">
        <v>16</v>
      </c>
      <c r="I478" t="s">
        <v>17</v>
      </c>
      <c r="J478" s="5">
        <v>45970</v>
      </c>
      <c r="K478" s="15">
        <f t="shared" si="24"/>
        <v>1</v>
      </c>
      <c r="L478">
        <f t="shared" si="22"/>
        <v>5</v>
      </c>
      <c r="M478">
        <f t="shared" si="23"/>
        <v>5</v>
      </c>
      <c r="N478">
        <v>2</v>
      </c>
      <c r="O478">
        <f>DATEDIF(Table1[[#This Row],[lead_date]], Table1[[#This Row],[delivery_date]], "d")</f>
        <v>11</v>
      </c>
      <c r="P478" s="5" t="str">
        <f>IF(AND(Table1[[#This Row],[customer_rating]]&gt;=8, Table1[[#This Row],[Tat_day]]&lt;=7, Table1[[#This Row],[lead_type]]="Hot"), "High", "Normal")</f>
        <v>Normal</v>
      </c>
      <c r="Q478" s="5" t="str">
        <f>IF(Table1[[#This Row],[customer_rating]]&gt;=9,"Promoter",IF(Table1[[#This Row],[customer_rating]]&gt;=7,"Passive","Detractor"))</f>
        <v>Detractor</v>
      </c>
      <c r="R478" s="5"/>
    </row>
    <row r="479" spans="1:18">
      <c r="A479" t="s">
        <v>505</v>
      </c>
      <c r="B479" t="s">
        <v>14</v>
      </c>
      <c r="C479" t="s">
        <v>15</v>
      </c>
      <c r="D479" s="5">
        <v>45955</v>
      </c>
      <c r="E479" s="5">
        <v>45958</v>
      </c>
      <c r="F479" s="5">
        <v>45963</v>
      </c>
      <c r="G479" s="5">
        <v>45965</v>
      </c>
      <c r="H479" t="s">
        <v>23</v>
      </c>
      <c r="I479" t="s">
        <v>24</v>
      </c>
      <c r="K479" s="15">
        <f t="shared" si="24"/>
        <v>3</v>
      </c>
      <c r="L479">
        <f t="shared" si="22"/>
        <v>5</v>
      </c>
      <c r="M479">
        <f t="shared" si="23"/>
        <v>2</v>
      </c>
      <c r="O479">
        <f>DATEDIF(Table1[[#This Row],[lead_date]], Table1[[#This Row],[delivery_date]], "d")</f>
        <v>10</v>
      </c>
      <c r="P479" s="5" t="str">
        <f>IF(AND(Table1[[#This Row],[customer_rating]]&gt;=8, Table1[[#This Row],[Tat_day]]&lt;=7, Table1[[#This Row],[lead_type]]="Hot"), "High", "Normal")</f>
        <v>Normal</v>
      </c>
      <c r="Q479" s="5" t="str">
        <f>IF(Table1[[#This Row],[customer_rating]]&gt;=9,"Promoter",IF(Table1[[#This Row],[customer_rating]]&gt;=7,"Passive","Detractor"))</f>
        <v>Detractor</v>
      </c>
      <c r="R479" s="5"/>
    </row>
    <row r="480" spans="1:18">
      <c r="A480" t="s">
        <v>506</v>
      </c>
      <c r="B480" t="s">
        <v>14</v>
      </c>
      <c r="C480" t="s">
        <v>15</v>
      </c>
      <c r="D480" s="5">
        <v>45948</v>
      </c>
      <c r="E480" s="5">
        <v>45949</v>
      </c>
      <c r="F480" s="5">
        <v>45951</v>
      </c>
      <c r="G480" s="5">
        <v>45954</v>
      </c>
      <c r="H480" t="s">
        <v>16</v>
      </c>
      <c r="I480" t="s">
        <v>17</v>
      </c>
      <c r="J480" s="5">
        <v>45978</v>
      </c>
      <c r="K480" s="15">
        <f t="shared" si="24"/>
        <v>1</v>
      </c>
      <c r="L480">
        <f t="shared" si="22"/>
        <v>2</v>
      </c>
      <c r="M480">
        <f t="shared" si="23"/>
        <v>3</v>
      </c>
      <c r="N480">
        <v>7</v>
      </c>
      <c r="O480">
        <f>DATEDIF(Table1[[#This Row],[lead_date]], Table1[[#This Row],[delivery_date]], "d")</f>
        <v>6</v>
      </c>
      <c r="P480" s="5" t="str">
        <f>IF(AND(Table1[[#This Row],[customer_rating]]&gt;=8, Table1[[#This Row],[Tat_day]]&lt;=7, Table1[[#This Row],[lead_type]]="Hot"), "High", "Normal")</f>
        <v>Normal</v>
      </c>
      <c r="Q480" s="5" t="str">
        <f>IF(Table1[[#This Row],[customer_rating]]&gt;=9,"Promoter",IF(Table1[[#This Row],[customer_rating]]&gt;=7,"Passive","Detractor"))</f>
        <v>Passive</v>
      </c>
      <c r="R480" s="5"/>
    </row>
    <row r="481" spans="1:18">
      <c r="A481" t="s">
        <v>507</v>
      </c>
      <c r="B481" t="s">
        <v>14</v>
      </c>
      <c r="C481" t="s">
        <v>15</v>
      </c>
      <c r="D481" s="5">
        <v>45943</v>
      </c>
      <c r="E481" s="5">
        <v>45946</v>
      </c>
      <c r="F481" s="5">
        <v>45950</v>
      </c>
      <c r="G481" s="5">
        <v>45955</v>
      </c>
      <c r="H481" t="s">
        <v>23</v>
      </c>
      <c r="I481" t="s">
        <v>1028</v>
      </c>
      <c r="K481" s="15">
        <f t="shared" si="24"/>
        <v>3</v>
      </c>
      <c r="L481">
        <f t="shared" si="22"/>
        <v>4</v>
      </c>
      <c r="M481">
        <f t="shared" si="23"/>
        <v>5</v>
      </c>
      <c r="O481">
        <f>DATEDIF(Table1[[#This Row],[lead_date]], Table1[[#This Row],[delivery_date]], "d")</f>
        <v>12</v>
      </c>
      <c r="P481" s="5" t="str">
        <f>IF(AND(Table1[[#This Row],[customer_rating]]&gt;=8, Table1[[#This Row],[Tat_day]]&lt;=7, Table1[[#This Row],[lead_type]]="Hot"), "High", "Normal")</f>
        <v>Normal</v>
      </c>
      <c r="Q481" s="5" t="str">
        <f>IF(Table1[[#This Row],[customer_rating]]&gt;=9,"Promoter",IF(Table1[[#This Row],[customer_rating]]&gt;=7,"Passive","Detractor"))</f>
        <v>Detractor</v>
      </c>
      <c r="R481" s="5"/>
    </row>
    <row r="482" spans="1:18">
      <c r="A482" t="s">
        <v>508</v>
      </c>
      <c r="B482" t="s">
        <v>21</v>
      </c>
      <c r="C482" t="s">
        <v>15</v>
      </c>
      <c r="D482" s="5">
        <v>45945</v>
      </c>
      <c r="E482" s="5">
        <v>45947</v>
      </c>
      <c r="F482" s="5">
        <v>45949</v>
      </c>
      <c r="G482" s="5">
        <v>45956</v>
      </c>
      <c r="H482" t="s">
        <v>16</v>
      </c>
      <c r="I482" t="s">
        <v>17</v>
      </c>
      <c r="J482" s="5">
        <v>45967</v>
      </c>
      <c r="K482" s="15">
        <f t="shared" si="24"/>
        <v>2</v>
      </c>
      <c r="L482">
        <f t="shared" si="22"/>
        <v>2</v>
      </c>
      <c r="M482">
        <f t="shared" si="23"/>
        <v>7</v>
      </c>
      <c r="N482">
        <v>2</v>
      </c>
      <c r="O482">
        <f>DATEDIF(Table1[[#This Row],[lead_date]], Table1[[#This Row],[delivery_date]], "d")</f>
        <v>11</v>
      </c>
      <c r="P482" s="5" t="str">
        <f>IF(AND(Table1[[#This Row],[customer_rating]]&gt;=8, Table1[[#This Row],[Tat_day]]&lt;=7, Table1[[#This Row],[lead_type]]="Hot"), "High", "Normal")</f>
        <v>Normal</v>
      </c>
      <c r="Q482" s="5" t="str">
        <f>IF(Table1[[#This Row],[customer_rating]]&gt;=9,"Promoter",IF(Table1[[#This Row],[customer_rating]]&gt;=7,"Passive","Detractor"))</f>
        <v>Detractor</v>
      </c>
      <c r="R482" s="5"/>
    </row>
    <row r="483" spans="1:18">
      <c r="A483" t="s">
        <v>509</v>
      </c>
      <c r="B483" t="s">
        <v>21</v>
      </c>
      <c r="C483" t="s">
        <v>15</v>
      </c>
      <c r="D483" s="5">
        <v>45960</v>
      </c>
      <c r="E483" s="5">
        <v>45962</v>
      </c>
      <c r="F483" s="5">
        <v>45965</v>
      </c>
      <c r="G483" s="5">
        <v>45971</v>
      </c>
      <c r="H483" t="s">
        <v>16</v>
      </c>
      <c r="I483" t="s">
        <v>17</v>
      </c>
      <c r="J483" s="5">
        <v>45992</v>
      </c>
      <c r="K483" s="15">
        <f t="shared" si="24"/>
        <v>2</v>
      </c>
      <c r="L483">
        <f t="shared" si="22"/>
        <v>3</v>
      </c>
      <c r="M483">
        <f t="shared" si="23"/>
        <v>6</v>
      </c>
      <c r="N483">
        <v>8</v>
      </c>
      <c r="O483">
        <f>DATEDIF(Table1[[#This Row],[lead_date]], Table1[[#This Row],[delivery_date]], "d")</f>
        <v>11</v>
      </c>
      <c r="P483" s="5" t="str">
        <f>IF(AND(Table1[[#This Row],[customer_rating]]&gt;=8, Table1[[#This Row],[Tat_day]]&lt;=7, Table1[[#This Row],[lead_type]]="Hot"), "High", "Normal")</f>
        <v>Normal</v>
      </c>
      <c r="Q483" s="5" t="str">
        <f>IF(Table1[[#This Row],[customer_rating]]&gt;=9,"Promoter",IF(Table1[[#This Row],[customer_rating]]&gt;=7,"Passive","Detractor"))</f>
        <v>Passive</v>
      </c>
      <c r="R483" s="5"/>
    </row>
    <row r="484" spans="1:18">
      <c r="A484" t="s">
        <v>510</v>
      </c>
      <c r="B484" t="s">
        <v>19</v>
      </c>
      <c r="C484" t="s">
        <v>15</v>
      </c>
      <c r="D484" s="5">
        <v>45941</v>
      </c>
      <c r="E484" s="5">
        <v>45942</v>
      </c>
      <c r="F484" s="5">
        <v>45944</v>
      </c>
      <c r="G484" s="5">
        <v>45946</v>
      </c>
      <c r="H484" t="s">
        <v>16</v>
      </c>
      <c r="I484" t="s">
        <v>17</v>
      </c>
      <c r="J484" s="5">
        <v>45962</v>
      </c>
      <c r="K484" s="15">
        <f t="shared" si="24"/>
        <v>1</v>
      </c>
      <c r="L484">
        <f t="shared" si="22"/>
        <v>2</v>
      </c>
      <c r="M484">
        <f t="shared" si="23"/>
        <v>2</v>
      </c>
      <c r="N484">
        <v>5</v>
      </c>
      <c r="O484">
        <f>DATEDIF(Table1[[#This Row],[lead_date]], Table1[[#This Row],[delivery_date]], "d")</f>
        <v>5</v>
      </c>
      <c r="P484" s="5" t="str">
        <f>IF(AND(Table1[[#This Row],[customer_rating]]&gt;=8, Table1[[#This Row],[Tat_day]]&lt;=7, Table1[[#This Row],[lead_type]]="Hot"), "High", "Normal")</f>
        <v>Normal</v>
      </c>
      <c r="Q484" s="5" t="str">
        <f>IF(Table1[[#This Row],[customer_rating]]&gt;=9,"Promoter",IF(Table1[[#This Row],[customer_rating]]&gt;=7,"Passive","Detractor"))</f>
        <v>Detractor</v>
      </c>
      <c r="R484" s="5"/>
    </row>
    <row r="485" spans="1:18">
      <c r="A485" t="s">
        <v>511</v>
      </c>
      <c r="B485" t="s">
        <v>19</v>
      </c>
      <c r="C485" t="s">
        <v>15</v>
      </c>
      <c r="D485" s="5">
        <v>45958</v>
      </c>
      <c r="E485" s="5">
        <v>45961</v>
      </c>
      <c r="F485" s="5">
        <v>45964</v>
      </c>
      <c r="G485" s="5">
        <v>45970</v>
      </c>
      <c r="H485" t="s">
        <v>16</v>
      </c>
      <c r="I485" t="s">
        <v>17</v>
      </c>
      <c r="J485" s="5">
        <v>45988</v>
      </c>
      <c r="K485" s="15">
        <f t="shared" si="24"/>
        <v>3</v>
      </c>
      <c r="L485">
        <f t="shared" si="22"/>
        <v>3</v>
      </c>
      <c r="M485">
        <f t="shared" si="23"/>
        <v>6</v>
      </c>
      <c r="N485">
        <v>5</v>
      </c>
      <c r="O485">
        <f>DATEDIF(Table1[[#This Row],[lead_date]], Table1[[#This Row],[delivery_date]], "d")</f>
        <v>12</v>
      </c>
      <c r="P485" s="5" t="str">
        <f>IF(AND(Table1[[#This Row],[customer_rating]]&gt;=8, Table1[[#This Row],[Tat_day]]&lt;=7, Table1[[#This Row],[lead_type]]="Hot"), "High", "Normal")</f>
        <v>Normal</v>
      </c>
      <c r="Q485" s="5" t="str">
        <f>IF(Table1[[#This Row],[customer_rating]]&gt;=9,"Promoter",IF(Table1[[#This Row],[customer_rating]]&gt;=7,"Passive","Detractor"))</f>
        <v>Detractor</v>
      </c>
      <c r="R485" s="5"/>
    </row>
    <row r="486" spans="1:18">
      <c r="A486" t="s">
        <v>512</v>
      </c>
      <c r="B486" t="s">
        <v>14</v>
      </c>
      <c r="C486" t="s">
        <v>15</v>
      </c>
      <c r="D486" s="5">
        <v>45937</v>
      </c>
      <c r="E486" s="5">
        <v>45941</v>
      </c>
      <c r="F486" s="5">
        <v>45942</v>
      </c>
      <c r="G486" s="5">
        <v>45944</v>
      </c>
      <c r="H486" t="s">
        <v>16</v>
      </c>
      <c r="I486" t="s">
        <v>17</v>
      </c>
      <c r="J486" s="5">
        <v>45965</v>
      </c>
      <c r="K486" s="15">
        <f t="shared" si="24"/>
        <v>4</v>
      </c>
      <c r="L486">
        <f t="shared" si="22"/>
        <v>1</v>
      </c>
      <c r="M486">
        <f t="shared" si="23"/>
        <v>2</v>
      </c>
      <c r="N486">
        <v>6</v>
      </c>
      <c r="O486">
        <f>DATEDIF(Table1[[#This Row],[lead_date]], Table1[[#This Row],[delivery_date]], "d")</f>
        <v>7</v>
      </c>
      <c r="P486" s="5" t="str">
        <f>IF(AND(Table1[[#This Row],[customer_rating]]&gt;=8, Table1[[#This Row],[Tat_day]]&lt;=7, Table1[[#This Row],[lead_type]]="Hot"), "High", "Normal")</f>
        <v>Normal</v>
      </c>
      <c r="Q486" s="5" t="str">
        <f>IF(Table1[[#This Row],[customer_rating]]&gt;=9,"Promoter",IF(Table1[[#This Row],[customer_rating]]&gt;=7,"Passive","Detractor"))</f>
        <v>Detractor</v>
      </c>
      <c r="R486" s="5"/>
    </row>
    <row r="487" spans="1:18">
      <c r="A487" t="s">
        <v>513</v>
      </c>
      <c r="B487" t="s">
        <v>32</v>
      </c>
      <c r="C487" t="s">
        <v>15</v>
      </c>
      <c r="D487" s="5">
        <v>45953</v>
      </c>
      <c r="E487" s="5">
        <v>45955</v>
      </c>
      <c r="F487" s="5">
        <v>45959</v>
      </c>
      <c r="G487" s="5">
        <v>45963</v>
      </c>
      <c r="H487" t="s">
        <v>23</v>
      </c>
      <c r="I487" t="s">
        <v>1028</v>
      </c>
      <c r="K487" s="15">
        <f t="shared" si="24"/>
        <v>2</v>
      </c>
      <c r="L487">
        <f t="shared" si="22"/>
        <v>4</v>
      </c>
      <c r="M487">
        <f t="shared" si="23"/>
        <v>4</v>
      </c>
      <c r="O487">
        <f>DATEDIF(Table1[[#This Row],[lead_date]], Table1[[#This Row],[delivery_date]], "d")</f>
        <v>10</v>
      </c>
      <c r="P487" s="5" t="str">
        <f>IF(AND(Table1[[#This Row],[customer_rating]]&gt;=8, Table1[[#This Row],[Tat_day]]&lt;=7, Table1[[#This Row],[lead_type]]="Hot"), "High", "Normal")</f>
        <v>Normal</v>
      </c>
      <c r="Q487" s="5" t="str">
        <f>IF(Table1[[#This Row],[customer_rating]]&gt;=9,"Promoter",IF(Table1[[#This Row],[customer_rating]]&gt;=7,"Passive","Detractor"))</f>
        <v>Detractor</v>
      </c>
      <c r="R487" s="5"/>
    </row>
    <row r="488" spans="1:18">
      <c r="A488" t="s">
        <v>514</v>
      </c>
      <c r="B488" t="s">
        <v>32</v>
      </c>
      <c r="C488" t="s">
        <v>15</v>
      </c>
      <c r="D488" s="5">
        <v>45938</v>
      </c>
      <c r="E488" s="5">
        <v>45942</v>
      </c>
      <c r="F488" s="5">
        <v>45945</v>
      </c>
      <c r="G488" s="5">
        <v>45949</v>
      </c>
      <c r="H488" t="s">
        <v>16</v>
      </c>
      <c r="I488" t="s">
        <v>17</v>
      </c>
      <c r="J488" s="5">
        <v>45973</v>
      </c>
      <c r="K488" s="15">
        <f t="shared" si="24"/>
        <v>4</v>
      </c>
      <c r="L488">
        <f t="shared" si="22"/>
        <v>3</v>
      </c>
      <c r="M488">
        <f t="shared" si="23"/>
        <v>4</v>
      </c>
      <c r="N488">
        <v>9</v>
      </c>
      <c r="O488">
        <f>DATEDIF(Table1[[#This Row],[lead_date]], Table1[[#This Row],[delivery_date]], "d")</f>
        <v>11</v>
      </c>
      <c r="P488" s="5" t="str">
        <f>IF(AND(Table1[[#This Row],[customer_rating]]&gt;=8, Table1[[#This Row],[Tat_day]]&lt;=7, Table1[[#This Row],[lead_type]]="Hot"), "High", "Normal")</f>
        <v>Normal</v>
      </c>
      <c r="Q488" s="5" t="str">
        <f>IF(Table1[[#This Row],[customer_rating]]&gt;=9,"Promoter",IF(Table1[[#This Row],[customer_rating]]&gt;=7,"Passive","Detractor"))</f>
        <v>Promoter</v>
      </c>
      <c r="R488" s="5"/>
    </row>
    <row r="489" spans="1:18">
      <c r="A489" t="s">
        <v>515</v>
      </c>
      <c r="B489" t="s">
        <v>21</v>
      </c>
      <c r="C489" t="s">
        <v>30</v>
      </c>
      <c r="D489" s="5">
        <v>45949</v>
      </c>
      <c r="E489" s="5">
        <v>45953</v>
      </c>
      <c r="F489" s="5">
        <v>45954</v>
      </c>
      <c r="G489" s="5">
        <v>45957</v>
      </c>
      <c r="H489" t="s">
        <v>16</v>
      </c>
      <c r="I489" t="s">
        <v>17</v>
      </c>
      <c r="J489" s="5">
        <v>45983</v>
      </c>
      <c r="K489" s="15">
        <f t="shared" si="24"/>
        <v>4</v>
      </c>
      <c r="L489">
        <f t="shared" si="22"/>
        <v>1</v>
      </c>
      <c r="M489">
        <f t="shared" si="23"/>
        <v>3</v>
      </c>
      <c r="N489">
        <v>4</v>
      </c>
      <c r="O489">
        <f>DATEDIF(Table1[[#This Row],[lead_date]], Table1[[#This Row],[delivery_date]], "d")</f>
        <v>8</v>
      </c>
      <c r="P489" s="5" t="str">
        <f>IF(AND(Table1[[#This Row],[customer_rating]]&gt;=8, Table1[[#This Row],[Tat_day]]&lt;=7, Table1[[#This Row],[lead_type]]="Hot"), "High", "Normal")</f>
        <v>Normal</v>
      </c>
      <c r="Q489" s="5" t="str">
        <f>IF(Table1[[#This Row],[customer_rating]]&gt;=9,"Promoter",IF(Table1[[#This Row],[customer_rating]]&gt;=7,"Passive","Detractor"))</f>
        <v>Detractor</v>
      </c>
      <c r="R489" s="5"/>
    </row>
    <row r="490" spans="1:18">
      <c r="A490" t="s">
        <v>516</v>
      </c>
      <c r="B490" t="s">
        <v>21</v>
      </c>
      <c r="C490" t="s">
        <v>15</v>
      </c>
      <c r="D490" s="5">
        <v>45943</v>
      </c>
      <c r="E490" s="5">
        <v>45948</v>
      </c>
      <c r="F490" s="5">
        <v>45953</v>
      </c>
      <c r="G490" s="5">
        <v>45958</v>
      </c>
      <c r="H490" t="s">
        <v>16</v>
      </c>
      <c r="I490" t="s">
        <v>17</v>
      </c>
      <c r="J490" s="5">
        <v>45980</v>
      </c>
      <c r="K490" s="15">
        <f t="shared" si="24"/>
        <v>5</v>
      </c>
      <c r="L490">
        <f t="shared" si="22"/>
        <v>5</v>
      </c>
      <c r="M490">
        <f t="shared" si="23"/>
        <v>5</v>
      </c>
      <c r="N490">
        <v>5</v>
      </c>
      <c r="O490">
        <f>DATEDIF(Table1[[#This Row],[lead_date]], Table1[[#This Row],[delivery_date]], "d")</f>
        <v>15</v>
      </c>
      <c r="P490" s="5" t="str">
        <f>IF(AND(Table1[[#This Row],[customer_rating]]&gt;=8, Table1[[#This Row],[Tat_day]]&lt;=7, Table1[[#This Row],[lead_type]]="Hot"), "High", "Normal")</f>
        <v>Normal</v>
      </c>
      <c r="Q490" s="5" t="str">
        <f>IF(Table1[[#This Row],[customer_rating]]&gt;=9,"Promoter",IF(Table1[[#This Row],[customer_rating]]&gt;=7,"Passive","Detractor"))</f>
        <v>Detractor</v>
      </c>
      <c r="R490" s="5"/>
    </row>
    <row r="491" spans="1:18">
      <c r="A491" t="s">
        <v>517</v>
      </c>
      <c r="B491" t="s">
        <v>21</v>
      </c>
      <c r="C491" t="s">
        <v>30</v>
      </c>
      <c r="D491" s="5">
        <v>45938</v>
      </c>
      <c r="E491" s="5">
        <v>45939</v>
      </c>
      <c r="F491" s="5">
        <v>45941</v>
      </c>
      <c r="G491" s="5">
        <v>45947</v>
      </c>
      <c r="H491" t="s">
        <v>16</v>
      </c>
      <c r="I491" t="s">
        <v>17</v>
      </c>
      <c r="J491" s="5">
        <v>45977</v>
      </c>
      <c r="K491" s="15">
        <f t="shared" si="24"/>
        <v>1</v>
      </c>
      <c r="L491">
        <f t="shared" si="22"/>
        <v>2</v>
      </c>
      <c r="M491">
        <f t="shared" si="23"/>
        <v>6</v>
      </c>
      <c r="N491">
        <v>2</v>
      </c>
      <c r="O491">
        <f>DATEDIF(Table1[[#This Row],[lead_date]], Table1[[#This Row],[delivery_date]], "d")</f>
        <v>9</v>
      </c>
      <c r="P491" s="5" t="str">
        <f>IF(AND(Table1[[#This Row],[customer_rating]]&gt;=8, Table1[[#This Row],[Tat_day]]&lt;=7, Table1[[#This Row],[lead_type]]="Hot"), "High", "Normal")</f>
        <v>Normal</v>
      </c>
      <c r="Q491" s="5" t="str">
        <f>IF(Table1[[#This Row],[customer_rating]]&gt;=9,"Promoter",IF(Table1[[#This Row],[customer_rating]]&gt;=7,"Passive","Detractor"))</f>
        <v>Detractor</v>
      </c>
      <c r="R491" s="5"/>
    </row>
    <row r="492" spans="1:18">
      <c r="A492" t="s">
        <v>518</v>
      </c>
      <c r="B492" t="s">
        <v>19</v>
      </c>
      <c r="C492" t="s">
        <v>15</v>
      </c>
      <c r="D492" s="5">
        <v>45958</v>
      </c>
      <c r="E492" s="5">
        <v>45959</v>
      </c>
      <c r="F492" s="5">
        <v>45960</v>
      </c>
      <c r="G492" s="5">
        <v>45965</v>
      </c>
      <c r="H492" t="s">
        <v>16</v>
      </c>
      <c r="I492" t="s">
        <v>17</v>
      </c>
      <c r="J492" s="5">
        <v>45978</v>
      </c>
      <c r="K492" s="15">
        <f t="shared" si="24"/>
        <v>1</v>
      </c>
      <c r="L492">
        <f t="shared" si="22"/>
        <v>1</v>
      </c>
      <c r="M492">
        <f t="shared" si="23"/>
        <v>5</v>
      </c>
      <c r="N492">
        <v>9</v>
      </c>
      <c r="O492">
        <f>DATEDIF(Table1[[#This Row],[lead_date]], Table1[[#This Row],[delivery_date]], "d")</f>
        <v>7</v>
      </c>
      <c r="P492" s="5" t="str">
        <f>IF(AND(Table1[[#This Row],[customer_rating]]&gt;=8, Table1[[#This Row],[Tat_day]]&lt;=7, Table1[[#This Row],[lead_type]]="Hot"), "High", "Normal")</f>
        <v>Normal</v>
      </c>
      <c r="Q492" s="5" t="str">
        <f>IF(Table1[[#This Row],[customer_rating]]&gt;=9,"Promoter",IF(Table1[[#This Row],[customer_rating]]&gt;=7,"Passive","Detractor"))</f>
        <v>Promoter</v>
      </c>
      <c r="R492" s="5"/>
    </row>
    <row r="493" spans="1:18">
      <c r="A493" t="s">
        <v>519</v>
      </c>
      <c r="B493" t="s">
        <v>19</v>
      </c>
      <c r="C493" t="s">
        <v>15</v>
      </c>
      <c r="D493" s="5">
        <v>45955</v>
      </c>
      <c r="E493" s="5">
        <v>45956</v>
      </c>
      <c r="F493" s="5">
        <v>45959</v>
      </c>
      <c r="G493" s="5">
        <v>45963</v>
      </c>
      <c r="H493" t="s">
        <v>23</v>
      </c>
      <c r="I493" t="s">
        <v>24</v>
      </c>
      <c r="K493" s="15">
        <f t="shared" si="24"/>
        <v>1</v>
      </c>
      <c r="L493">
        <f t="shared" si="22"/>
        <v>3</v>
      </c>
      <c r="M493">
        <f t="shared" si="23"/>
        <v>4</v>
      </c>
      <c r="O493">
        <f>DATEDIF(Table1[[#This Row],[lead_date]], Table1[[#This Row],[delivery_date]], "d")</f>
        <v>8</v>
      </c>
      <c r="P493" s="5" t="str">
        <f>IF(AND(Table1[[#This Row],[customer_rating]]&gt;=8, Table1[[#This Row],[Tat_day]]&lt;=7, Table1[[#This Row],[lead_type]]="Hot"), "High", "Normal")</f>
        <v>Normal</v>
      </c>
      <c r="Q493" s="5" t="str">
        <f>IF(Table1[[#This Row],[customer_rating]]&gt;=9,"Promoter",IF(Table1[[#This Row],[customer_rating]]&gt;=7,"Passive","Detractor"))</f>
        <v>Detractor</v>
      </c>
      <c r="R493" s="5"/>
    </row>
    <row r="494" spans="1:18">
      <c r="A494" t="s">
        <v>520</v>
      </c>
      <c r="B494" t="s">
        <v>21</v>
      </c>
      <c r="C494" t="s">
        <v>15</v>
      </c>
      <c r="D494" s="5">
        <v>45944</v>
      </c>
      <c r="E494" s="5">
        <v>45947</v>
      </c>
      <c r="F494" s="5">
        <v>45951</v>
      </c>
      <c r="G494" s="5">
        <v>45957</v>
      </c>
      <c r="H494" t="s">
        <v>16</v>
      </c>
      <c r="I494" t="s">
        <v>17</v>
      </c>
      <c r="J494" s="5">
        <v>45967</v>
      </c>
      <c r="K494" s="15">
        <f t="shared" si="24"/>
        <v>3</v>
      </c>
      <c r="L494">
        <f t="shared" si="22"/>
        <v>4</v>
      </c>
      <c r="M494">
        <f t="shared" si="23"/>
        <v>6</v>
      </c>
      <c r="N494">
        <v>3</v>
      </c>
      <c r="O494">
        <f>DATEDIF(Table1[[#This Row],[lead_date]], Table1[[#This Row],[delivery_date]], "d")</f>
        <v>13</v>
      </c>
      <c r="P494" s="5" t="str">
        <f>IF(AND(Table1[[#This Row],[customer_rating]]&gt;=8, Table1[[#This Row],[Tat_day]]&lt;=7, Table1[[#This Row],[lead_type]]="Hot"), "High", "Normal")</f>
        <v>Normal</v>
      </c>
      <c r="Q494" s="5" t="str">
        <f>IF(Table1[[#This Row],[customer_rating]]&gt;=9,"Promoter",IF(Table1[[#This Row],[customer_rating]]&gt;=7,"Passive","Detractor"))</f>
        <v>Detractor</v>
      </c>
      <c r="R494" s="5"/>
    </row>
    <row r="495" spans="1:18">
      <c r="A495" t="s">
        <v>521</v>
      </c>
      <c r="B495" t="s">
        <v>21</v>
      </c>
      <c r="C495" t="s">
        <v>15</v>
      </c>
      <c r="D495" s="5">
        <v>45932</v>
      </c>
      <c r="E495" s="5">
        <v>45934</v>
      </c>
      <c r="F495" s="5">
        <v>45939</v>
      </c>
      <c r="G495" s="5">
        <v>45946</v>
      </c>
      <c r="H495" t="s">
        <v>16</v>
      </c>
      <c r="I495" t="s">
        <v>17</v>
      </c>
      <c r="J495" s="5">
        <v>45963</v>
      </c>
      <c r="K495" s="15">
        <f t="shared" si="24"/>
        <v>2</v>
      </c>
      <c r="L495">
        <f t="shared" si="22"/>
        <v>5</v>
      </c>
      <c r="M495">
        <f t="shared" si="23"/>
        <v>7</v>
      </c>
      <c r="N495">
        <v>1</v>
      </c>
      <c r="O495">
        <f>DATEDIF(Table1[[#This Row],[lead_date]], Table1[[#This Row],[delivery_date]], "d")</f>
        <v>14</v>
      </c>
      <c r="P495" s="5" t="str">
        <f>IF(AND(Table1[[#This Row],[customer_rating]]&gt;=8, Table1[[#This Row],[Tat_day]]&lt;=7, Table1[[#This Row],[lead_type]]="Hot"), "High", "Normal")</f>
        <v>Normal</v>
      </c>
      <c r="Q495" s="5" t="str">
        <f>IF(Table1[[#This Row],[customer_rating]]&gt;=9,"Promoter",IF(Table1[[#This Row],[customer_rating]]&gt;=7,"Passive","Detractor"))</f>
        <v>Detractor</v>
      </c>
      <c r="R495" s="5"/>
    </row>
    <row r="496" spans="1:18">
      <c r="A496" t="s">
        <v>522</v>
      </c>
      <c r="B496" t="s">
        <v>21</v>
      </c>
      <c r="C496" t="s">
        <v>22</v>
      </c>
      <c r="D496" s="5">
        <v>45941</v>
      </c>
      <c r="H496" t="s">
        <v>23</v>
      </c>
      <c r="I496" t="s">
        <v>101</v>
      </c>
      <c r="K496" s="15" t="str">
        <f t="shared" si="24"/>
        <v/>
      </c>
      <c r="L496" t="str">
        <f t="shared" si="22"/>
        <v/>
      </c>
      <c r="M496" t="str">
        <f t="shared" si="23"/>
        <v/>
      </c>
      <c r="O496"/>
      <c r="P496" s="5" t="str">
        <f>IF(AND(Table1[[#This Row],[customer_rating]]&gt;=8, Table1[[#This Row],[Tat_day]]&lt;=7, Table1[[#This Row],[lead_type]]="Hot"), "High", "Normal")</f>
        <v>Normal</v>
      </c>
      <c r="Q496" s="5" t="str">
        <f>IF(Table1[[#This Row],[customer_rating]]&gt;=9,"Promoter",IF(Table1[[#This Row],[customer_rating]]&gt;=7,"Passive","Detractor"))</f>
        <v>Detractor</v>
      </c>
      <c r="R496" s="5"/>
    </row>
    <row r="497" spans="1:18">
      <c r="A497" t="s">
        <v>523</v>
      </c>
      <c r="B497" t="s">
        <v>32</v>
      </c>
      <c r="C497" t="s">
        <v>22</v>
      </c>
      <c r="D497" s="5">
        <v>45954</v>
      </c>
      <c r="H497" t="s">
        <v>23</v>
      </c>
      <c r="I497" t="s">
        <v>63</v>
      </c>
      <c r="K497" s="15" t="str">
        <f t="shared" si="24"/>
        <v/>
      </c>
      <c r="L497" t="str">
        <f t="shared" si="22"/>
        <v/>
      </c>
      <c r="M497" t="str">
        <f t="shared" si="23"/>
        <v/>
      </c>
      <c r="O497"/>
      <c r="P497" s="5" t="str">
        <f>IF(AND(Table1[[#This Row],[customer_rating]]&gt;=8, Table1[[#This Row],[Tat_day]]&lt;=7, Table1[[#This Row],[lead_type]]="Hot"), "High", "Normal")</f>
        <v>Normal</v>
      </c>
      <c r="Q497" s="5" t="str">
        <f>IF(Table1[[#This Row],[customer_rating]]&gt;=9,"Promoter",IF(Table1[[#This Row],[customer_rating]]&gt;=7,"Passive","Detractor"))</f>
        <v>Detractor</v>
      </c>
      <c r="R497" s="5"/>
    </row>
    <row r="498" spans="1:18">
      <c r="A498" t="s">
        <v>524</v>
      </c>
      <c r="B498" t="s">
        <v>19</v>
      </c>
      <c r="C498" t="s">
        <v>22</v>
      </c>
      <c r="D498" s="5">
        <v>45946</v>
      </c>
      <c r="H498" t="s">
        <v>23</v>
      </c>
      <c r="I498" t="s">
        <v>63</v>
      </c>
      <c r="K498" s="15" t="str">
        <f t="shared" si="24"/>
        <v/>
      </c>
      <c r="L498" t="str">
        <f t="shared" si="22"/>
        <v/>
      </c>
      <c r="M498" t="str">
        <f t="shared" si="23"/>
        <v/>
      </c>
      <c r="O498"/>
      <c r="P498" s="5" t="str">
        <f>IF(AND(Table1[[#This Row],[customer_rating]]&gt;=8, Table1[[#This Row],[Tat_day]]&lt;=7, Table1[[#This Row],[lead_type]]="Hot"), "High", "Normal")</f>
        <v>Normal</v>
      </c>
      <c r="Q498" s="5" t="str">
        <f>IF(Table1[[#This Row],[customer_rating]]&gt;=9,"Promoter",IF(Table1[[#This Row],[customer_rating]]&gt;=7,"Passive","Detractor"))</f>
        <v>Detractor</v>
      </c>
      <c r="R498" s="5"/>
    </row>
    <row r="499" spans="1:18">
      <c r="A499" t="s">
        <v>525</v>
      </c>
      <c r="B499" t="s">
        <v>32</v>
      </c>
      <c r="C499" t="s">
        <v>22</v>
      </c>
      <c r="D499" s="5">
        <v>45953</v>
      </c>
      <c r="H499" t="s">
        <v>23</v>
      </c>
      <c r="I499" t="s">
        <v>101</v>
      </c>
      <c r="K499" s="15" t="str">
        <f t="shared" si="24"/>
        <v/>
      </c>
      <c r="L499" t="str">
        <f t="shared" si="22"/>
        <v/>
      </c>
      <c r="M499" t="str">
        <f t="shared" si="23"/>
        <v/>
      </c>
      <c r="O499"/>
      <c r="P499" s="5" t="str">
        <f>IF(AND(Table1[[#This Row],[customer_rating]]&gt;=8, Table1[[#This Row],[Tat_day]]&lt;=7, Table1[[#This Row],[lead_type]]="Hot"), "High", "Normal")</f>
        <v>Normal</v>
      </c>
      <c r="Q499" s="5" t="str">
        <f>IF(Table1[[#This Row],[customer_rating]]&gt;=9,"Promoter",IF(Table1[[#This Row],[customer_rating]]&gt;=7,"Passive","Detractor"))</f>
        <v>Detractor</v>
      </c>
      <c r="R499" s="5"/>
    </row>
    <row r="500" spans="1:18">
      <c r="A500" t="s">
        <v>526</v>
      </c>
      <c r="B500" t="s">
        <v>32</v>
      </c>
      <c r="C500" t="s">
        <v>30</v>
      </c>
      <c r="D500" s="5">
        <v>45960</v>
      </c>
      <c r="E500" s="5">
        <v>45962</v>
      </c>
      <c r="F500" s="5">
        <v>45967</v>
      </c>
      <c r="G500" s="5">
        <v>45970</v>
      </c>
      <c r="H500" t="s">
        <v>16</v>
      </c>
      <c r="I500" t="s">
        <v>17</v>
      </c>
      <c r="J500" s="5">
        <v>45991</v>
      </c>
      <c r="K500" s="15">
        <f t="shared" si="24"/>
        <v>2</v>
      </c>
      <c r="L500">
        <f t="shared" si="22"/>
        <v>5</v>
      </c>
      <c r="M500">
        <f t="shared" si="23"/>
        <v>3</v>
      </c>
      <c r="N500">
        <v>8</v>
      </c>
      <c r="O500">
        <f>DATEDIF(Table1[[#This Row],[lead_date]], Table1[[#This Row],[delivery_date]], "d")</f>
        <v>10</v>
      </c>
      <c r="P500" s="5" t="str">
        <f>IF(AND(Table1[[#This Row],[customer_rating]]&gt;=8, Table1[[#This Row],[Tat_day]]&lt;=7, Table1[[#This Row],[lead_type]]="Hot"), "High", "Normal")</f>
        <v>Normal</v>
      </c>
      <c r="Q500" s="5" t="str">
        <f>IF(Table1[[#This Row],[customer_rating]]&gt;=9,"Promoter",IF(Table1[[#This Row],[customer_rating]]&gt;=7,"Passive","Detractor"))</f>
        <v>Passive</v>
      </c>
      <c r="R500" s="5"/>
    </row>
    <row r="501" spans="1:18">
      <c r="A501" t="s">
        <v>527</v>
      </c>
      <c r="B501" t="s">
        <v>21</v>
      </c>
      <c r="C501" t="s">
        <v>30</v>
      </c>
      <c r="D501" s="5">
        <v>45956</v>
      </c>
      <c r="E501" s="5">
        <v>45961</v>
      </c>
      <c r="F501" s="5">
        <v>45962</v>
      </c>
      <c r="G501" s="5">
        <v>45967</v>
      </c>
      <c r="H501" t="s">
        <v>16</v>
      </c>
      <c r="I501" t="s">
        <v>17</v>
      </c>
      <c r="J501" s="5">
        <v>45992</v>
      </c>
      <c r="K501" s="15">
        <f t="shared" si="24"/>
        <v>5</v>
      </c>
      <c r="L501">
        <f t="shared" si="22"/>
        <v>1</v>
      </c>
      <c r="M501">
        <f t="shared" si="23"/>
        <v>5</v>
      </c>
      <c r="N501">
        <v>7</v>
      </c>
      <c r="O501">
        <f>DATEDIF(Table1[[#This Row],[lead_date]], Table1[[#This Row],[delivery_date]], "d")</f>
        <v>11</v>
      </c>
      <c r="P501" s="5" t="str">
        <f>IF(AND(Table1[[#This Row],[customer_rating]]&gt;=8, Table1[[#This Row],[Tat_day]]&lt;=7, Table1[[#This Row],[lead_type]]="Hot"), "High", "Normal")</f>
        <v>Normal</v>
      </c>
      <c r="Q501" s="5" t="str">
        <f>IF(Table1[[#This Row],[customer_rating]]&gt;=9,"Promoter",IF(Table1[[#This Row],[customer_rating]]&gt;=7,"Passive","Detractor"))</f>
        <v>Passive</v>
      </c>
      <c r="R501" s="5"/>
    </row>
    <row r="502" spans="1:18">
      <c r="A502" t="s">
        <v>528</v>
      </c>
      <c r="B502" t="s">
        <v>21</v>
      </c>
      <c r="C502" t="s">
        <v>15</v>
      </c>
      <c r="D502" s="5">
        <v>45943</v>
      </c>
      <c r="E502" s="5">
        <v>45948</v>
      </c>
      <c r="F502" s="5">
        <v>45949</v>
      </c>
      <c r="G502" s="5">
        <v>45951</v>
      </c>
      <c r="H502" t="s">
        <v>16</v>
      </c>
      <c r="I502" t="s">
        <v>17</v>
      </c>
      <c r="J502" s="5">
        <v>45980</v>
      </c>
      <c r="K502" s="15">
        <f t="shared" si="24"/>
        <v>5</v>
      </c>
      <c r="L502">
        <f t="shared" si="22"/>
        <v>1</v>
      </c>
      <c r="M502">
        <f t="shared" si="23"/>
        <v>2</v>
      </c>
      <c r="N502">
        <v>9</v>
      </c>
      <c r="O502">
        <f>DATEDIF(Table1[[#This Row],[lead_date]], Table1[[#This Row],[delivery_date]], "d")</f>
        <v>8</v>
      </c>
      <c r="P502" s="5" t="str">
        <f>IF(AND(Table1[[#This Row],[customer_rating]]&gt;=8, Table1[[#This Row],[Tat_day]]&lt;=7, Table1[[#This Row],[lead_type]]="Hot"), "High", "Normal")</f>
        <v>Normal</v>
      </c>
      <c r="Q502" s="5" t="str">
        <f>IF(Table1[[#This Row],[customer_rating]]&gt;=9,"Promoter",IF(Table1[[#This Row],[customer_rating]]&gt;=7,"Passive","Detractor"))</f>
        <v>Promoter</v>
      </c>
      <c r="R502" s="5"/>
    </row>
    <row r="503" spans="1:18">
      <c r="A503" t="s">
        <v>529</v>
      </c>
      <c r="B503" t="s">
        <v>14</v>
      </c>
      <c r="C503" t="s">
        <v>30</v>
      </c>
      <c r="D503" s="5">
        <v>45943</v>
      </c>
      <c r="E503" s="5">
        <v>45948</v>
      </c>
      <c r="F503" s="5">
        <v>45950</v>
      </c>
      <c r="G503" s="5">
        <v>45952</v>
      </c>
      <c r="H503" t="s">
        <v>16</v>
      </c>
      <c r="I503" t="s">
        <v>17</v>
      </c>
      <c r="J503" s="5">
        <v>45976</v>
      </c>
      <c r="K503" s="15">
        <f t="shared" si="24"/>
        <v>5</v>
      </c>
      <c r="L503">
        <f t="shared" si="22"/>
        <v>2</v>
      </c>
      <c r="M503">
        <f t="shared" si="23"/>
        <v>2</v>
      </c>
      <c r="N503">
        <v>4</v>
      </c>
      <c r="O503">
        <f>DATEDIF(Table1[[#This Row],[lead_date]], Table1[[#This Row],[delivery_date]], "d")</f>
        <v>9</v>
      </c>
      <c r="P503" s="5" t="str">
        <f>IF(AND(Table1[[#This Row],[customer_rating]]&gt;=8, Table1[[#This Row],[Tat_day]]&lt;=7, Table1[[#This Row],[lead_type]]="Hot"), "High", "Normal")</f>
        <v>Normal</v>
      </c>
      <c r="Q503" s="5" t="str">
        <f>IF(Table1[[#This Row],[customer_rating]]&gt;=9,"Promoter",IF(Table1[[#This Row],[customer_rating]]&gt;=7,"Passive","Detractor"))</f>
        <v>Detractor</v>
      </c>
      <c r="R503" s="5"/>
    </row>
    <row r="504" spans="1:18">
      <c r="A504" t="s">
        <v>530</v>
      </c>
      <c r="B504" t="s">
        <v>14</v>
      </c>
      <c r="C504" t="s">
        <v>15</v>
      </c>
      <c r="D504" s="5">
        <v>45952</v>
      </c>
      <c r="E504" s="5">
        <v>45956</v>
      </c>
      <c r="F504" s="5">
        <v>45961</v>
      </c>
      <c r="G504" s="5">
        <v>45967</v>
      </c>
      <c r="H504" t="s">
        <v>16</v>
      </c>
      <c r="I504" t="s">
        <v>17</v>
      </c>
      <c r="J504" s="5">
        <v>45982</v>
      </c>
      <c r="K504" s="15">
        <f t="shared" si="24"/>
        <v>4</v>
      </c>
      <c r="L504">
        <f t="shared" si="22"/>
        <v>5</v>
      </c>
      <c r="M504">
        <f t="shared" si="23"/>
        <v>6</v>
      </c>
      <c r="N504">
        <v>5</v>
      </c>
      <c r="O504">
        <f>DATEDIF(Table1[[#This Row],[lead_date]], Table1[[#This Row],[delivery_date]], "d")</f>
        <v>15</v>
      </c>
      <c r="P504" s="5" t="str">
        <f>IF(AND(Table1[[#This Row],[customer_rating]]&gt;=8, Table1[[#This Row],[Tat_day]]&lt;=7, Table1[[#This Row],[lead_type]]="Hot"), "High", "Normal")</f>
        <v>Normal</v>
      </c>
      <c r="Q504" s="5" t="str">
        <f>IF(Table1[[#This Row],[customer_rating]]&gt;=9,"Promoter",IF(Table1[[#This Row],[customer_rating]]&gt;=7,"Passive","Detractor"))</f>
        <v>Detractor</v>
      </c>
      <c r="R504" s="5"/>
    </row>
    <row r="505" spans="1:18">
      <c r="A505" t="s">
        <v>531</v>
      </c>
      <c r="B505" t="s">
        <v>32</v>
      </c>
      <c r="C505" t="s">
        <v>15</v>
      </c>
      <c r="D505" s="5">
        <v>45956</v>
      </c>
      <c r="E505" s="5">
        <v>45957</v>
      </c>
      <c r="F505" s="5">
        <v>45962</v>
      </c>
      <c r="G505" s="5">
        <v>45964</v>
      </c>
      <c r="H505" t="s">
        <v>16</v>
      </c>
      <c r="I505" t="s">
        <v>17</v>
      </c>
      <c r="J505" s="5">
        <v>45989</v>
      </c>
      <c r="K505" s="15">
        <f t="shared" si="24"/>
        <v>1</v>
      </c>
      <c r="L505">
        <f t="shared" si="22"/>
        <v>5</v>
      </c>
      <c r="M505">
        <f t="shared" si="23"/>
        <v>2</v>
      </c>
      <c r="N505">
        <v>10</v>
      </c>
      <c r="O505">
        <f>DATEDIF(Table1[[#This Row],[lead_date]], Table1[[#This Row],[delivery_date]], "d")</f>
        <v>8</v>
      </c>
      <c r="P505" s="5" t="str">
        <f>IF(AND(Table1[[#This Row],[customer_rating]]&gt;=8, Table1[[#This Row],[Tat_day]]&lt;=7, Table1[[#This Row],[lead_type]]="Hot"), "High", "Normal")</f>
        <v>Normal</v>
      </c>
      <c r="Q505" s="5" t="str">
        <f>IF(Table1[[#This Row],[customer_rating]]&gt;=9,"Promoter",IF(Table1[[#This Row],[customer_rating]]&gt;=7,"Passive","Detractor"))</f>
        <v>Promoter</v>
      </c>
      <c r="R505" s="5"/>
    </row>
    <row r="506" spans="1:18">
      <c r="A506" t="s">
        <v>532</v>
      </c>
      <c r="B506" t="s">
        <v>19</v>
      </c>
      <c r="C506" t="s">
        <v>15</v>
      </c>
      <c r="D506" s="5">
        <v>45957</v>
      </c>
      <c r="E506" s="5">
        <v>45960</v>
      </c>
      <c r="F506" s="5">
        <v>45962</v>
      </c>
      <c r="G506" s="5">
        <v>45964</v>
      </c>
      <c r="H506" t="s">
        <v>16</v>
      </c>
      <c r="I506" t="s">
        <v>17</v>
      </c>
      <c r="J506" s="5">
        <v>45992</v>
      </c>
      <c r="K506" s="15">
        <f t="shared" si="24"/>
        <v>3</v>
      </c>
      <c r="L506">
        <f t="shared" si="22"/>
        <v>2</v>
      </c>
      <c r="M506">
        <f t="shared" si="23"/>
        <v>2</v>
      </c>
      <c r="N506">
        <v>1</v>
      </c>
      <c r="O506">
        <f>DATEDIF(Table1[[#This Row],[lead_date]], Table1[[#This Row],[delivery_date]], "d")</f>
        <v>7</v>
      </c>
      <c r="P506" s="5" t="str">
        <f>IF(AND(Table1[[#This Row],[customer_rating]]&gt;=8, Table1[[#This Row],[Tat_day]]&lt;=7, Table1[[#This Row],[lead_type]]="Hot"), "High", "Normal")</f>
        <v>Normal</v>
      </c>
      <c r="Q506" s="5" t="str">
        <f>IF(Table1[[#This Row],[customer_rating]]&gt;=9,"Promoter",IF(Table1[[#This Row],[customer_rating]]&gt;=7,"Passive","Detractor"))</f>
        <v>Detractor</v>
      </c>
      <c r="R506" s="5"/>
    </row>
    <row r="507" spans="1:18">
      <c r="A507" t="s">
        <v>533</v>
      </c>
      <c r="B507" t="s">
        <v>21</v>
      </c>
      <c r="C507" t="s">
        <v>15</v>
      </c>
      <c r="D507" s="5">
        <v>45951</v>
      </c>
      <c r="E507" s="5">
        <v>45953</v>
      </c>
      <c r="F507" s="5">
        <v>45957</v>
      </c>
      <c r="G507" s="5">
        <v>45961</v>
      </c>
      <c r="H507" t="s">
        <v>16</v>
      </c>
      <c r="I507" t="s">
        <v>17</v>
      </c>
      <c r="J507" s="5">
        <v>45988</v>
      </c>
      <c r="K507" s="15">
        <f t="shared" si="24"/>
        <v>2</v>
      </c>
      <c r="L507">
        <f t="shared" si="22"/>
        <v>4</v>
      </c>
      <c r="M507">
        <f t="shared" si="23"/>
        <v>4</v>
      </c>
      <c r="N507">
        <v>10</v>
      </c>
      <c r="O507">
        <f>DATEDIF(Table1[[#This Row],[lead_date]], Table1[[#This Row],[delivery_date]], "d")</f>
        <v>10</v>
      </c>
      <c r="P507" s="5" t="str">
        <f>IF(AND(Table1[[#This Row],[customer_rating]]&gt;=8, Table1[[#This Row],[Tat_day]]&lt;=7, Table1[[#This Row],[lead_type]]="Hot"), "High", "Normal")</f>
        <v>Normal</v>
      </c>
      <c r="Q507" s="5" t="str">
        <f>IF(Table1[[#This Row],[customer_rating]]&gt;=9,"Promoter",IF(Table1[[#This Row],[customer_rating]]&gt;=7,"Passive","Detractor"))</f>
        <v>Promoter</v>
      </c>
      <c r="R507" s="5"/>
    </row>
    <row r="508" spans="1:18">
      <c r="A508" t="s">
        <v>534</v>
      </c>
      <c r="B508" t="s">
        <v>21</v>
      </c>
      <c r="C508" t="s">
        <v>15</v>
      </c>
      <c r="D508" s="5">
        <v>45935</v>
      </c>
      <c r="E508" s="5">
        <v>45938</v>
      </c>
      <c r="F508" s="5">
        <v>45940</v>
      </c>
      <c r="G508" s="5">
        <v>45943</v>
      </c>
      <c r="H508" t="s">
        <v>16</v>
      </c>
      <c r="I508" t="s">
        <v>17</v>
      </c>
      <c r="J508" s="5">
        <v>45964</v>
      </c>
      <c r="K508" s="15">
        <f t="shared" si="24"/>
        <v>3</v>
      </c>
      <c r="L508">
        <f t="shared" si="22"/>
        <v>2</v>
      </c>
      <c r="M508">
        <f t="shared" si="23"/>
        <v>3</v>
      </c>
      <c r="N508">
        <v>5</v>
      </c>
      <c r="O508">
        <f>DATEDIF(Table1[[#This Row],[lead_date]], Table1[[#This Row],[delivery_date]], "d")</f>
        <v>8</v>
      </c>
      <c r="P508" s="5" t="str">
        <f>IF(AND(Table1[[#This Row],[customer_rating]]&gt;=8, Table1[[#This Row],[Tat_day]]&lt;=7, Table1[[#This Row],[lead_type]]="Hot"), "High", "Normal")</f>
        <v>Normal</v>
      </c>
      <c r="Q508" s="5" t="str">
        <f>IF(Table1[[#This Row],[customer_rating]]&gt;=9,"Promoter",IF(Table1[[#This Row],[customer_rating]]&gt;=7,"Passive","Detractor"))</f>
        <v>Detractor</v>
      </c>
      <c r="R508" s="5"/>
    </row>
    <row r="509" spans="1:18">
      <c r="A509" t="s">
        <v>535</v>
      </c>
      <c r="B509" t="s">
        <v>32</v>
      </c>
      <c r="C509" t="s">
        <v>15</v>
      </c>
      <c r="D509" s="5">
        <v>45946</v>
      </c>
      <c r="E509" s="5">
        <v>45947</v>
      </c>
      <c r="F509" s="5">
        <v>45950</v>
      </c>
      <c r="G509" s="5">
        <v>45952</v>
      </c>
      <c r="H509" t="s">
        <v>16</v>
      </c>
      <c r="I509" t="s">
        <v>17</v>
      </c>
      <c r="J509" s="5">
        <v>45973</v>
      </c>
      <c r="K509" s="15">
        <f t="shared" si="24"/>
        <v>1</v>
      </c>
      <c r="L509">
        <f t="shared" si="22"/>
        <v>3</v>
      </c>
      <c r="M509">
        <f t="shared" si="23"/>
        <v>2</v>
      </c>
      <c r="N509">
        <v>5</v>
      </c>
      <c r="O509">
        <f>DATEDIF(Table1[[#This Row],[lead_date]], Table1[[#This Row],[delivery_date]], "d")</f>
        <v>6</v>
      </c>
      <c r="P509" s="5" t="str">
        <f>IF(AND(Table1[[#This Row],[customer_rating]]&gt;=8, Table1[[#This Row],[Tat_day]]&lt;=7, Table1[[#This Row],[lead_type]]="Hot"), "High", "Normal")</f>
        <v>Normal</v>
      </c>
      <c r="Q509" s="5" t="str">
        <f>IF(Table1[[#This Row],[customer_rating]]&gt;=9,"Promoter",IF(Table1[[#This Row],[customer_rating]]&gt;=7,"Passive","Detractor"))</f>
        <v>Detractor</v>
      </c>
      <c r="R509" s="5"/>
    </row>
    <row r="510" spans="1:18">
      <c r="A510" t="s">
        <v>536</v>
      </c>
      <c r="B510" t="s">
        <v>14</v>
      </c>
      <c r="C510" t="s">
        <v>22</v>
      </c>
      <c r="D510" s="5">
        <v>45961</v>
      </c>
      <c r="H510" t="s">
        <v>23</v>
      </c>
      <c r="I510" t="s">
        <v>63</v>
      </c>
      <c r="K510" s="15" t="str">
        <f t="shared" si="24"/>
        <v/>
      </c>
      <c r="L510" t="str">
        <f t="shared" si="22"/>
        <v/>
      </c>
      <c r="M510" t="str">
        <f t="shared" si="23"/>
        <v/>
      </c>
      <c r="O510"/>
      <c r="P510" s="5" t="str">
        <f>IF(AND(Table1[[#This Row],[customer_rating]]&gt;=8, Table1[[#This Row],[Tat_day]]&lt;=7, Table1[[#This Row],[lead_type]]="Hot"), "High", "Normal")</f>
        <v>Normal</v>
      </c>
      <c r="Q510" s="5" t="str">
        <f>IF(Table1[[#This Row],[customer_rating]]&gt;=9,"Promoter",IF(Table1[[#This Row],[customer_rating]]&gt;=7,"Passive","Detractor"))</f>
        <v>Detractor</v>
      </c>
      <c r="R510" s="5"/>
    </row>
    <row r="511" spans="1:18">
      <c r="A511" t="s">
        <v>537</v>
      </c>
      <c r="B511" t="s">
        <v>19</v>
      </c>
      <c r="C511" t="s">
        <v>15</v>
      </c>
      <c r="D511" s="5">
        <v>45932</v>
      </c>
      <c r="E511" s="5">
        <v>45933</v>
      </c>
      <c r="F511" s="5">
        <v>45936</v>
      </c>
      <c r="G511" s="5">
        <v>45938</v>
      </c>
      <c r="H511" t="s">
        <v>16</v>
      </c>
      <c r="I511" t="s">
        <v>17</v>
      </c>
      <c r="J511" s="5">
        <v>45953</v>
      </c>
      <c r="K511" s="15">
        <f t="shared" si="24"/>
        <v>1</v>
      </c>
      <c r="L511">
        <f t="shared" si="22"/>
        <v>3</v>
      </c>
      <c r="M511">
        <f t="shared" si="23"/>
        <v>2</v>
      </c>
      <c r="N511">
        <v>7</v>
      </c>
      <c r="O511">
        <f>DATEDIF(Table1[[#This Row],[lead_date]], Table1[[#This Row],[delivery_date]], "d")</f>
        <v>6</v>
      </c>
      <c r="P511" s="5" t="str">
        <f>IF(AND(Table1[[#This Row],[customer_rating]]&gt;=8, Table1[[#This Row],[Tat_day]]&lt;=7, Table1[[#This Row],[lead_type]]="Hot"), "High", "Normal")</f>
        <v>Normal</v>
      </c>
      <c r="Q511" s="5" t="str">
        <f>IF(Table1[[#This Row],[customer_rating]]&gt;=9,"Promoter",IF(Table1[[#This Row],[customer_rating]]&gt;=7,"Passive","Detractor"))</f>
        <v>Passive</v>
      </c>
      <c r="R511" s="5"/>
    </row>
    <row r="512" spans="1:18">
      <c r="A512" t="s">
        <v>538</v>
      </c>
      <c r="B512" t="s">
        <v>14</v>
      </c>
      <c r="C512" t="s">
        <v>22</v>
      </c>
      <c r="D512" s="5">
        <v>45935</v>
      </c>
      <c r="H512" t="s">
        <v>23</v>
      </c>
      <c r="I512" t="s">
        <v>33</v>
      </c>
      <c r="K512" s="15" t="str">
        <f t="shared" si="24"/>
        <v/>
      </c>
      <c r="L512" t="str">
        <f t="shared" si="22"/>
        <v/>
      </c>
      <c r="M512" t="str">
        <f t="shared" si="23"/>
        <v/>
      </c>
      <c r="O512"/>
      <c r="P512" s="5" t="str">
        <f>IF(AND(Table1[[#This Row],[customer_rating]]&gt;=8, Table1[[#This Row],[Tat_day]]&lt;=7, Table1[[#This Row],[lead_type]]="Hot"), "High", "Normal")</f>
        <v>Normal</v>
      </c>
      <c r="Q512" s="5" t="str">
        <f>IF(Table1[[#This Row],[customer_rating]]&gt;=9,"Promoter",IF(Table1[[#This Row],[customer_rating]]&gt;=7,"Passive","Detractor"))</f>
        <v>Detractor</v>
      </c>
      <c r="R512" s="5"/>
    </row>
    <row r="513" spans="1:18">
      <c r="A513" t="s">
        <v>539</v>
      </c>
      <c r="B513" t="s">
        <v>14</v>
      </c>
      <c r="C513" t="s">
        <v>30</v>
      </c>
      <c r="D513" s="5">
        <v>45947</v>
      </c>
      <c r="E513" s="5">
        <v>45949</v>
      </c>
      <c r="F513" s="5">
        <v>45950</v>
      </c>
      <c r="G513" s="5">
        <v>45955</v>
      </c>
      <c r="H513" t="s">
        <v>16</v>
      </c>
      <c r="I513" t="s">
        <v>17</v>
      </c>
      <c r="J513" s="5">
        <v>45973</v>
      </c>
      <c r="K513" s="15">
        <f t="shared" si="24"/>
        <v>2</v>
      </c>
      <c r="L513">
        <f t="shared" si="22"/>
        <v>1</v>
      </c>
      <c r="M513">
        <f t="shared" si="23"/>
        <v>5</v>
      </c>
      <c r="N513">
        <v>7</v>
      </c>
      <c r="O513">
        <f>DATEDIF(Table1[[#This Row],[lead_date]], Table1[[#This Row],[delivery_date]], "d")</f>
        <v>8</v>
      </c>
      <c r="P513" s="5" t="str">
        <f>IF(AND(Table1[[#This Row],[customer_rating]]&gt;=8, Table1[[#This Row],[Tat_day]]&lt;=7, Table1[[#This Row],[lead_type]]="Hot"), "High", "Normal")</f>
        <v>Normal</v>
      </c>
      <c r="Q513" s="5" t="str">
        <f>IF(Table1[[#This Row],[customer_rating]]&gt;=9,"Promoter",IF(Table1[[#This Row],[customer_rating]]&gt;=7,"Passive","Detractor"))</f>
        <v>Passive</v>
      </c>
      <c r="R513" s="5"/>
    </row>
    <row r="514" spans="1:18">
      <c r="A514" t="s">
        <v>540</v>
      </c>
      <c r="B514" t="s">
        <v>14</v>
      </c>
      <c r="C514" t="s">
        <v>22</v>
      </c>
      <c r="D514" s="5">
        <v>45961</v>
      </c>
      <c r="H514" t="s">
        <v>23</v>
      </c>
      <c r="I514" t="s">
        <v>24</v>
      </c>
      <c r="K514" s="15" t="str">
        <f t="shared" si="24"/>
        <v/>
      </c>
      <c r="L514" t="str">
        <f t="shared" si="22"/>
        <v/>
      </c>
      <c r="M514" t="str">
        <f t="shared" si="23"/>
        <v/>
      </c>
      <c r="O514"/>
      <c r="P514" s="5" t="str">
        <f>IF(AND(Table1[[#This Row],[customer_rating]]&gt;=8, Table1[[#This Row],[Tat_day]]&lt;=7, Table1[[#This Row],[lead_type]]="Hot"), "High", "Normal")</f>
        <v>Normal</v>
      </c>
      <c r="Q514" s="5" t="str">
        <f>IF(Table1[[#This Row],[customer_rating]]&gt;=9,"Promoter",IF(Table1[[#This Row],[customer_rating]]&gt;=7,"Passive","Detractor"))</f>
        <v>Detractor</v>
      </c>
      <c r="R514" s="5"/>
    </row>
    <row r="515" spans="1:18">
      <c r="A515" t="s">
        <v>541</v>
      </c>
      <c r="B515" t="s">
        <v>14</v>
      </c>
      <c r="C515" t="s">
        <v>15</v>
      </c>
      <c r="D515" s="5">
        <v>45949</v>
      </c>
      <c r="E515" s="5">
        <v>45953</v>
      </c>
      <c r="F515" s="5">
        <v>45955</v>
      </c>
      <c r="G515" s="5">
        <v>45961</v>
      </c>
      <c r="H515" t="s">
        <v>16</v>
      </c>
      <c r="I515" t="s">
        <v>17</v>
      </c>
      <c r="J515" s="5">
        <v>45973</v>
      </c>
      <c r="K515" s="15">
        <f t="shared" si="24"/>
        <v>4</v>
      </c>
      <c r="L515">
        <f t="shared" ref="L515:L578" si="25">IF(OR(E515="", F515=""), "", INT(F515 - E515))</f>
        <v>2</v>
      </c>
      <c r="M515">
        <f t="shared" ref="M515:M578" si="26">IF(OR(F515="", G515=""), "", INT(G515 - F515))</f>
        <v>6</v>
      </c>
      <c r="N515">
        <v>3</v>
      </c>
      <c r="O515">
        <f>DATEDIF(Table1[[#This Row],[lead_date]], Table1[[#This Row],[delivery_date]], "d")</f>
        <v>12</v>
      </c>
      <c r="P515" s="5" t="str">
        <f>IF(AND(Table1[[#This Row],[customer_rating]]&gt;=8, Table1[[#This Row],[Tat_day]]&lt;=7, Table1[[#This Row],[lead_type]]="Hot"), "High", "Normal")</f>
        <v>Normal</v>
      </c>
      <c r="Q515" s="5" t="str">
        <f>IF(Table1[[#This Row],[customer_rating]]&gt;=9,"Promoter",IF(Table1[[#This Row],[customer_rating]]&gt;=7,"Passive","Detractor"))</f>
        <v>Detractor</v>
      </c>
      <c r="R515" s="5"/>
    </row>
    <row r="516" spans="1:18">
      <c r="A516" t="s">
        <v>542</v>
      </c>
      <c r="B516" t="s">
        <v>21</v>
      </c>
      <c r="C516" t="s">
        <v>15</v>
      </c>
      <c r="D516" s="5">
        <v>45941</v>
      </c>
      <c r="E516" s="5">
        <v>45946</v>
      </c>
      <c r="F516" s="5">
        <v>45948</v>
      </c>
      <c r="G516" s="5">
        <v>45952</v>
      </c>
      <c r="H516" t="s">
        <v>16</v>
      </c>
      <c r="I516" t="s">
        <v>17</v>
      </c>
      <c r="J516" s="5">
        <v>45971</v>
      </c>
      <c r="K516" s="15">
        <f t="shared" si="24"/>
        <v>5</v>
      </c>
      <c r="L516">
        <f t="shared" si="25"/>
        <v>2</v>
      </c>
      <c r="M516">
        <f t="shared" si="26"/>
        <v>4</v>
      </c>
      <c r="N516">
        <v>5</v>
      </c>
      <c r="O516">
        <f>DATEDIF(Table1[[#This Row],[lead_date]], Table1[[#This Row],[delivery_date]], "d")</f>
        <v>11</v>
      </c>
      <c r="P516" s="5" t="str">
        <f>IF(AND(Table1[[#This Row],[customer_rating]]&gt;=8, Table1[[#This Row],[Tat_day]]&lt;=7, Table1[[#This Row],[lead_type]]="Hot"), "High", "Normal")</f>
        <v>Normal</v>
      </c>
      <c r="Q516" s="5" t="str">
        <f>IF(Table1[[#This Row],[customer_rating]]&gt;=9,"Promoter",IF(Table1[[#This Row],[customer_rating]]&gt;=7,"Passive","Detractor"))</f>
        <v>Detractor</v>
      </c>
      <c r="R516" s="5"/>
    </row>
    <row r="517" spans="1:18">
      <c r="A517" t="s">
        <v>543</v>
      </c>
      <c r="B517" t="s">
        <v>21</v>
      </c>
      <c r="C517" t="s">
        <v>30</v>
      </c>
      <c r="D517" s="5">
        <v>45958</v>
      </c>
      <c r="E517" s="5">
        <v>45962</v>
      </c>
      <c r="F517" s="5">
        <v>45963</v>
      </c>
      <c r="G517" s="5">
        <v>45970</v>
      </c>
      <c r="H517" t="s">
        <v>23</v>
      </c>
      <c r="I517" t="s">
        <v>24</v>
      </c>
      <c r="K517" s="15">
        <f t="shared" si="24"/>
        <v>4</v>
      </c>
      <c r="L517">
        <f t="shared" si="25"/>
        <v>1</v>
      </c>
      <c r="M517">
        <f t="shared" si="26"/>
        <v>7</v>
      </c>
      <c r="O517">
        <f>DATEDIF(Table1[[#This Row],[lead_date]], Table1[[#This Row],[delivery_date]], "d")</f>
        <v>12</v>
      </c>
      <c r="P517" s="5" t="str">
        <f>IF(AND(Table1[[#This Row],[customer_rating]]&gt;=8, Table1[[#This Row],[Tat_day]]&lt;=7, Table1[[#This Row],[lead_type]]="Hot"), "High", "Normal")</f>
        <v>Normal</v>
      </c>
      <c r="Q517" s="5" t="str">
        <f>IF(Table1[[#This Row],[customer_rating]]&gt;=9,"Promoter",IF(Table1[[#This Row],[customer_rating]]&gt;=7,"Passive","Detractor"))</f>
        <v>Detractor</v>
      </c>
      <c r="R517" s="5"/>
    </row>
    <row r="518" spans="1:18">
      <c r="A518" t="s">
        <v>544</v>
      </c>
      <c r="B518" t="s">
        <v>14</v>
      </c>
      <c r="C518" t="s">
        <v>15</v>
      </c>
      <c r="D518" s="5">
        <v>45934</v>
      </c>
      <c r="E518" s="5">
        <v>45935</v>
      </c>
      <c r="F518" s="5">
        <v>45939</v>
      </c>
      <c r="G518" s="5">
        <v>45946</v>
      </c>
      <c r="H518" t="s">
        <v>16</v>
      </c>
      <c r="I518" t="s">
        <v>17</v>
      </c>
      <c r="J518" s="5">
        <v>45956</v>
      </c>
      <c r="K518" s="15">
        <f t="shared" si="24"/>
        <v>1</v>
      </c>
      <c r="L518">
        <f t="shared" si="25"/>
        <v>4</v>
      </c>
      <c r="M518">
        <f t="shared" si="26"/>
        <v>7</v>
      </c>
      <c r="N518">
        <v>2</v>
      </c>
      <c r="O518">
        <f>DATEDIF(Table1[[#This Row],[lead_date]], Table1[[#This Row],[delivery_date]], "d")</f>
        <v>12</v>
      </c>
      <c r="P518" s="5" t="str">
        <f>IF(AND(Table1[[#This Row],[customer_rating]]&gt;=8, Table1[[#This Row],[Tat_day]]&lt;=7, Table1[[#This Row],[lead_type]]="Hot"), "High", "Normal")</f>
        <v>Normal</v>
      </c>
      <c r="Q518" s="5" t="str">
        <f>IF(Table1[[#This Row],[customer_rating]]&gt;=9,"Promoter",IF(Table1[[#This Row],[customer_rating]]&gt;=7,"Passive","Detractor"))</f>
        <v>Detractor</v>
      </c>
      <c r="R518" s="5"/>
    </row>
    <row r="519" spans="1:18">
      <c r="A519" t="s">
        <v>545</v>
      </c>
      <c r="B519" t="s">
        <v>19</v>
      </c>
      <c r="C519" t="s">
        <v>30</v>
      </c>
      <c r="D519" s="5">
        <v>45958</v>
      </c>
      <c r="E519" s="5">
        <v>45959</v>
      </c>
      <c r="F519" s="5">
        <v>45961</v>
      </c>
      <c r="G519" s="5">
        <v>45967</v>
      </c>
      <c r="H519" t="s">
        <v>16</v>
      </c>
      <c r="I519" t="s">
        <v>17</v>
      </c>
      <c r="J519" s="5">
        <v>45989</v>
      </c>
      <c r="K519" s="15">
        <f t="shared" si="24"/>
        <v>1</v>
      </c>
      <c r="L519">
        <f t="shared" si="25"/>
        <v>2</v>
      </c>
      <c r="M519">
        <f t="shared" si="26"/>
        <v>6</v>
      </c>
      <c r="N519">
        <v>1</v>
      </c>
      <c r="O519">
        <f>DATEDIF(Table1[[#This Row],[lead_date]], Table1[[#This Row],[delivery_date]], "d")</f>
        <v>9</v>
      </c>
      <c r="P519" s="5" t="str">
        <f>IF(AND(Table1[[#This Row],[customer_rating]]&gt;=8, Table1[[#This Row],[Tat_day]]&lt;=7, Table1[[#This Row],[lead_type]]="Hot"), "High", "Normal")</f>
        <v>Normal</v>
      </c>
      <c r="Q519" s="5" t="str">
        <f>IF(Table1[[#This Row],[customer_rating]]&gt;=9,"Promoter",IF(Table1[[#This Row],[customer_rating]]&gt;=7,"Passive","Detractor"))</f>
        <v>Detractor</v>
      </c>
      <c r="R519" s="5"/>
    </row>
    <row r="520" spans="1:18">
      <c r="A520" t="s">
        <v>546</v>
      </c>
      <c r="B520" t="s">
        <v>32</v>
      </c>
      <c r="C520" t="s">
        <v>30</v>
      </c>
      <c r="D520" s="5">
        <v>45958</v>
      </c>
      <c r="E520" s="5">
        <v>45962</v>
      </c>
      <c r="F520" s="5">
        <v>45967</v>
      </c>
      <c r="G520" s="5">
        <v>45972</v>
      </c>
      <c r="H520" t="s">
        <v>16</v>
      </c>
      <c r="I520" t="s">
        <v>17</v>
      </c>
      <c r="J520" s="5">
        <v>45983</v>
      </c>
      <c r="K520" s="15">
        <f t="shared" si="24"/>
        <v>4</v>
      </c>
      <c r="L520">
        <f t="shared" si="25"/>
        <v>5</v>
      </c>
      <c r="M520">
        <f t="shared" si="26"/>
        <v>5</v>
      </c>
      <c r="N520">
        <v>10</v>
      </c>
      <c r="O520">
        <f>DATEDIF(Table1[[#This Row],[lead_date]], Table1[[#This Row],[delivery_date]], "d")</f>
        <v>14</v>
      </c>
      <c r="P520" s="5" t="str">
        <f>IF(AND(Table1[[#This Row],[customer_rating]]&gt;=8, Table1[[#This Row],[Tat_day]]&lt;=7, Table1[[#This Row],[lead_type]]="Hot"), "High", "Normal")</f>
        <v>Normal</v>
      </c>
      <c r="Q520" s="5" t="str">
        <f>IF(Table1[[#This Row],[customer_rating]]&gt;=9,"Promoter",IF(Table1[[#This Row],[customer_rating]]&gt;=7,"Passive","Detractor"))</f>
        <v>Promoter</v>
      </c>
      <c r="R520" s="5"/>
    </row>
    <row r="521" spans="1:18">
      <c r="A521" t="s">
        <v>547</v>
      </c>
      <c r="B521" t="s">
        <v>19</v>
      </c>
      <c r="C521" t="s">
        <v>15</v>
      </c>
      <c r="D521" s="5">
        <v>45945</v>
      </c>
      <c r="E521" s="5">
        <v>45950</v>
      </c>
      <c r="F521" s="5">
        <v>45952</v>
      </c>
      <c r="G521" s="5">
        <v>45957</v>
      </c>
      <c r="H521" t="s">
        <v>16</v>
      </c>
      <c r="I521" t="s">
        <v>17</v>
      </c>
      <c r="J521" s="5">
        <v>45972</v>
      </c>
      <c r="K521" s="15">
        <f t="shared" ref="K521:K584" si="27">IF(OR(D521="",E521=""),"",INT(E521-D521))</f>
        <v>5</v>
      </c>
      <c r="L521">
        <f t="shared" si="25"/>
        <v>2</v>
      </c>
      <c r="M521">
        <f t="shared" si="26"/>
        <v>5</v>
      </c>
      <c r="N521">
        <v>6</v>
      </c>
      <c r="O521">
        <f>DATEDIF(Table1[[#This Row],[lead_date]], Table1[[#This Row],[delivery_date]], "d")</f>
        <v>12</v>
      </c>
      <c r="P521" s="5" t="str">
        <f>IF(AND(Table1[[#This Row],[customer_rating]]&gt;=8, Table1[[#This Row],[Tat_day]]&lt;=7, Table1[[#This Row],[lead_type]]="Hot"), "High", "Normal")</f>
        <v>Normal</v>
      </c>
      <c r="Q521" s="5" t="str">
        <f>IF(Table1[[#This Row],[customer_rating]]&gt;=9,"Promoter",IF(Table1[[#This Row],[customer_rating]]&gt;=7,"Passive","Detractor"))</f>
        <v>Detractor</v>
      </c>
      <c r="R521" s="5"/>
    </row>
    <row r="522" spans="1:18">
      <c r="A522" t="s">
        <v>548</v>
      </c>
      <c r="B522" t="s">
        <v>19</v>
      </c>
      <c r="C522" t="s">
        <v>15</v>
      </c>
      <c r="D522" s="5">
        <v>45934</v>
      </c>
      <c r="E522" s="5">
        <v>45939</v>
      </c>
      <c r="F522" s="5">
        <v>45943</v>
      </c>
      <c r="G522" s="5">
        <v>45950</v>
      </c>
      <c r="H522" t="s">
        <v>16</v>
      </c>
      <c r="I522" t="s">
        <v>17</v>
      </c>
      <c r="J522" s="5">
        <v>45978</v>
      </c>
      <c r="K522" s="15">
        <f t="shared" si="27"/>
        <v>5</v>
      </c>
      <c r="L522">
        <f t="shared" si="25"/>
        <v>4</v>
      </c>
      <c r="M522">
        <f t="shared" si="26"/>
        <v>7</v>
      </c>
      <c r="N522">
        <v>7</v>
      </c>
      <c r="O522">
        <f>DATEDIF(Table1[[#This Row],[lead_date]], Table1[[#This Row],[delivery_date]], "d")</f>
        <v>16</v>
      </c>
      <c r="P522" s="5" t="str">
        <f>IF(AND(Table1[[#This Row],[customer_rating]]&gt;=8, Table1[[#This Row],[Tat_day]]&lt;=7, Table1[[#This Row],[lead_type]]="Hot"), "High", "Normal")</f>
        <v>Normal</v>
      </c>
      <c r="Q522" s="5" t="str">
        <f>IF(Table1[[#This Row],[customer_rating]]&gt;=9,"Promoter",IF(Table1[[#This Row],[customer_rating]]&gt;=7,"Passive","Detractor"))</f>
        <v>Passive</v>
      </c>
      <c r="R522" s="5"/>
    </row>
    <row r="523" spans="1:18">
      <c r="A523" t="s">
        <v>549</v>
      </c>
      <c r="B523" t="s">
        <v>19</v>
      </c>
      <c r="C523" t="s">
        <v>15</v>
      </c>
      <c r="D523" s="5">
        <v>45947</v>
      </c>
      <c r="E523" s="5">
        <v>45948</v>
      </c>
      <c r="F523" s="5">
        <v>45950</v>
      </c>
      <c r="G523" s="5">
        <v>45955</v>
      </c>
      <c r="H523" t="s">
        <v>16</v>
      </c>
      <c r="I523" t="s">
        <v>17</v>
      </c>
      <c r="J523" s="5">
        <v>45971</v>
      </c>
      <c r="K523" s="15">
        <f t="shared" si="27"/>
        <v>1</v>
      </c>
      <c r="L523">
        <f t="shared" si="25"/>
        <v>2</v>
      </c>
      <c r="M523">
        <f t="shared" si="26"/>
        <v>5</v>
      </c>
      <c r="N523">
        <v>4</v>
      </c>
      <c r="O523">
        <f>DATEDIF(Table1[[#This Row],[lead_date]], Table1[[#This Row],[delivery_date]], "d")</f>
        <v>8</v>
      </c>
      <c r="P523" s="5" t="str">
        <f>IF(AND(Table1[[#This Row],[customer_rating]]&gt;=8, Table1[[#This Row],[Tat_day]]&lt;=7, Table1[[#This Row],[lead_type]]="Hot"), "High", "Normal")</f>
        <v>Normal</v>
      </c>
      <c r="Q523" s="5" t="str">
        <f>IF(Table1[[#This Row],[customer_rating]]&gt;=9,"Promoter",IF(Table1[[#This Row],[customer_rating]]&gt;=7,"Passive","Detractor"))</f>
        <v>Detractor</v>
      </c>
      <c r="R523" s="5"/>
    </row>
    <row r="524" spans="1:18">
      <c r="A524" t="s">
        <v>550</v>
      </c>
      <c r="B524" t="s">
        <v>14</v>
      </c>
      <c r="C524" t="s">
        <v>22</v>
      </c>
      <c r="D524" s="5">
        <v>45960</v>
      </c>
      <c r="H524" t="s">
        <v>23</v>
      </c>
      <c r="I524" t="s">
        <v>101</v>
      </c>
      <c r="K524" s="15" t="str">
        <f t="shared" si="27"/>
        <v/>
      </c>
      <c r="L524" t="str">
        <f t="shared" si="25"/>
        <v/>
      </c>
      <c r="M524" t="str">
        <f t="shared" si="26"/>
        <v/>
      </c>
      <c r="O524"/>
      <c r="P524" s="5" t="str">
        <f>IF(AND(Table1[[#This Row],[customer_rating]]&gt;=8, Table1[[#This Row],[Tat_day]]&lt;=7, Table1[[#This Row],[lead_type]]="Hot"), "High", "Normal")</f>
        <v>Normal</v>
      </c>
      <c r="Q524" s="5" t="str">
        <f>IF(Table1[[#This Row],[customer_rating]]&gt;=9,"Promoter",IF(Table1[[#This Row],[customer_rating]]&gt;=7,"Passive","Detractor"))</f>
        <v>Detractor</v>
      </c>
      <c r="R524" s="5"/>
    </row>
    <row r="525" spans="1:18">
      <c r="A525" t="s">
        <v>551</v>
      </c>
      <c r="B525" t="s">
        <v>21</v>
      </c>
      <c r="C525" t="s">
        <v>15</v>
      </c>
      <c r="D525" s="5">
        <v>45945</v>
      </c>
      <c r="E525" s="5">
        <v>45950</v>
      </c>
      <c r="F525" s="5">
        <v>45955</v>
      </c>
      <c r="G525" s="5">
        <v>45957</v>
      </c>
      <c r="H525" t="s">
        <v>16</v>
      </c>
      <c r="I525" t="s">
        <v>17</v>
      </c>
      <c r="J525" s="5">
        <v>45974</v>
      </c>
      <c r="K525" s="15">
        <f t="shared" si="27"/>
        <v>5</v>
      </c>
      <c r="L525">
        <f t="shared" si="25"/>
        <v>5</v>
      </c>
      <c r="M525">
        <f t="shared" si="26"/>
        <v>2</v>
      </c>
      <c r="N525">
        <v>4</v>
      </c>
      <c r="O525">
        <f>DATEDIF(Table1[[#This Row],[lead_date]], Table1[[#This Row],[delivery_date]], "d")</f>
        <v>12</v>
      </c>
      <c r="P525" s="5" t="str">
        <f>IF(AND(Table1[[#This Row],[customer_rating]]&gt;=8, Table1[[#This Row],[Tat_day]]&lt;=7, Table1[[#This Row],[lead_type]]="Hot"), "High", "Normal")</f>
        <v>Normal</v>
      </c>
      <c r="Q525" s="5" t="str">
        <f>IF(Table1[[#This Row],[customer_rating]]&gt;=9,"Promoter",IF(Table1[[#This Row],[customer_rating]]&gt;=7,"Passive","Detractor"))</f>
        <v>Detractor</v>
      </c>
      <c r="R525" s="5"/>
    </row>
    <row r="526" spans="1:18">
      <c r="A526" t="s">
        <v>552</v>
      </c>
      <c r="B526" t="s">
        <v>19</v>
      </c>
      <c r="C526" t="s">
        <v>15</v>
      </c>
      <c r="D526" s="5">
        <v>45931</v>
      </c>
      <c r="E526" s="5">
        <v>45936</v>
      </c>
      <c r="F526" s="5">
        <v>45939</v>
      </c>
      <c r="G526" s="5">
        <v>45946</v>
      </c>
      <c r="H526" t="s">
        <v>16</v>
      </c>
      <c r="I526" t="s">
        <v>17</v>
      </c>
      <c r="J526" s="5">
        <v>45976</v>
      </c>
      <c r="K526" s="15">
        <f t="shared" si="27"/>
        <v>5</v>
      </c>
      <c r="L526">
        <f t="shared" si="25"/>
        <v>3</v>
      </c>
      <c r="M526">
        <f t="shared" si="26"/>
        <v>7</v>
      </c>
      <c r="N526">
        <v>8</v>
      </c>
      <c r="O526">
        <f>DATEDIF(Table1[[#This Row],[lead_date]], Table1[[#This Row],[delivery_date]], "d")</f>
        <v>15</v>
      </c>
      <c r="P526" s="5" t="str">
        <f>IF(AND(Table1[[#This Row],[customer_rating]]&gt;=8, Table1[[#This Row],[Tat_day]]&lt;=7, Table1[[#This Row],[lead_type]]="Hot"), "High", "Normal")</f>
        <v>Normal</v>
      </c>
      <c r="Q526" s="5" t="str">
        <f>IF(Table1[[#This Row],[customer_rating]]&gt;=9,"Promoter",IF(Table1[[#This Row],[customer_rating]]&gt;=7,"Passive","Detractor"))</f>
        <v>Passive</v>
      </c>
      <c r="R526" s="5"/>
    </row>
    <row r="527" spans="1:18">
      <c r="A527" t="s">
        <v>553</v>
      </c>
      <c r="B527" t="s">
        <v>14</v>
      </c>
      <c r="C527" t="s">
        <v>30</v>
      </c>
      <c r="D527" s="5">
        <v>45954</v>
      </c>
      <c r="E527" s="5">
        <v>45956</v>
      </c>
      <c r="F527" s="5">
        <v>45959</v>
      </c>
      <c r="G527" s="5">
        <v>45965</v>
      </c>
      <c r="H527" t="s">
        <v>16</v>
      </c>
      <c r="I527" t="s">
        <v>17</v>
      </c>
      <c r="J527" s="5">
        <v>45982</v>
      </c>
      <c r="K527" s="15">
        <f t="shared" si="27"/>
        <v>2</v>
      </c>
      <c r="L527">
        <f t="shared" si="25"/>
        <v>3</v>
      </c>
      <c r="M527">
        <f t="shared" si="26"/>
        <v>6</v>
      </c>
      <c r="N527">
        <v>8</v>
      </c>
      <c r="O527">
        <f>DATEDIF(Table1[[#This Row],[lead_date]], Table1[[#This Row],[delivery_date]], "d")</f>
        <v>11</v>
      </c>
      <c r="P527" s="5" t="str">
        <f>IF(AND(Table1[[#This Row],[customer_rating]]&gt;=8, Table1[[#This Row],[Tat_day]]&lt;=7, Table1[[#This Row],[lead_type]]="Hot"), "High", "Normal")</f>
        <v>Normal</v>
      </c>
      <c r="Q527" s="5" t="str">
        <f>IF(Table1[[#This Row],[customer_rating]]&gt;=9,"Promoter",IF(Table1[[#This Row],[customer_rating]]&gt;=7,"Passive","Detractor"))</f>
        <v>Passive</v>
      </c>
      <c r="R527" s="5"/>
    </row>
    <row r="528" spans="1:18">
      <c r="A528" t="s">
        <v>554</v>
      </c>
      <c r="B528" t="s">
        <v>19</v>
      </c>
      <c r="C528" t="s">
        <v>15</v>
      </c>
      <c r="D528" s="5">
        <v>45935</v>
      </c>
      <c r="E528" s="5">
        <v>45937</v>
      </c>
      <c r="F528" s="5">
        <v>45941</v>
      </c>
      <c r="G528" s="5">
        <v>45947</v>
      </c>
      <c r="H528" t="s">
        <v>16</v>
      </c>
      <c r="I528" t="s">
        <v>17</v>
      </c>
      <c r="J528" s="5">
        <v>45963</v>
      </c>
      <c r="K528" s="15">
        <f t="shared" si="27"/>
        <v>2</v>
      </c>
      <c r="L528">
        <f t="shared" si="25"/>
        <v>4</v>
      </c>
      <c r="M528">
        <f t="shared" si="26"/>
        <v>6</v>
      </c>
      <c r="N528">
        <v>6</v>
      </c>
      <c r="O528">
        <f>DATEDIF(Table1[[#This Row],[lead_date]], Table1[[#This Row],[delivery_date]], "d")</f>
        <v>12</v>
      </c>
      <c r="P528" s="5" t="str">
        <f>IF(AND(Table1[[#This Row],[customer_rating]]&gt;=8, Table1[[#This Row],[Tat_day]]&lt;=7, Table1[[#This Row],[lead_type]]="Hot"), "High", "Normal")</f>
        <v>Normal</v>
      </c>
      <c r="Q528" s="5" t="str">
        <f>IF(Table1[[#This Row],[customer_rating]]&gt;=9,"Promoter",IF(Table1[[#This Row],[customer_rating]]&gt;=7,"Passive","Detractor"))</f>
        <v>Detractor</v>
      </c>
      <c r="R528" s="5"/>
    </row>
    <row r="529" spans="1:18">
      <c r="A529" t="s">
        <v>555</v>
      </c>
      <c r="B529" t="s">
        <v>19</v>
      </c>
      <c r="C529" t="s">
        <v>15</v>
      </c>
      <c r="D529" s="5">
        <v>45944</v>
      </c>
      <c r="E529" s="5">
        <v>45947</v>
      </c>
      <c r="F529" s="5">
        <v>45951</v>
      </c>
      <c r="G529" s="5">
        <v>45957</v>
      </c>
      <c r="H529" t="s">
        <v>16</v>
      </c>
      <c r="I529" t="s">
        <v>17</v>
      </c>
      <c r="J529" s="5">
        <v>45975</v>
      </c>
      <c r="K529" s="15">
        <f t="shared" si="27"/>
        <v>3</v>
      </c>
      <c r="L529">
        <f t="shared" si="25"/>
        <v>4</v>
      </c>
      <c r="M529">
        <f t="shared" si="26"/>
        <v>6</v>
      </c>
      <c r="N529">
        <v>4</v>
      </c>
      <c r="O529">
        <f>DATEDIF(Table1[[#This Row],[lead_date]], Table1[[#This Row],[delivery_date]], "d")</f>
        <v>13</v>
      </c>
      <c r="P529" s="5" t="str">
        <f>IF(AND(Table1[[#This Row],[customer_rating]]&gt;=8, Table1[[#This Row],[Tat_day]]&lt;=7, Table1[[#This Row],[lead_type]]="Hot"), "High", "Normal")</f>
        <v>Normal</v>
      </c>
      <c r="Q529" s="5" t="str">
        <f>IF(Table1[[#This Row],[customer_rating]]&gt;=9,"Promoter",IF(Table1[[#This Row],[customer_rating]]&gt;=7,"Passive","Detractor"))</f>
        <v>Detractor</v>
      </c>
      <c r="R529" s="5"/>
    </row>
    <row r="530" spans="1:18">
      <c r="A530" t="s">
        <v>556</v>
      </c>
      <c r="B530" t="s">
        <v>14</v>
      </c>
      <c r="C530" t="s">
        <v>22</v>
      </c>
      <c r="D530" s="5">
        <v>45958</v>
      </c>
      <c r="H530" t="s">
        <v>23</v>
      </c>
      <c r="I530" t="s">
        <v>63</v>
      </c>
      <c r="K530" s="15" t="str">
        <f t="shared" si="27"/>
        <v/>
      </c>
      <c r="L530" t="str">
        <f t="shared" si="25"/>
        <v/>
      </c>
      <c r="M530" t="str">
        <f t="shared" si="26"/>
        <v/>
      </c>
      <c r="O530"/>
      <c r="P530" s="5" t="str">
        <f>IF(AND(Table1[[#This Row],[customer_rating]]&gt;=8, Table1[[#This Row],[Tat_day]]&lt;=7, Table1[[#This Row],[lead_type]]="Hot"), "High", "Normal")</f>
        <v>Normal</v>
      </c>
      <c r="Q530" s="5" t="str">
        <f>IF(Table1[[#This Row],[customer_rating]]&gt;=9,"Promoter",IF(Table1[[#This Row],[customer_rating]]&gt;=7,"Passive","Detractor"))</f>
        <v>Detractor</v>
      </c>
      <c r="R530" s="5"/>
    </row>
    <row r="531" spans="1:18">
      <c r="A531" t="s">
        <v>557</v>
      </c>
      <c r="B531" t="s">
        <v>21</v>
      </c>
      <c r="C531" t="s">
        <v>22</v>
      </c>
      <c r="D531" s="5">
        <v>45951</v>
      </c>
      <c r="H531" t="s">
        <v>23</v>
      </c>
      <c r="I531" t="s">
        <v>1028</v>
      </c>
      <c r="K531" s="15" t="str">
        <f t="shared" si="27"/>
        <v/>
      </c>
      <c r="L531" t="str">
        <f t="shared" si="25"/>
        <v/>
      </c>
      <c r="M531" t="str">
        <f t="shared" si="26"/>
        <v/>
      </c>
      <c r="O531"/>
      <c r="P531" s="5" t="str">
        <f>IF(AND(Table1[[#This Row],[customer_rating]]&gt;=8, Table1[[#This Row],[Tat_day]]&lt;=7, Table1[[#This Row],[lead_type]]="Hot"), "High", "Normal")</f>
        <v>Normal</v>
      </c>
      <c r="Q531" s="5" t="str">
        <f>IF(Table1[[#This Row],[customer_rating]]&gt;=9,"Promoter",IF(Table1[[#This Row],[customer_rating]]&gt;=7,"Passive","Detractor"))</f>
        <v>Detractor</v>
      </c>
      <c r="R531" s="5"/>
    </row>
    <row r="532" spans="1:18">
      <c r="A532" t="s">
        <v>558</v>
      </c>
      <c r="B532" t="s">
        <v>21</v>
      </c>
      <c r="C532" t="s">
        <v>15</v>
      </c>
      <c r="D532" s="5">
        <v>45935</v>
      </c>
      <c r="E532" s="5">
        <v>45939</v>
      </c>
      <c r="F532" s="5">
        <v>45944</v>
      </c>
      <c r="G532" s="5">
        <v>45947</v>
      </c>
      <c r="H532" t="s">
        <v>16</v>
      </c>
      <c r="I532" t="s">
        <v>17</v>
      </c>
      <c r="J532" s="5">
        <v>45977</v>
      </c>
      <c r="K532" s="15">
        <f t="shared" si="27"/>
        <v>4</v>
      </c>
      <c r="L532">
        <f t="shared" si="25"/>
        <v>5</v>
      </c>
      <c r="M532">
        <f t="shared" si="26"/>
        <v>3</v>
      </c>
      <c r="N532">
        <v>2</v>
      </c>
      <c r="O532">
        <f>DATEDIF(Table1[[#This Row],[lead_date]], Table1[[#This Row],[delivery_date]], "d")</f>
        <v>12</v>
      </c>
      <c r="P532" s="5" t="str">
        <f>IF(AND(Table1[[#This Row],[customer_rating]]&gt;=8, Table1[[#This Row],[Tat_day]]&lt;=7, Table1[[#This Row],[lead_type]]="Hot"), "High", "Normal")</f>
        <v>Normal</v>
      </c>
      <c r="Q532" s="5" t="str">
        <f>IF(Table1[[#This Row],[customer_rating]]&gt;=9,"Promoter",IF(Table1[[#This Row],[customer_rating]]&gt;=7,"Passive","Detractor"))</f>
        <v>Detractor</v>
      </c>
      <c r="R532" s="5"/>
    </row>
    <row r="533" spans="1:18">
      <c r="A533" t="s">
        <v>559</v>
      </c>
      <c r="B533" t="s">
        <v>32</v>
      </c>
      <c r="C533" t="s">
        <v>30</v>
      </c>
      <c r="D533" s="5">
        <v>45933</v>
      </c>
      <c r="E533" s="5">
        <v>45934</v>
      </c>
      <c r="F533" s="5">
        <v>45937</v>
      </c>
      <c r="G533" s="5">
        <v>45941</v>
      </c>
      <c r="H533" t="s">
        <v>16</v>
      </c>
      <c r="I533" t="s">
        <v>17</v>
      </c>
      <c r="J533" s="5">
        <v>45964</v>
      </c>
      <c r="K533" s="15">
        <f t="shared" si="27"/>
        <v>1</v>
      </c>
      <c r="L533">
        <f t="shared" si="25"/>
        <v>3</v>
      </c>
      <c r="M533">
        <f t="shared" si="26"/>
        <v>4</v>
      </c>
      <c r="N533">
        <v>2</v>
      </c>
      <c r="O533">
        <f>DATEDIF(Table1[[#This Row],[lead_date]], Table1[[#This Row],[delivery_date]], "d")</f>
        <v>8</v>
      </c>
      <c r="P533" s="5" t="str">
        <f>IF(AND(Table1[[#This Row],[customer_rating]]&gt;=8, Table1[[#This Row],[Tat_day]]&lt;=7, Table1[[#This Row],[lead_type]]="Hot"), "High", "Normal")</f>
        <v>Normal</v>
      </c>
      <c r="Q533" s="5" t="str">
        <f>IF(Table1[[#This Row],[customer_rating]]&gt;=9,"Promoter",IF(Table1[[#This Row],[customer_rating]]&gt;=7,"Passive","Detractor"))</f>
        <v>Detractor</v>
      </c>
      <c r="R533" s="5"/>
    </row>
    <row r="534" spans="1:18">
      <c r="A534" t="s">
        <v>560</v>
      </c>
      <c r="B534" t="s">
        <v>14</v>
      </c>
      <c r="C534" t="s">
        <v>22</v>
      </c>
      <c r="D534" s="5">
        <v>45946</v>
      </c>
      <c r="H534" t="s">
        <v>23</v>
      </c>
      <c r="I534" t="s">
        <v>1028</v>
      </c>
      <c r="K534" s="15" t="str">
        <f t="shared" si="27"/>
        <v/>
      </c>
      <c r="L534" t="str">
        <f t="shared" si="25"/>
        <v/>
      </c>
      <c r="M534" t="str">
        <f t="shared" si="26"/>
        <v/>
      </c>
      <c r="O534"/>
      <c r="P534" s="5" t="str">
        <f>IF(AND(Table1[[#This Row],[customer_rating]]&gt;=8, Table1[[#This Row],[Tat_day]]&lt;=7, Table1[[#This Row],[lead_type]]="Hot"), "High", "Normal")</f>
        <v>Normal</v>
      </c>
      <c r="Q534" s="5" t="str">
        <f>IF(Table1[[#This Row],[customer_rating]]&gt;=9,"Promoter",IF(Table1[[#This Row],[customer_rating]]&gt;=7,"Passive","Detractor"))</f>
        <v>Detractor</v>
      </c>
      <c r="R534" s="5"/>
    </row>
    <row r="535" spans="1:18">
      <c r="A535" t="s">
        <v>561</v>
      </c>
      <c r="B535" t="s">
        <v>32</v>
      </c>
      <c r="C535" t="s">
        <v>15</v>
      </c>
      <c r="D535" s="5">
        <v>45956</v>
      </c>
      <c r="E535" s="5">
        <v>45961</v>
      </c>
      <c r="F535" s="5">
        <v>45964</v>
      </c>
      <c r="G535" s="5">
        <v>45966</v>
      </c>
      <c r="H535" t="s">
        <v>16</v>
      </c>
      <c r="I535" t="s">
        <v>17</v>
      </c>
      <c r="J535" s="5">
        <v>45992</v>
      </c>
      <c r="K535" s="15">
        <f t="shared" si="27"/>
        <v>5</v>
      </c>
      <c r="L535">
        <f t="shared" si="25"/>
        <v>3</v>
      </c>
      <c r="M535">
        <f t="shared" si="26"/>
        <v>2</v>
      </c>
      <c r="N535">
        <v>1</v>
      </c>
      <c r="O535">
        <f>DATEDIF(Table1[[#This Row],[lead_date]], Table1[[#This Row],[delivery_date]], "d")</f>
        <v>10</v>
      </c>
      <c r="P535" s="5" t="str">
        <f>IF(AND(Table1[[#This Row],[customer_rating]]&gt;=8, Table1[[#This Row],[Tat_day]]&lt;=7, Table1[[#This Row],[lead_type]]="Hot"), "High", "Normal")</f>
        <v>Normal</v>
      </c>
      <c r="Q535" s="5" t="str">
        <f>IF(Table1[[#This Row],[customer_rating]]&gt;=9,"Promoter",IF(Table1[[#This Row],[customer_rating]]&gt;=7,"Passive","Detractor"))</f>
        <v>Detractor</v>
      </c>
      <c r="R535" s="5"/>
    </row>
    <row r="536" spans="1:18">
      <c r="A536" t="s">
        <v>562</v>
      </c>
      <c r="B536" t="s">
        <v>32</v>
      </c>
      <c r="C536" t="s">
        <v>30</v>
      </c>
      <c r="D536" s="5">
        <v>45939</v>
      </c>
      <c r="E536" s="5">
        <v>45942</v>
      </c>
      <c r="F536" s="5">
        <v>45945</v>
      </c>
      <c r="G536" s="5">
        <v>45949</v>
      </c>
      <c r="H536" t="s">
        <v>16</v>
      </c>
      <c r="I536" t="s">
        <v>17</v>
      </c>
      <c r="J536" s="5">
        <v>45959</v>
      </c>
      <c r="K536" s="15">
        <f t="shared" si="27"/>
        <v>3</v>
      </c>
      <c r="L536">
        <f t="shared" si="25"/>
        <v>3</v>
      </c>
      <c r="M536">
        <f t="shared" si="26"/>
        <v>4</v>
      </c>
      <c r="N536">
        <v>0</v>
      </c>
      <c r="O536">
        <f>DATEDIF(Table1[[#This Row],[lead_date]], Table1[[#This Row],[delivery_date]], "d")</f>
        <v>10</v>
      </c>
      <c r="P536" s="5" t="str">
        <f>IF(AND(Table1[[#This Row],[customer_rating]]&gt;=8, Table1[[#This Row],[Tat_day]]&lt;=7, Table1[[#This Row],[lead_type]]="Hot"), "High", "Normal")</f>
        <v>Normal</v>
      </c>
      <c r="Q536" s="5" t="str">
        <f>IF(Table1[[#This Row],[customer_rating]]&gt;=9,"Promoter",IF(Table1[[#This Row],[customer_rating]]&gt;=7,"Passive","Detractor"))</f>
        <v>Detractor</v>
      </c>
      <c r="R536" s="5"/>
    </row>
    <row r="537" spans="1:18">
      <c r="A537" t="s">
        <v>563</v>
      </c>
      <c r="B537" t="s">
        <v>32</v>
      </c>
      <c r="C537" t="s">
        <v>30</v>
      </c>
      <c r="D537" s="5">
        <v>45941</v>
      </c>
      <c r="E537" s="5">
        <v>45943</v>
      </c>
      <c r="F537" s="5">
        <v>45946</v>
      </c>
      <c r="G537" s="5">
        <v>45948</v>
      </c>
      <c r="H537" t="s">
        <v>23</v>
      </c>
      <c r="I537" t="s">
        <v>63</v>
      </c>
      <c r="K537" s="15">
        <f t="shared" si="27"/>
        <v>2</v>
      </c>
      <c r="L537">
        <f t="shared" si="25"/>
        <v>3</v>
      </c>
      <c r="M537">
        <f t="shared" si="26"/>
        <v>2</v>
      </c>
      <c r="O537">
        <f>DATEDIF(Table1[[#This Row],[lead_date]], Table1[[#This Row],[delivery_date]], "d")</f>
        <v>7</v>
      </c>
      <c r="P537" s="5" t="str">
        <f>IF(AND(Table1[[#This Row],[customer_rating]]&gt;=8, Table1[[#This Row],[Tat_day]]&lt;=7, Table1[[#This Row],[lead_type]]="Hot"), "High", "Normal")</f>
        <v>Normal</v>
      </c>
      <c r="Q537" s="5" t="str">
        <f>IF(Table1[[#This Row],[customer_rating]]&gt;=9,"Promoter",IF(Table1[[#This Row],[customer_rating]]&gt;=7,"Passive","Detractor"))</f>
        <v>Detractor</v>
      </c>
      <c r="R537" s="5"/>
    </row>
    <row r="538" spans="1:18">
      <c r="A538" t="s">
        <v>564</v>
      </c>
      <c r="B538" t="s">
        <v>21</v>
      </c>
      <c r="C538" t="s">
        <v>15</v>
      </c>
      <c r="D538" s="5">
        <v>45950</v>
      </c>
      <c r="E538" s="5">
        <v>45955</v>
      </c>
      <c r="F538" s="5">
        <v>45960</v>
      </c>
      <c r="G538" s="5">
        <v>45966</v>
      </c>
      <c r="H538" t="s">
        <v>16</v>
      </c>
      <c r="I538" t="s">
        <v>17</v>
      </c>
      <c r="J538" s="5">
        <v>45976</v>
      </c>
      <c r="K538" s="15">
        <f t="shared" si="27"/>
        <v>5</v>
      </c>
      <c r="L538">
        <f t="shared" si="25"/>
        <v>5</v>
      </c>
      <c r="M538">
        <f t="shared" si="26"/>
        <v>6</v>
      </c>
      <c r="N538">
        <v>0</v>
      </c>
      <c r="O538">
        <f>DATEDIF(Table1[[#This Row],[lead_date]], Table1[[#This Row],[delivery_date]], "d")</f>
        <v>16</v>
      </c>
      <c r="P538" s="5" t="str">
        <f>IF(AND(Table1[[#This Row],[customer_rating]]&gt;=8, Table1[[#This Row],[Tat_day]]&lt;=7, Table1[[#This Row],[lead_type]]="Hot"), "High", "Normal")</f>
        <v>Normal</v>
      </c>
      <c r="Q538" s="5" t="str">
        <f>IF(Table1[[#This Row],[customer_rating]]&gt;=9,"Promoter",IF(Table1[[#This Row],[customer_rating]]&gt;=7,"Passive","Detractor"))</f>
        <v>Detractor</v>
      </c>
      <c r="R538" s="5"/>
    </row>
    <row r="539" spans="1:18">
      <c r="A539" t="s">
        <v>565</v>
      </c>
      <c r="B539" t="s">
        <v>14</v>
      </c>
      <c r="C539" t="s">
        <v>30</v>
      </c>
      <c r="D539" s="5">
        <v>45953</v>
      </c>
      <c r="E539" s="5">
        <v>45957</v>
      </c>
      <c r="F539" s="5">
        <v>45961</v>
      </c>
      <c r="G539" s="5">
        <v>45964</v>
      </c>
      <c r="H539" t="s">
        <v>16</v>
      </c>
      <c r="I539" t="s">
        <v>17</v>
      </c>
      <c r="J539" s="5">
        <v>45989</v>
      </c>
      <c r="K539" s="15">
        <f t="shared" si="27"/>
        <v>4</v>
      </c>
      <c r="L539">
        <f t="shared" si="25"/>
        <v>4</v>
      </c>
      <c r="M539">
        <f t="shared" si="26"/>
        <v>3</v>
      </c>
      <c r="N539">
        <v>3</v>
      </c>
      <c r="O539">
        <f>DATEDIF(Table1[[#This Row],[lead_date]], Table1[[#This Row],[delivery_date]], "d")</f>
        <v>11</v>
      </c>
      <c r="P539" s="5" t="str">
        <f>IF(AND(Table1[[#This Row],[customer_rating]]&gt;=8, Table1[[#This Row],[Tat_day]]&lt;=7, Table1[[#This Row],[lead_type]]="Hot"), "High", "Normal")</f>
        <v>Normal</v>
      </c>
      <c r="Q539" s="5" t="str">
        <f>IF(Table1[[#This Row],[customer_rating]]&gt;=9,"Promoter",IF(Table1[[#This Row],[customer_rating]]&gt;=7,"Passive","Detractor"))</f>
        <v>Detractor</v>
      </c>
      <c r="R539" s="5"/>
    </row>
    <row r="540" spans="1:18">
      <c r="A540" t="s">
        <v>566</v>
      </c>
      <c r="B540" t="s">
        <v>32</v>
      </c>
      <c r="C540" t="s">
        <v>22</v>
      </c>
      <c r="D540" s="5">
        <v>45943</v>
      </c>
      <c r="H540" t="s">
        <v>23</v>
      </c>
      <c r="I540" t="s">
        <v>1028</v>
      </c>
      <c r="K540" s="15" t="str">
        <f t="shared" si="27"/>
        <v/>
      </c>
      <c r="L540" t="str">
        <f t="shared" si="25"/>
        <v/>
      </c>
      <c r="M540" t="str">
        <f t="shared" si="26"/>
        <v/>
      </c>
      <c r="O540"/>
      <c r="P540" s="5" t="str">
        <f>IF(AND(Table1[[#This Row],[customer_rating]]&gt;=8, Table1[[#This Row],[Tat_day]]&lt;=7, Table1[[#This Row],[lead_type]]="Hot"), "High", "Normal")</f>
        <v>Normal</v>
      </c>
      <c r="Q540" s="5" t="str">
        <f>IF(Table1[[#This Row],[customer_rating]]&gt;=9,"Promoter",IF(Table1[[#This Row],[customer_rating]]&gt;=7,"Passive","Detractor"))</f>
        <v>Detractor</v>
      </c>
      <c r="R540" s="5"/>
    </row>
    <row r="541" spans="1:18">
      <c r="A541" t="s">
        <v>567</v>
      </c>
      <c r="B541" t="s">
        <v>14</v>
      </c>
      <c r="C541" t="s">
        <v>15</v>
      </c>
      <c r="D541" s="5">
        <v>45951</v>
      </c>
      <c r="E541" s="5">
        <v>45953</v>
      </c>
      <c r="F541" s="5">
        <v>45957</v>
      </c>
      <c r="G541" s="5">
        <v>45960</v>
      </c>
      <c r="H541" t="s">
        <v>23</v>
      </c>
      <c r="I541" t="s">
        <v>101</v>
      </c>
      <c r="K541" s="15">
        <f t="shared" si="27"/>
        <v>2</v>
      </c>
      <c r="L541">
        <f t="shared" si="25"/>
        <v>4</v>
      </c>
      <c r="M541">
        <f t="shared" si="26"/>
        <v>3</v>
      </c>
      <c r="O541">
        <f>DATEDIF(Table1[[#This Row],[lead_date]], Table1[[#This Row],[delivery_date]], "d")</f>
        <v>9</v>
      </c>
      <c r="P541" s="5" t="str">
        <f>IF(AND(Table1[[#This Row],[customer_rating]]&gt;=8, Table1[[#This Row],[Tat_day]]&lt;=7, Table1[[#This Row],[lead_type]]="Hot"), "High", "Normal")</f>
        <v>Normal</v>
      </c>
      <c r="Q541" s="5" t="str">
        <f>IF(Table1[[#This Row],[customer_rating]]&gt;=9,"Promoter",IF(Table1[[#This Row],[customer_rating]]&gt;=7,"Passive","Detractor"))</f>
        <v>Detractor</v>
      </c>
      <c r="R541" s="5"/>
    </row>
    <row r="542" spans="1:18">
      <c r="A542" t="s">
        <v>568</v>
      </c>
      <c r="B542" t="s">
        <v>14</v>
      </c>
      <c r="C542" t="s">
        <v>30</v>
      </c>
      <c r="D542" s="5">
        <v>45933</v>
      </c>
      <c r="E542" s="5">
        <v>45934</v>
      </c>
      <c r="F542" s="5">
        <v>45935</v>
      </c>
      <c r="G542" s="5">
        <v>45941</v>
      </c>
      <c r="H542" t="s">
        <v>16</v>
      </c>
      <c r="I542" t="s">
        <v>17</v>
      </c>
      <c r="J542" s="5">
        <v>45955</v>
      </c>
      <c r="K542" s="15">
        <f t="shared" si="27"/>
        <v>1</v>
      </c>
      <c r="L542">
        <f t="shared" si="25"/>
        <v>1</v>
      </c>
      <c r="M542">
        <f t="shared" si="26"/>
        <v>6</v>
      </c>
      <c r="N542">
        <v>9</v>
      </c>
      <c r="O542">
        <f>DATEDIF(Table1[[#This Row],[lead_date]], Table1[[#This Row],[delivery_date]], "d")</f>
        <v>8</v>
      </c>
      <c r="P542" s="5" t="str">
        <f>IF(AND(Table1[[#This Row],[customer_rating]]&gt;=8, Table1[[#This Row],[Tat_day]]&lt;=7, Table1[[#This Row],[lead_type]]="Hot"), "High", "Normal")</f>
        <v>Normal</v>
      </c>
      <c r="Q542" s="5" t="str">
        <f>IF(Table1[[#This Row],[customer_rating]]&gt;=9,"Promoter",IF(Table1[[#This Row],[customer_rating]]&gt;=7,"Passive","Detractor"))</f>
        <v>Promoter</v>
      </c>
      <c r="R542" s="5"/>
    </row>
    <row r="543" spans="1:18">
      <c r="A543" t="s">
        <v>569</v>
      </c>
      <c r="B543" t="s">
        <v>21</v>
      </c>
      <c r="C543" t="s">
        <v>22</v>
      </c>
      <c r="D543" s="5">
        <v>45958</v>
      </c>
      <c r="H543" t="s">
        <v>23</v>
      </c>
      <c r="I543" t="s">
        <v>101</v>
      </c>
      <c r="K543" s="15" t="str">
        <f t="shared" si="27"/>
        <v/>
      </c>
      <c r="L543" t="str">
        <f t="shared" si="25"/>
        <v/>
      </c>
      <c r="M543" t="str">
        <f t="shared" si="26"/>
        <v/>
      </c>
      <c r="O543"/>
      <c r="P543" s="5" t="str">
        <f>IF(AND(Table1[[#This Row],[customer_rating]]&gt;=8, Table1[[#This Row],[Tat_day]]&lt;=7, Table1[[#This Row],[lead_type]]="Hot"), "High", "Normal")</f>
        <v>Normal</v>
      </c>
      <c r="Q543" s="5" t="str">
        <f>IF(Table1[[#This Row],[customer_rating]]&gt;=9,"Promoter",IF(Table1[[#This Row],[customer_rating]]&gt;=7,"Passive","Detractor"))</f>
        <v>Detractor</v>
      </c>
      <c r="R543" s="5"/>
    </row>
    <row r="544" spans="1:18">
      <c r="A544" t="s">
        <v>570</v>
      </c>
      <c r="B544" t="s">
        <v>32</v>
      </c>
      <c r="C544" t="s">
        <v>15</v>
      </c>
      <c r="D544" s="5">
        <v>45941</v>
      </c>
      <c r="E544" s="5">
        <v>45946</v>
      </c>
      <c r="F544" s="5">
        <v>45950</v>
      </c>
      <c r="G544" s="5">
        <v>45954</v>
      </c>
      <c r="H544" t="s">
        <v>16</v>
      </c>
      <c r="I544" t="s">
        <v>17</v>
      </c>
      <c r="J544" s="5">
        <v>45984</v>
      </c>
      <c r="K544" s="15">
        <f t="shared" si="27"/>
        <v>5</v>
      </c>
      <c r="L544">
        <f t="shared" si="25"/>
        <v>4</v>
      </c>
      <c r="M544">
        <f t="shared" si="26"/>
        <v>4</v>
      </c>
      <c r="N544">
        <v>9</v>
      </c>
      <c r="O544">
        <f>DATEDIF(Table1[[#This Row],[lead_date]], Table1[[#This Row],[delivery_date]], "d")</f>
        <v>13</v>
      </c>
      <c r="P544" s="5" t="str">
        <f>IF(AND(Table1[[#This Row],[customer_rating]]&gt;=8, Table1[[#This Row],[Tat_day]]&lt;=7, Table1[[#This Row],[lead_type]]="Hot"), "High", "Normal")</f>
        <v>Normal</v>
      </c>
      <c r="Q544" s="5" t="str">
        <f>IF(Table1[[#This Row],[customer_rating]]&gt;=9,"Promoter",IF(Table1[[#This Row],[customer_rating]]&gt;=7,"Passive","Detractor"))</f>
        <v>Promoter</v>
      </c>
      <c r="R544" s="5"/>
    </row>
    <row r="545" spans="1:18">
      <c r="A545" t="s">
        <v>571</v>
      </c>
      <c r="B545" t="s">
        <v>32</v>
      </c>
      <c r="C545" t="s">
        <v>15</v>
      </c>
      <c r="D545" s="5">
        <v>45958</v>
      </c>
      <c r="E545" s="5">
        <v>45961</v>
      </c>
      <c r="F545" s="5">
        <v>45964</v>
      </c>
      <c r="G545" s="5">
        <v>45969</v>
      </c>
      <c r="H545" t="s">
        <v>16</v>
      </c>
      <c r="I545" t="s">
        <v>17</v>
      </c>
      <c r="J545" s="5">
        <v>45984</v>
      </c>
      <c r="K545" s="15">
        <f t="shared" si="27"/>
        <v>3</v>
      </c>
      <c r="L545">
        <f t="shared" si="25"/>
        <v>3</v>
      </c>
      <c r="M545">
        <f t="shared" si="26"/>
        <v>5</v>
      </c>
      <c r="N545">
        <v>4</v>
      </c>
      <c r="O545">
        <f>DATEDIF(Table1[[#This Row],[lead_date]], Table1[[#This Row],[delivery_date]], "d")</f>
        <v>11</v>
      </c>
      <c r="P545" s="5" t="str">
        <f>IF(AND(Table1[[#This Row],[customer_rating]]&gt;=8, Table1[[#This Row],[Tat_day]]&lt;=7, Table1[[#This Row],[lead_type]]="Hot"), "High", "Normal")</f>
        <v>Normal</v>
      </c>
      <c r="Q545" s="5" t="str">
        <f>IF(Table1[[#This Row],[customer_rating]]&gt;=9,"Promoter",IF(Table1[[#This Row],[customer_rating]]&gt;=7,"Passive","Detractor"))</f>
        <v>Detractor</v>
      </c>
      <c r="R545" s="5"/>
    </row>
    <row r="546" spans="1:18">
      <c r="A546" t="s">
        <v>572</v>
      </c>
      <c r="B546" t="s">
        <v>14</v>
      </c>
      <c r="C546" t="s">
        <v>30</v>
      </c>
      <c r="D546" s="5">
        <v>45952</v>
      </c>
      <c r="E546" s="5">
        <v>45953</v>
      </c>
      <c r="F546" s="5">
        <v>45955</v>
      </c>
      <c r="G546" s="5">
        <v>45961</v>
      </c>
      <c r="H546" t="s">
        <v>16</v>
      </c>
      <c r="I546" t="s">
        <v>17</v>
      </c>
      <c r="J546" s="5">
        <v>45990</v>
      </c>
      <c r="K546" s="15">
        <f t="shared" si="27"/>
        <v>1</v>
      </c>
      <c r="L546">
        <f t="shared" si="25"/>
        <v>2</v>
      </c>
      <c r="M546">
        <f t="shared" si="26"/>
        <v>6</v>
      </c>
      <c r="N546">
        <v>1</v>
      </c>
      <c r="O546">
        <f>DATEDIF(Table1[[#This Row],[lead_date]], Table1[[#This Row],[delivery_date]], "d")</f>
        <v>9</v>
      </c>
      <c r="P546" s="5" t="str">
        <f>IF(AND(Table1[[#This Row],[customer_rating]]&gt;=8, Table1[[#This Row],[Tat_day]]&lt;=7, Table1[[#This Row],[lead_type]]="Hot"), "High", "Normal")</f>
        <v>Normal</v>
      </c>
      <c r="Q546" s="5" t="str">
        <f>IF(Table1[[#This Row],[customer_rating]]&gt;=9,"Promoter",IF(Table1[[#This Row],[customer_rating]]&gt;=7,"Passive","Detractor"))</f>
        <v>Detractor</v>
      </c>
      <c r="R546" s="5"/>
    </row>
    <row r="547" spans="1:18">
      <c r="A547" t="s">
        <v>573</v>
      </c>
      <c r="B547" t="s">
        <v>19</v>
      </c>
      <c r="C547" t="s">
        <v>30</v>
      </c>
      <c r="D547" s="5">
        <v>45958</v>
      </c>
      <c r="E547" s="5">
        <v>45963</v>
      </c>
      <c r="F547" s="5">
        <v>45966</v>
      </c>
      <c r="G547" s="5">
        <v>45973</v>
      </c>
      <c r="H547" t="s">
        <v>16</v>
      </c>
      <c r="I547" t="s">
        <v>17</v>
      </c>
      <c r="J547" s="5">
        <v>45983</v>
      </c>
      <c r="K547" s="15">
        <f t="shared" si="27"/>
        <v>5</v>
      </c>
      <c r="L547">
        <f t="shared" si="25"/>
        <v>3</v>
      </c>
      <c r="M547">
        <f t="shared" si="26"/>
        <v>7</v>
      </c>
      <c r="N547">
        <v>6</v>
      </c>
      <c r="O547">
        <f>DATEDIF(Table1[[#This Row],[lead_date]], Table1[[#This Row],[delivery_date]], "d")</f>
        <v>15</v>
      </c>
      <c r="P547" s="5" t="str">
        <f>IF(AND(Table1[[#This Row],[customer_rating]]&gt;=8, Table1[[#This Row],[Tat_day]]&lt;=7, Table1[[#This Row],[lead_type]]="Hot"), "High", "Normal")</f>
        <v>Normal</v>
      </c>
      <c r="Q547" s="5" t="str">
        <f>IF(Table1[[#This Row],[customer_rating]]&gt;=9,"Promoter",IF(Table1[[#This Row],[customer_rating]]&gt;=7,"Passive","Detractor"))</f>
        <v>Detractor</v>
      </c>
      <c r="R547" s="5"/>
    </row>
    <row r="548" spans="1:18">
      <c r="A548" t="s">
        <v>574</v>
      </c>
      <c r="B548" t="s">
        <v>21</v>
      </c>
      <c r="C548" t="s">
        <v>15</v>
      </c>
      <c r="D548" s="5">
        <v>45948</v>
      </c>
      <c r="E548" s="5">
        <v>45953</v>
      </c>
      <c r="F548" s="5">
        <v>45956</v>
      </c>
      <c r="G548" s="5">
        <v>45963</v>
      </c>
      <c r="H548" t="s">
        <v>16</v>
      </c>
      <c r="I548" t="s">
        <v>17</v>
      </c>
      <c r="J548" s="5">
        <v>45980</v>
      </c>
      <c r="K548" s="15">
        <f t="shared" si="27"/>
        <v>5</v>
      </c>
      <c r="L548">
        <f t="shared" si="25"/>
        <v>3</v>
      </c>
      <c r="M548">
        <f t="shared" si="26"/>
        <v>7</v>
      </c>
      <c r="N548">
        <v>3</v>
      </c>
      <c r="O548">
        <f>DATEDIF(Table1[[#This Row],[lead_date]], Table1[[#This Row],[delivery_date]], "d")</f>
        <v>15</v>
      </c>
      <c r="P548" s="5" t="str">
        <f>IF(AND(Table1[[#This Row],[customer_rating]]&gt;=8, Table1[[#This Row],[Tat_day]]&lt;=7, Table1[[#This Row],[lead_type]]="Hot"), "High", "Normal")</f>
        <v>Normal</v>
      </c>
      <c r="Q548" s="5" t="str">
        <f>IF(Table1[[#This Row],[customer_rating]]&gt;=9,"Promoter",IF(Table1[[#This Row],[customer_rating]]&gt;=7,"Passive","Detractor"))</f>
        <v>Detractor</v>
      </c>
      <c r="R548" s="5"/>
    </row>
    <row r="549" spans="1:18">
      <c r="A549" t="s">
        <v>575</v>
      </c>
      <c r="B549" t="s">
        <v>21</v>
      </c>
      <c r="C549" t="s">
        <v>15</v>
      </c>
      <c r="D549" s="5">
        <v>45943</v>
      </c>
      <c r="E549" s="5">
        <v>45948</v>
      </c>
      <c r="F549" s="5">
        <v>45952</v>
      </c>
      <c r="G549" s="5">
        <v>45959</v>
      </c>
      <c r="H549" t="s">
        <v>16</v>
      </c>
      <c r="I549" t="s">
        <v>17</v>
      </c>
      <c r="J549" s="5">
        <v>45977</v>
      </c>
      <c r="K549" s="15">
        <f t="shared" si="27"/>
        <v>5</v>
      </c>
      <c r="L549">
        <f t="shared" si="25"/>
        <v>4</v>
      </c>
      <c r="M549">
        <f t="shared" si="26"/>
        <v>7</v>
      </c>
      <c r="N549">
        <v>4</v>
      </c>
      <c r="O549">
        <f>DATEDIF(Table1[[#This Row],[lead_date]], Table1[[#This Row],[delivery_date]], "d")</f>
        <v>16</v>
      </c>
      <c r="P549" s="5" t="str">
        <f>IF(AND(Table1[[#This Row],[customer_rating]]&gt;=8, Table1[[#This Row],[Tat_day]]&lt;=7, Table1[[#This Row],[lead_type]]="Hot"), "High", "Normal")</f>
        <v>Normal</v>
      </c>
      <c r="Q549" s="5" t="str">
        <f>IF(Table1[[#This Row],[customer_rating]]&gt;=9,"Promoter",IF(Table1[[#This Row],[customer_rating]]&gt;=7,"Passive","Detractor"))</f>
        <v>Detractor</v>
      </c>
      <c r="R549" s="5"/>
    </row>
    <row r="550" spans="1:18">
      <c r="A550" t="s">
        <v>576</v>
      </c>
      <c r="B550" t="s">
        <v>21</v>
      </c>
      <c r="C550" t="s">
        <v>15</v>
      </c>
      <c r="D550" s="5">
        <v>45961</v>
      </c>
      <c r="E550" s="5">
        <v>45966</v>
      </c>
      <c r="F550" s="5">
        <v>45967</v>
      </c>
      <c r="G550" s="5">
        <v>45974</v>
      </c>
      <c r="H550" t="s">
        <v>16</v>
      </c>
      <c r="I550" t="s">
        <v>17</v>
      </c>
      <c r="J550" s="5">
        <v>46003</v>
      </c>
      <c r="K550" s="15">
        <f t="shared" si="27"/>
        <v>5</v>
      </c>
      <c r="L550">
        <f t="shared" si="25"/>
        <v>1</v>
      </c>
      <c r="M550">
        <f t="shared" si="26"/>
        <v>7</v>
      </c>
      <c r="N550">
        <v>6</v>
      </c>
      <c r="O550">
        <f>DATEDIF(Table1[[#This Row],[lead_date]], Table1[[#This Row],[delivery_date]], "d")</f>
        <v>13</v>
      </c>
      <c r="P550" s="5" t="str">
        <f>IF(AND(Table1[[#This Row],[customer_rating]]&gt;=8, Table1[[#This Row],[Tat_day]]&lt;=7, Table1[[#This Row],[lead_type]]="Hot"), "High", "Normal")</f>
        <v>Normal</v>
      </c>
      <c r="Q550" s="5" t="str">
        <f>IF(Table1[[#This Row],[customer_rating]]&gt;=9,"Promoter",IF(Table1[[#This Row],[customer_rating]]&gt;=7,"Passive","Detractor"))</f>
        <v>Detractor</v>
      </c>
      <c r="R550" s="5"/>
    </row>
    <row r="551" spans="1:18">
      <c r="A551" t="s">
        <v>577</v>
      </c>
      <c r="B551" t="s">
        <v>21</v>
      </c>
      <c r="C551" t="s">
        <v>15</v>
      </c>
      <c r="D551" s="5">
        <v>45941</v>
      </c>
      <c r="E551" s="5">
        <v>45946</v>
      </c>
      <c r="F551" s="5">
        <v>45951</v>
      </c>
      <c r="G551" s="5">
        <v>45953</v>
      </c>
      <c r="H551" t="s">
        <v>16</v>
      </c>
      <c r="I551" t="s">
        <v>17</v>
      </c>
      <c r="J551" s="5">
        <v>45972</v>
      </c>
      <c r="K551" s="15">
        <f t="shared" si="27"/>
        <v>5</v>
      </c>
      <c r="L551">
        <f t="shared" si="25"/>
        <v>5</v>
      </c>
      <c r="M551">
        <f t="shared" si="26"/>
        <v>2</v>
      </c>
      <c r="N551">
        <v>5</v>
      </c>
      <c r="O551">
        <f>DATEDIF(Table1[[#This Row],[lead_date]], Table1[[#This Row],[delivery_date]], "d")</f>
        <v>12</v>
      </c>
      <c r="P551" s="5" t="str">
        <f>IF(AND(Table1[[#This Row],[customer_rating]]&gt;=8, Table1[[#This Row],[Tat_day]]&lt;=7, Table1[[#This Row],[lead_type]]="Hot"), "High", "Normal")</f>
        <v>Normal</v>
      </c>
      <c r="Q551" s="5" t="str">
        <f>IF(Table1[[#This Row],[customer_rating]]&gt;=9,"Promoter",IF(Table1[[#This Row],[customer_rating]]&gt;=7,"Passive","Detractor"))</f>
        <v>Detractor</v>
      </c>
      <c r="R551" s="5"/>
    </row>
    <row r="552" spans="1:18">
      <c r="A552" t="s">
        <v>578</v>
      </c>
      <c r="B552" t="s">
        <v>32</v>
      </c>
      <c r="C552" t="s">
        <v>15</v>
      </c>
      <c r="D552" s="5">
        <v>45951</v>
      </c>
      <c r="E552" s="5">
        <v>45952</v>
      </c>
      <c r="F552" s="5">
        <v>45954</v>
      </c>
      <c r="G552" s="5">
        <v>45958</v>
      </c>
      <c r="H552" t="s">
        <v>16</v>
      </c>
      <c r="I552" t="s">
        <v>17</v>
      </c>
      <c r="J552" s="5">
        <v>45988</v>
      </c>
      <c r="K552" s="15">
        <f t="shared" si="27"/>
        <v>1</v>
      </c>
      <c r="L552">
        <f t="shared" si="25"/>
        <v>2</v>
      </c>
      <c r="M552">
        <f t="shared" si="26"/>
        <v>4</v>
      </c>
      <c r="N552">
        <v>3</v>
      </c>
      <c r="O552">
        <f>DATEDIF(Table1[[#This Row],[lead_date]], Table1[[#This Row],[delivery_date]], "d")</f>
        <v>7</v>
      </c>
      <c r="P552" s="5" t="str">
        <f>IF(AND(Table1[[#This Row],[customer_rating]]&gt;=8, Table1[[#This Row],[Tat_day]]&lt;=7, Table1[[#This Row],[lead_type]]="Hot"), "High", "Normal")</f>
        <v>Normal</v>
      </c>
      <c r="Q552" s="5" t="str">
        <f>IF(Table1[[#This Row],[customer_rating]]&gt;=9,"Promoter",IF(Table1[[#This Row],[customer_rating]]&gt;=7,"Passive","Detractor"))</f>
        <v>Detractor</v>
      </c>
      <c r="R552" s="5"/>
    </row>
    <row r="553" spans="1:18">
      <c r="A553" t="s">
        <v>579</v>
      </c>
      <c r="B553" t="s">
        <v>32</v>
      </c>
      <c r="C553" t="s">
        <v>30</v>
      </c>
      <c r="D553" s="5">
        <v>45953</v>
      </c>
      <c r="E553" s="5">
        <v>45957</v>
      </c>
      <c r="F553" s="5">
        <v>45959</v>
      </c>
      <c r="G553" s="5">
        <v>45966</v>
      </c>
      <c r="H553" t="s">
        <v>16</v>
      </c>
      <c r="I553" t="s">
        <v>17</v>
      </c>
      <c r="J553" s="5">
        <v>45984</v>
      </c>
      <c r="K553" s="15">
        <f t="shared" si="27"/>
        <v>4</v>
      </c>
      <c r="L553">
        <f t="shared" si="25"/>
        <v>2</v>
      </c>
      <c r="M553">
        <f t="shared" si="26"/>
        <v>7</v>
      </c>
      <c r="N553">
        <v>3</v>
      </c>
      <c r="O553">
        <f>DATEDIF(Table1[[#This Row],[lead_date]], Table1[[#This Row],[delivery_date]], "d")</f>
        <v>13</v>
      </c>
      <c r="P553" s="5" t="str">
        <f>IF(AND(Table1[[#This Row],[customer_rating]]&gt;=8, Table1[[#This Row],[Tat_day]]&lt;=7, Table1[[#This Row],[lead_type]]="Hot"), "High", "Normal")</f>
        <v>Normal</v>
      </c>
      <c r="Q553" s="5" t="str">
        <f>IF(Table1[[#This Row],[customer_rating]]&gt;=9,"Promoter",IF(Table1[[#This Row],[customer_rating]]&gt;=7,"Passive","Detractor"))</f>
        <v>Detractor</v>
      </c>
      <c r="R553" s="5"/>
    </row>
    <row r="554" spans="1:18">
      <c r="A554" t="s">
        <v>580</v>
      </c>
      <c r="B554" t="s">
        <v>19</v>
      </c>
      <c r="C554" t="s">
        <v>15</v>
      </c>
      <c r="D554" s="5">
        <v>45959</v>
      </c>
      <c r="E554" s="5">
        <v>45963</v>
      </c>
      <c r="F554" s="5">
        <v>45964</v>
      </c>
      <c r="G554" s="5">
        <v>45969</v>
      </c>
      <c r="H554" t="s">
        <v>16</v>
      </c>
      <c r="I554" t="s">
        <v>17</v>
      </c>
      <c r="J554" s="5">
        <v>45992</v>
      </c>
      <c r="K554" s="15">
        <f t="shared" si="27"/>
        <v>4</v>
      </c>
      <c r="L554">
        <f t="shared" si="25"/>
        <v>1</v>
      </c>
      <c r="M554">
        <f t="shared" si="26"/>
        <v>5</v>
      </c>
      <c r="N554">
        <v>9</v>
      </c>
      <c r="O554">
        <f>DATEDIF(Table1[[#This Row],[lead_date]], Table1[[#This Row],[delivery_date]], "d")</f>
        <v>10</v>
      </c>
      <c r="P554" s="5" t="str">
        <f>IF(AND(Table1[[#This Row],[customer_rating]]&gt;=8, Table1[[#This Row],[Tat_day]]&lt;=7, Table1[[#This Row],[lead_type]]="Hot"), "High", "Normal")</f>
        <v>Normal</v>
      </c>
      <c r="Q554" s="5" t="str">
        <f>IF(Table1[[#This Row],[customer_rating]]&gt;=9,"Promoter",IF(Table1[[#This Row],[customer_rating]]&gt;=7,"Passive","Detractor"))</f>
        <v>Promoter</v>
      </c>
      <c r="R554" s="5"/>
    </row>
    <row r="555" spans="1:18">
      <c r="A555" t="s">
        <v>581</v>
      </c>
      <c r="B555" t="s">
        <v>21</v>
      </c>
      <c r="C555" t="s">
        <v>22</v>
      </c>
      <c r="D555" s="5">
        <v>45955</v>
      </c>
      <c r="H555" t="s">
        <v>23</v>
      </c>
      <c r="I555" t="s">
        <v>63</v>
      </c>
      <c r="K555" s="15" t="str">
        <f t="shared" si="27"/>
        <v/>
      </c>
      <c r="L555" t="str">
        <f t="shared" si="25"/>
        <v/>
      </c>
      <c r="M555" t="str">
        <f t="shared" si="26"/>
        <v/>
      </c>
      <c r="O555"/>
      <c r="P555" s="5" t="str">
        <f>IF(AND(Table1[[#This Row],[customer_rating]]&gt;=8, Table1[[#This Row],[Tat_day]]&lt;=7, Table1[[#This Row],[lead_type]]="Hot"), "High", "Normal")</f>
        <v>Normal</v>
      </c>
      <c r="Q555" s="5" t="str">
        <f>IF(Table1[[#This Row],[customer_rating]]&gt;=9,"Promoter",IF(Table1[[#This Row],[customer_rating]]&gt;=7,"Passive","Detractor"))</f>
        <v>Detractor</v>
      </c>
      <c r="R555" s="5"/>
    </row>
    <row r="556" spans="1:18">
      <c r="A556" t="s">
        <v>582</v>
      </c>
      <c r="B556" t="s">
        <v>21</v>
      </c>
      <c r="C556" t="s">
        <v>15</v>
      </c>
      <c r="D556" s="5">
        <v>45946</v>
      </c>
      <c r="E556" s="5">
        <v>45947</v>
      </c>
      <c r="F556" s="5">
        <v>45950</v>
      </c>
      <c r="G556" s="5">
        <v>45957</v>
      </c>
      <c r="H556" t="s">
        <v>16</v>
      </c>
      <c r="I556" t="s">
        <v>17</v>
      </c>
      <c r="J556" s="5">
        <v>45979</v>
      </c>
      <c r="K556" s="15">
        <f t="shared" si="27"/>
        <v>1</v>
      </c>
      <c r="L556">
        <f t="shared" si="25"/>
        <v>3</v>
      </c>
      <c r="M556">
        <f t="shared" si="26"/>
        <v>7</v>
      </c>
      <c r="N556">
        <v>2</v>
      </c>
      <c r="O556">
        <f>DATEDIF(Table1[[#This Row],[lead_date]], Table1[[#This Row],[delivery_date]], "d")</f>
        <v>11</v>
      </c>
      <c r="P556" s="5" t="str">
        <f>IF(AND(Table1[[#This Row],[customer_rating]]&gt;=8, Table1[[#This Row],[Tat_day]]&lt;=7, Table1[[#This Row],[lead_type]]="Hot"), "High", "Normal")</f>
        <v>Normal</v>
      </c>
      <c r="Q556" s="5" t="str">
        <f>IF(Table1[[#This Row],[customer_rating]]&gt;=9,"Promoter",IF(Table1[[#This Row],[customer_rating]]&gt;=7,"Passive","Detractor"))</f>
        <v>Detractor</v>
      </c>
      <c r="R556" s="5"/>
    </row>
    <row r="557" spans="1:18">
      <c r="A557" t="s">
        <v>583</v>
      </c>
      <c r="B557" t="s">
        <v>14</v>
      </c>
      <c r="C557" t="s">
        <v>15</v>
      </c>
      <c r="D557" s="5">
        <v>45958</v>
      </c>
      <c r="E557" s="5">
        <v>45962</v>
      </c>
      <c r="F557" s="5">
        <v>45967</v>
      </c>
      <c r="G557" s="5">
        <v>45970</v>
      </c>
      <c r="H557" t="s">
        <v>16</v>
      </c>
      <c r="I557" t="s">
        <v>17</v>
      </c>
      <c r="J557" s="5">
        <v>45991</v>
      </c>
      <c r="K557" s="15">
        <f t="shared" si="27"/>
        <v>4</v>
      </c>
      <c r="L557">
        <f t="shared" si="25"/>
        <v>5</v>
      </c>
      <c r="M557">
        <f t="shared" si="26"/>
        <v>3</v>
      </c>
      <c r="N557">
        <v>8</v>
      </c>
      <c r="O557">
        <f>DATEDIF(Table1[[#This Row],[lead_date]], Table1[[#This Row],[delivery_date]], "d")</f>
        <v>12</v>
      </c>
      <c r="P557" s="5" t="str">
        <f>IF(AND(Table1[[#This Row],[customer_rating]]&gt;=8, Table1[[#This Row],[Tat_day]]&lt;=7, Table1[[#This Row],[lead_type]]="Hot"), "High", "Normal")</f>
        <v>Normal</v>
      </c>
      <c r="Q557" s="5" t="str">
        <f>IF(Table1[[#This Row],[customer_rating]]&gt;=9,"Promoter",IF(Table1[[#This Row],[customer_rating]]&gt;=7,"Passive","Detractor"))</f>
        <v>Passive</v>
      </c>
      <c r="R557" s="5"/>
    </row>
    <row r="558" spans="1:18">
      <c r="A558" t="s">
        <v>584</v>
      </c>
      <c r="B558" t="s">
        <v>32</v>
      </c>
      <c r="C558" t="s">
        <v>30</v>
      </c>
      <c r="D558" s="5">
        <v>45948</v>
      </c>
      <c r="E558" s="5">
        <v>45951</v>
      </c>
      <c r="F558" s="5">
        <v>45956</v>
      </c>
      <c r="G558" s="5">
        <v>45958</v>
      </c>
      <c r="H558" t="s">
        <v>16</v>
      </c>
      <c r="I558" t="s">
        <v>17</v>
      </c>
      <c r="J558" s="5">
        <v>45982</v>
      </c>
      <c r="K558" s="15">
        <f t="shared" si="27"/>
        <v>3</v>
      </c>
      <c r="L558">
        <f t="shared" si="25"/>
        <v>5</v>
      </c>
      <c r="M558">
        <f t="shared" si="26"/>
        <v>2</v>
      </c>
      <c r="N558">
        <v>1</v>
      </c>
      <c r="O558">
        <f>DATEDIF(Table1[[#This Row],[lead_date]], Table1[[#This Row],[delivery_date]], "d")</f>
        <v>10</v>
      </c>
      <c r="P558" s="5" t="str">
        <f>IF(AND(Table1[[#This Row],[customer_rating]]&gt;=8, Table1[[#This Row],[Tat_day]]&lt;=7, Table1[[#This Row],[lead_type]]="Hot"), "High", "Normal")</f>
        <v>Normal</v>
      </c>
      <c r="Q558" s="5" t="str">
        <f>IF(Table1[[#This Row],[customer_rating]]&gt;=9,"Promoter",IF(Table1[[#This Row],[customer_rating]]&gt;=7,"Passive","Detractor"))</f>
        <v>Detractor</v>
      </c>
      <c r="R558" s="5"/>
    </row>
    <row r="559" spans="1:18">
      <c r="A559" t="s">
        <v>585</v>
      </c>
      <c r="B559" t="s">
        <v>21</v>
      </c>
      <c r="C559" t="s">
        <v>15</v>
      </c>
      <c r="D559" s="5">
        <v>45932</v>
      </c>
      <c r="E559" s="5">
        <v>45935</v>
      </c>
      <c r="F559" s="5">
        <v>45940</v>
      </c>
      <c r="G559" s="5">
        <v>45943</v>
      </c>
      <c r="H559" t="s">
        <v>16</v>
      </c>
      <c r="I559" t="s">
        <v>17</v>
      </c>
      <c r="J559" s="5">
        <v>45961</v>
      </c>
      <c r="K559" s="15">
        <f t="shared" si="27"/>
        <v>3</v>
      </c>
      <c r="L559">
        <f t="shared" si="25"/>
        <v>5</v>
      </c>
      <c r="M559">
        <f t="shared" si="26"/>
        <v>3</v>
      </c>
      <c r="N559">
        <v>2</v>
      </c>
      <c r="O559">
        <f>DATEDIF(Table1[[#This Row],[lead_date]], Table1[[#This Row],[delivery_date]], "d")</f>
        <v>11</v>
      </c>
      <c r="P559" s="5" t="str">
        <f>IF(AND(Table1[[#This Row],[customer_rating]]&gt;=8, Table1[[#This Row],[Tat_day]]&lt;=7, Table1[[#This Row],[lead_type]]="Hot"), "High", "Normal")</f>
        <v>Normal</v>
      </c>
      <c r="Q559" s="5" t="str">
        <f>IF(Table1[[#This Row],[customer_rating]]&gt;=9,"Promoter",IF(Table1[[#This Row],[customer_rating]]&gt;=7,"Passive","Detractor"))</f>
        <v>Detractor</v>
      </c>
      <c r="R559" s="5"/>
    </row>
    <row r="560" spans="1:18">
      <c r="A560" t="s">
        <v>586</v>
      </c>
      <c r="B560" t="s">
        <v>19</v>
      </c>
      <c r="C560" t="s">
        <v>15</v>
      </c>
      <c r="D560" s="5">
        <v>45950</v>
      </c>
      <c r="E560" s="5">
        <v>45951</v>
      </c>
      <c r="F560" s="5">
        <v>45955</v>
      </c>
      <c r="G560" s="5">
        <v>45957</v>
      </c>
      <c r="H560" t="s">
        <v>16</v>
      </c>
      <c r="I560" t="s">
        <v>17</v>
      </c>
      <c r="J560" s="5">
        <v>45973</v>
      </c>
      <c r="K560" s="15">
        <f t="shared" si="27"/>
        <v>1</v>
      </c>
      <c r="L560">
        <f t="shared" si="25"/>
        <v>4</v>
      </c>
      <c r="M560">
        <f t="shared" si="26"/>
        <v>2</v>
      </c>
      <c r="N560">
        <v>6</v>
      </c>
      <c r="O560">
        <f>DATEDIF(Table1[[#This Row],[lead_date]], Table1[[#This Row],[delivery_date]], "d")</f>
        <v>7</v>
      </c>
      <c r="P560" s="5" t="str">
        <f>IF(AND(Table1[[#This Row],[customer_rating]]&gt;=8, Table1[[#This Row],[Tat_day]]&lt;=7, Table1[[#This Row],[lead_type]]="Hot"), "High", "Normal")</f>
        <v>Normal</v>
      </c>
      <c r="Q560" s="5" t="str">
        <f>IF(Table1[[#This Row],[customer_rating]]&gt;=9,"Promoter",IF(Table1[[#This Row],[customer_rating]]&gt;=7,"Passive","Detractor"))</f>
        <v>Detractor</v>
      </c>
      <c r="R560" s="5"/>
    </row>
    <row r="561" spans="1:18">
      <c r="A561" t="s">
        <v>587</v>
      </c>
      <c r="B561" t="s">
        <v>19</v>
      </c>
      <c r="C561" t="s">
        <v>22</v>
      </c>
      <c r="D561" s="5">
        <v>45933</v>
      </c>
      <c r="H561" t="s">
        <v>23</v>
      </c>
      <c r="I561" t="s">
        <v>1028</v>
      </c>
      <c r="K561" s="15" t="str">
        <f t="shared" si="27"/>
        <v/>
      </c>
      <c r="L561" t="str">
        <f t="shared" si="25"/>
        <v/>
      </c>
      <c r="M561" t="str">
        <f t="shared" si="26"/>
        <v/>
      </c>
      <c r="O561"/>
      <c r="P561" s="5" t="str">
        <f>IF(AND(Table1[[#This Row],[customer_rating]]&gt;=8, Table1[[#This Row],[Tat_day]]&lt;=7, Table1[[#This Row],[lead_type]]="Hot"), "High", "Normal")</f>
        <v>Normal</v>
      </c>
      <c r="Q561" s="5" t="str">
        <f>IF(Table1[[#This Row],[customer_rating]]&gt;=9,"Promoter",IF(Table1[[#This Row],[customer_rating]]&gt;=7,"Passive","Detractor"))</f>
        <v>Detractor</v>
      </c>
      <c r="R561" s="5"/>
    </row>
    <row r="562" spans="1:18">
      <c r="A562" t="s">
        <v>588</v>
      </c>
      <c r="B562" t="s">
        <v>32</v>
      </c>
      <c r="C562" t="s">
        <v>15</v>
      </c>
      <c r="D562" s="5">
        <v>45938</v>
      </c>
      <c r="E562" s="5">
        <v>45941</v>
      </c>
      <c r="F562" s="5">
        <v>45944</v>
      </c>
      <c r="G562" s="5">
        <v>45949</v>
      </c>
      <c r="H562" t="s">
        <v>16</v>
      </c>
      <c r="I562" t="s">
        <v>17</v>
      </c>
      <c r="J562" s="5">
        <v>45973</v>
      </c>
      <c r="K562" s="15">
        <f t="shared" si="27"/>
        <v>3</v>
      </c>
      <c r="L562">
        <f t="shared" si="25"/>
        <v>3</v>
      </c>
      <c r="M562">
        <f t="shared" si="26"/>
        <v>5</v>
      </c>
      <c r="N562">
        <v>6</v>
      </c>
      <c r="O562">
        <f>DATEDIF(Table1[[#This Row],[lead_date]], Table1[[#This Row],[delivery_date]], "d")</f>
        <v>11</v>
      </c>
      <c r="P562" s="5" t="str">
        <f>IF(AND(Table1[[#This Row],[customer_rating]]&gt;=8, Table1[[#This Row],[Tat_day]]&lt;=7, Table1[[#This Row],[lead_type]]="Hot"), "High", "Normal")</f>
        <v>Normal</v>
      </c>
      <c r="Q562" s="5" t="str">
        <f>IF(Table1[[#This Row],[customer_rating]]&gt;=9,"Promoter",IF(Table1[[#This Row],[customer_rating]]&gt;=7,"Passive","Detractor"))</f>
        <v>Detractor</v>
      </c>
      <c r="R562" s="5"/>
    </row>
    <row r="563" spans="1:18">
      <c r="A563" t="s">
        <v>589</v>
      </c>
      <c r="B563" t="s">
        <v>19</v>
      </c>
      <c r="C563" t="s">
        <v>22</v>
      </c>
      <c r="D563" s="5">
        <v>45951</v>
      </c>
      <c r="H563" t="s">
        <v>23</v>
      </c>
      <c r="I563" t="s">
        <v>101</v>
      </c>
      <c r="K563" s="15" t="str">
        <f t="shared" si="27"/>
        <v/>
      </c>
      <c r="L563" t="str">
        <f t="shared" si="25"/>
        <v/>
      </c>
      <c r="M563" t="str">
        <f t="shared" si="26"/>
        <v/>
      </c>
      <c r="O563"/>
      <c r="P563" s="5" t="str">
        <f>IF(AND(Table1[[#This Row],[customer_rating]]&gt;=8, Table1[[#This Row],[Tat_day]]&lt;=7, Table1[[#This Row],[lead_type]]="Hot"), "High", "Normal")</f>
        <v>Normal</v>
      </c>
      <c r="Q563" s="5" t="str">
        <f>IF(Table1[[#This Row],[customer_rating]]&gt;=9,"Promoter",IF(Table1[[#This Row],[customer_rating]]&gt;=7,"Passive","Detractor"))</f>
        <v>Detractor</v>
      </c>
      <c r="R563" s="5"/>
    </row>
    <row r="564" spans="1:18">
      <c r="A564" t="s">
        <v>590</v>
      </c>
      <c r="B564" t="s">
        <v>19</v>
      </c>
      <c r="C564" t="s">
        <v>15</v>
      </c>
      <c r="D564" s="5">
        <v>45952</v>
      </c>
      <c r="E564" s="5">
        <v>45953</v>
      </c>
      <c r="F564" s="5">
        <v>45955</v>
      </c>
      <c r="G564" s="5">
        <v>45957</v>
      </c>
      <c r="H564" t="s">
        <v>16</v>
      </c>
      <c r="I564" t="s">
        <v>17</v>
      </c>
      <c r="J564" s="5">
        <v>45976</v>
      </c>
      <c r="K564" s="15">
        <f t="shared" si="27"/>
        <v>1</v>
      </c>
      <c r="L564">
        <f t="shared" si="25"/>
        <v>2</v>
      </c>
      <c r="M564">
        <f t="shared" si="26"/>
        <v>2</v>
      </c>
      <c r="N564">
        <v>1</v>
      </c>
      <c r="O564">
        <f>DATEDIF(Table1[[#This Row],[lead_date]], Table1[[#This Row],[delivery_date]], "d")</f>
        <v>5</v>
      </c>
      <c r="P564" s="5" t="str">
        <f>IF(AND(Table1[[#This Row],[customer_rating]]&gt;=8, Table1[[#This Row],[Tat_day]]&lt;=7, Table1[[#This Row],[lead_type]]="Hot"), "High", "Normal")</f>
        <v>Normal</v>
      </c>
      <c r="Q564" s="5" t="str">
        <f>IF(Table1[[#This Row],[customer_rating]]&gt;=9,"Promoter",IF(Table1[[#This Row],[customer_rating]]&gt;=7,"Passive","Detractor"))</f>
        <v>Detractor</v>
      </c>
      <c r="R564" s="5"/>
    </row>
    <row r="565" spans="1:18">
      <c r="A565" t="s">
        <v>591</v>
      </c>
      <c r="B565" t="s">
        <v>32</v>
      </c>
      <c r="C565" t="s">
        <v>30</v>
      </c>
      <c r="D565" s="5">
        <v>45960</v>
      </c>
      <c r="E565" s="5">
        <v>45963</v>
      </c>
      <c r="F565" s="5">
        <v>45965</v>
      </c>
      <c r="G565" s="5">
        <v>45970</v>
      </c>
      <c r="H565" t="s">
        <v>16</v>
      </c>
      <c r="I565" t="s">
        <v>17</v>
      </c>
      <c r="J565" s="5">
        <v>45996</v>
      </c>
      <c r="K565" s="15">
        <f t="shared" si="27"/>
        <v>3</v>
      </c>
      <c r="L565">
        <f t="shared" si="25"/>
        <v>2</v>
      </c>
      <c r="M565">
        <f t="shared" si="26"/>
        <v>5</v>
      </c>
      <c r="N565">
        <v>3</v>
      </c>
      <c r="O565">
        <f>DATEDIF(Table1[[#This Row],[lead_date]], Table1[[#This Row],[delivery_date]], "d")</f>
        <v>10</v>
      </c>
      <c r="P565" s="5" t="str">
        <f>IF(AND(Table1[[#This Row],[customer_rating]]&gt;=8, Table1[[#This Row],[Tat_day]]&lt;=7, Table1[[#This Row],[lead_type]]="Hot"), "High", "Normal")</f>
        <v>Normal</v>
      </c>
      <c r="Q565" s="5" t="str">
        <f>IF(Table1[[#This Row],[customer_rating]]&gt;=9,"Promoter",IF(Table1[[#This Row],[customer_rating]]&gt;=7,"Passive","Detractor"))</f>
        <v>Detractor</v>
      </c>
      <c r="R565" s="5"/>
    </row>
    <row r="566" spans="1:18">
      <c r="A566" t="s">
        <v>592</v>
      </c>
      <c r="B566" t="s">
        <v>21</v>
      </c>
      <c r="C566" t="s">
        <v>15</v>
      </c>
      <c r="D566" s="5">
        <v>45940</v>
      </c>
      <c r="E566" s="5">
        <v>45942</v>
      </c>
      <c r="F566" s="5">
        <v>45945</v>
      </c>
      <c r="G566" s="5">
        <v>45951</v>
      </c>
      <c r="H566" t="s">
        <v>16</v>
      </c>
      <c r="I566" t="s">
        <v>17</v>
      </c>
      <c r="J566" s="5">
        <v>45980</v>
      </c>
      <c r="K566" s="15">
        <f t="shared" si="27"/>
        <v>2</v>
      </c>
      <c r="L566">
        <f t="shared" si="25"/>
        <v>3</v>
      </c>
      <c r="M566">
        <f t="shared" si="26"/>
        <v>6</v>
      </c>
      <c r="N566">
        <v>4</v>
      </c>
      <c r="O566">
        <f>DATEDIF(Table1[[#This Row],[lead_date]], Table1[[#This Row],[delivery_date]], "d")</f>
        <v>11</v>
      </c>
      <c r="P566" s="5" t="str">
        <f>IF(AND(Table1[[#This Row],[customer_rating]]&gt;=8, Table1[[#This Row],[Tat_day]]&lt;=7, Table1[[#This Row],[lead_type]]="Hot"), "High", "Normal")</f>
        <v>Normal</v>
      </c>
      <c r="Q566" s="5" t="str">
        <f>IF(Table1[[#This Row],[customer_rating]]&gt;=9,"Promoter",IF(Table1[[#This Row],[customer_rating]]&gt;=7,"Passive","Detractor"))</f>
        <v>Detractor</v>
      </c>
      <c r="R566" s="5"/>
    </row>
    <row r="567" spans="1:18">
      <c r="A567" t="s">
        <v>593</v>
      </c>
      <c r="B567" t="s">
        <v>21</v>
      </c>
      <c r="C567" t="s">
        <v>30</v>
      </c>
      <c r="D567" s="5">
        <v>45938</v>
      </c>
      <c r="E567" s="5">
        <v>45939</v>
      </c>
      <c r="F567" s="5">
        <v>45941</v>
      </c>
      <c r="G567" s="5">
        <v>45947</v>
      </c>
      <c r="H567" t="s">
        <v>16</v>
      </c>
      <c r="I567" t="s">
        <v>17</v>
      </c>
      <c r="J567" s="5">
        <v>45969</v>
      </c>
      <c r="K567" s="15">
        <f t="shared" si="27"/>
        <v>1</v>
      </c>
      <c r="L567">
        <f t="shared" si="25"/>
        <v>2</v>
      </c>
      <c r="M567">
        <f t="shared" si="26"/>
        <v>6</v>
      </c>
      <c r="N567">
        <v>5</v>
      </c>
      <c r="O567">
        <f>DATEDIF(Table1[[#This Row],[lead_date]], Table1[[#This Row],[delivery_date]], "d")</f>
        <v>9</v>
      </c>
      <c r="P567" s="5" t="str">
        <f>IF(AND(Table1[[#This Row],[customer_rating]]&gt;=8, Table1[[#This Row],[Tat_day]]&lt;=7, Table1[[#This Row],[lead_type]]="Hot"), "High", "Normal")</f>
        <v>Normal</v>
      </c>
      <c r="Q567" s="5" t="str">
        <f>IF(Table1[[#This Row],[customer_rating]]&gt;=9,"Promoter",IF(Table1[[#This Row],[customer_rating]]&gt;=7,"Passive","Detractor"))</f>
        <v>Detractor</v>
      </c>
      <c r="R567" s="5"/>
    </row>
    <row r="568" spans="1:18">
      <c r="A568" t="s">
        <v>594</v>
      </c>
      <c r="B568" t="s">
        <v>19</v>
      </c>
      <c r="C568" t="s">
        <v>30</v>
      </c>
      <c r="D568" s="5">
        <v>45954</v>
      </c>
      <c r="E568" s="5">
        <v>45959</v>
      </c>
      <c r="F568" s="5">
        <v>45963</v>
      </c>
      <c r="G568" s="5">
        <v>45965</v>
      </c>
      <c r="H568" t="s">
        <v>16</v>
      </c>
      <c r="I568" t="s">
        <v>17</v>
      </c>
      <c r="J568" s="5">
        <v>45993</v>
      </c>
      <c r="K568" s="15">
        <f t="shared" si="27"/>
        <v>5</v>
      </c>
      <c r="L568">
        <f t="shared" si="25"/>
        <v>4</v>
      </c>
      <c r="M568">
        <f t="shared" si="26"/>
        <v>2</v>
      </c>
      <c r="N568">
        <v>3</v>
      </c>
      <c r="O568">
        <f>DATEDIF(Table1[[#This Row],[lead_date]], Table1[[#This Row],[delivery_date]], "d")</f>
        <v>11</v>
      </c>
      <c r="P568" s="5" t="str">
        <f>IF(AND(Table1[[#This Row],[customer_rating]]&gt;=8, Table1[[#This Row],[Tat_day]]&lt;=7, Table1[[#This Row],[lead_type]]="Hot"), "High", "Normal")</f>
        <v>Normal</v>
      </c>
      <c r="Q568" s="5" t="str">
        <f>IF(Table1[[#This Row],[customer_rating]]&gt;=9,"Promoter",IF(Table1[[#This Row],[customer_rating]]&gt;=7,"Passive","Detractor"))</f>
        <v>Detractor</v>
      </c>
      <c r="R568" s="5"/>
    </row>
    <row r="569" spans="1:18">
      <c r="A569" t="s">
        <v>595</v>
      </c>
      <c r="B569" t="s">
        <v>19</v>
      </c>
      <c r="C569" t="s">
        <v>22</v>
      </c>
      <c r="D569" s="5">
        <v>45933</v>
      </c>
      <c r="H569" t="s">
        <v>23</v>
      </c>
      <c r="I569" t="s">
        <v>101</v>
      </c>
      <c r="K569" s="15" t="str">
        <f t="shared" si="27"/>
        <v/>
      </c>
      <c r="L569" t="str">
        <f t="shared" si="25"/>
        <v/>
      </c>
      <c r="M569" t="str">
        <f t="shared" si="26"/>
        <v/>
      </c>
      <c r="O569"/>
      <c r="P569" s="5" t="str">
        <f>IF(AND(Table1[[#This Row],[customer_rating]]&gt;=8, Table1[[#This Row],[Tat_day]]&lt;=7, Table1[[#This Row],[lead_type]]="Hot"), "High", "Normal")</f>
        <v>Normal</v>
      </c>
      <c r="Q569" s="5" t="str">
        <f>IF(Table1[[#This Row],[customer_rating]]&gt;=9,"Promoter",IF(Table1[[#This Row],[customer_rating]]&gt;=7,"Passive","Detractor"))</f>
        <v>Detractor</v>
      </c>
      <c r="R569" s="5"/>
    </row>
    <row r="570" spans="1:18">
      <c r="A570" t="s">
        <v>596</v>
      </c>
      <c r="B570" t="s">
        <v>21</v>
      </c>
      <c r="C570" t="s">
        <v>15</v>
      </c>
      <c r="D570" s="5">
        <v>45944</v>
      </c>
      <c r="E570" s="5">
        <v>45947</v>
      </c>
      <c r="F570" s="5">
        <v>45952</v>
      </c>
      <c r="G570" s="5">
        <v>45956</v>
      </c>
      <c r="H570" t="s">
        <v>16</v>
      </c>
      <c r="I570" t="s">
        <v>17</v>
      </c>
      <c r="J570" s="5">
        <v>45969</v>
      </c>
      <c r="K570" s="15">
        <f t="shared" si="27"/>
        <v>3</v>
      </c>
      <c r="L570">
        <f t="shared" si="25"/>
        <v>5</v>
      </c>
      <c r="M570">
        <f t="shared" si="26"/>
        <v>4</v>
      </c>
      <c r="N570">
        <v>9</v>
      </c>
      <c r="O570">
        <f>DATEDIF(Table1[[#This Row],[lead_date]], Table1[[#This Row],[delivery_date]], "d")</f>
        <v>12</v>
      </c>
      <c r="P570" s="5" t="str">
        <f>IF(AND(Table1[[#This Row],[customer_rating]]&gt;=8, Table1[[#This Row],[Tat_day]]&lt;=7, Table1[[#This Row],[lead_type]]="Hot"), "High", "Normal")</f>
        <v>Normal</v>
      </c>
      <c r="Q570" s="5" t="str">
        <f>IF(Table1[[#This Row],[customer_rating]]&gt;=9,"Promoter",IF(Table1[[#This Row],[customer_rating]]&gt;=7,"Passive","Detractor"))</f>
        <v>Promoter</v>
      </c>
      <c r="R570" s="5"/>
    </row>
    <row r="571" spans="1:18">
      <c r="A571" t="s">
        <v>597</v>
      </c>
      <c r="B571" t="s">
        <v>32</v>
      </c>
      <c r="C571" t="s">
        <v>15</v>
      </c>
      <c r="D571" s="5">
        <v>45934</v>
      </c>
      <c r="E571" s="5">
        <v>45936</v>
      </c>
      <c r="F571" s="5">
        <v>45938</v>
      </c>
      <c r="G571" s="5">
        <v>45945</v>
      </c>
      <c r="H571" t="s">
        <v>16</v>
      </c>
      <c r="I571" t="s">
        <v>17</v>
      </c>
      <c r="J571" s="5">
        <v>45955</v>
      </c>
      <c r="K571" s="15">
        <f t="shared" si="27"/>
        <v>2</v>
      </c>
      <c r="L571">
        <f t="shared" si="25"/>
        <v>2</v>
      </c>
      <c r="M571">
        <f t="shared" si="26"/>
        <v>7</v>
      </c>
      <c r="N571">
        <v>4</v>
      </c>
      <c r="O571">
        <f>DATEDIF(Table1[[#This Row],[lead_date]], Table1[[#This Row],[delivery_date]], "d")</f>
        <v>11</v>
      </c>
      <c r="P571" s="5" t="str">
        <f>IF(AND(Table1[[#This Row],[customer_rating]]&gt;=8, Table1[[#This Row],[Tat_day]]&lt;=7, Table1[[#This Row],[lead_type]]="Hot"), "High", "Normal")</f>
        <v>Normal</v>
      </c>
      <c r="Q571" s="5" t="str">
        <f>IF(Table1[[#This Row],[customer_rating]]&gt;=9,"Promoter",IF(Table1[[#This Row],[customer_rating]]&gt;=7,"Passive","Detractor"))</f>
        <v>Detractor</v>
      </c>
      <c r="R571" s="5"/>
    </row>
    <row r="572" spans="1:18">
      <c r="A572" t="s">
        <v>598</v>
      </c>
      <c r="B572" t="s">
        <v>19</v>
      </c>
      <c r="C572" t="s">
        <v>30</v>
      </c>
      <c r="D572" s="5">
        <v>45955</v>
      </c>
      <c r="E572" s="5">
        <v>45956</v>
      </c>
      <c r="F572" s="5">
        <v>45960</v>
      </c>
      <c r="G572" s="5">
        <v>45967</v>
      </c>
      <c r="H572" t="s">
        <v>16</v>
      </c>
      <c r="I572" t="s">
        <v>17</v>
      </c>
      <c r="J572" s="5">
        <v>45993</v>
      </c>
      <c r="K572" s="15">
        <f t="shared" si="27"/>
        <v>1</v>
      </c>
      <c r="L572">
        <f t="shared" si="25"/>
        <v>4</v>
      </c>
      <c r="M572">
        <f t="shared" si="26"/>
        <v>7</v>
      </c>
      <c r="N572">
        <v>9</v>
      </c>
      <c r="O572">
        <f>DATEDIF(Table1[[#This Row],[lead_date]], Table1[[#This Row],[delivery_date]], "d")</f>
        <v>12</v>
      </c>
      <c r="P572" s="5" t="str">
        <f>IF(AND(Table1[[#This Row],[customer_rating]]&gt;=8, Table1[[#This Row],[Tat_day]]&lt;=7, Table1[[#This Row],[lead_type]]="Hot"), "High", "Normal")</f>
        <v>Normal</v>
      </c>
      <c r="Q572" s="5" t="str">
        <f>IF(Table1[[#This Row],[customer_rating]]&gt;=9,"Promoter",IF(Table1[[#This Row],[customer_rating]]&gt;=7,"Passive","Detractor"))</f>
        <v>Promoter</v>
      </c>
      <c r="R572" s="5"/>
    </row>
    <row r="573" spans="1:18">
      <c r="A573" t="s">
        <v>599</v>
      </c>
      <c r="B573" t="s">
        <v>14</v>
      </c>
      <c r="C573" t="s">
        <v>15</v>
      </c>
      <c r="D573" s="5">
        <v>45951</v>
      </c>
      <c r="E573" s="5">
        <v>45954</v>
      </c>
      <c r="F573" s="5">
        <v>45959</v>
      </c>
      <c r="G573" s="5">
        <v>45966</v>
      </c>
      <c r="H573" t="s">
        <v>16</v>
      </c>
      <c r="I573" t="s">
        <v>17</v>
      </c>
      <c r="J573" s="5">
        <v>45987</v>
      </c>
      <c r="K573" s="15">
        <f t="shared" si="27"/>
        <v>3</v>
      </c>
      <c r="L573">
        <f t="shared" si="25"/>
        <v>5</v>
      </c>
      <c r="M573">
        <f t="shared" si="26"/>
        <v>7</v>
      </c>
      <c r="N573">
        <v>2</v>
      </c>
      <c r="O573">
        <f>DATEDIF(Table1[[#This Row],[lead_date]], Table1[[#This Row],[delivery_date]], "d")</f>
        <v>15</v>
      </c>
      <c r="P573" s="5" t="str">
        <f>IF(AND(Table1[[#This Row],[customer_rating]]&gt;=8, Table1[[#This Row],[Tat_day]]&lt;=7, Table1[[#This Row],[lead_type]]="Hot"), "High", "Normal")</f>
        <v>Normal</v>
      </c>
      <c r="Q573" s="5" t="str">
        <f>IF(Table1[[#This Row],[customer_rating]]&gt;=9,"Promoter",IF(Table1[[#This Row],[customer_rating]]&gt;=7,"Passive","Detractor"))</f>
        <v>Detractor</v>
      </c>
      <c r="R573" s="5"/>
    </row>
    <row r="574" spans="1:18">
      <c r="A574" t="s">
        <v>600</v>
      </c>
      <c r="B574" t="s">
        <v>32</v>
      </c>
      <c r="C574" t="s">
        <v>30</v>
      </c>
      <c r="D574" s="5">
        <v>45953</v>
      </c>
      <c r="E574" s="5">
        <v>45958</v>
      </c>
      <c r="F574" s="5">
        <v>45961</v>
      </c>
      <c r="G574" s="5">
        <v>45968</v>
      </c>
      <c r="H574" t="s">
        <v>16</v>
      </c>
      <c r="I574" t="s">
        <v>17</v>
      </c>
      <c r="J574" s="5">
        <v>45995</v>
      </c>
      <c r="K574" s="15">
        <f t="shared" si="27"/>
        <v>5</v>
      </c>
      <c r="L574">
        <f t="shared" si="25"/>
        <v>3</v>
      </c>
      <c r="M574">
        <f t="shared" si="26"/>
        <v>7</v>
      </c>
      <c r="N574">
        <v>1</v>
      </c>
      <c r="O574">
        <f>DATEDIF(Table1[[#This Row],[lead_date]], Table1[[#This Row],[delivery_date]], "d")</f>
        <v>15</v>
      </c>
      <c r="P574" s="5" t="str">
        <f>IF(AND(Table1[[#This Row],[customer_rating]]&gt;=8, Table1[[#This Row],[Tat_day]]&lt;=7, Table1[[#This Row],[lead_type]]="Hot"), "High", "Normal")</f>
        <v>Normal</v>
      </c>
      <c r="Q574" s="5" t="str">
        <f>IF(Table1[[#This Row],[customer_rating]]&gt;=9,"Promoter",IF(Table1[[#This Row],[customer_rating]]&gt;=7,"Passive","Detractor"))</f>
        <v>Detractor</v>
      </c>
      <c r="R574" s="5"/>
    </row>
    <row r="575" spans="1:18">
      <c r="A575" t="s">
        <v>601</v>
      </c>
      <c r="B575" t="s">
        <v>19</v>
      </c>
      <c r="C575" t="s">
        <v>30</v>
      </c>
      <c r="D575" s="5">
        <v>45958</v>
      </c>
      <c r="E575" s="5">
        <v>45961</v>
      </c>
      <c r="F575" s="5">
        <v>45964</v>
      </c>
      <c r="G575" s="5">
        <v>45967</v>
      </c>
      <c r="H575" t="s">
        <v>16</v>
      </c>
      <c r="I575" t="s">
        <v>17</v>
      </c>
      <c r="J575" s="5">
        <v>45997</v>
      </c>
      <c r="K575" s="15">
        <f t="shared" si="27"/>
        <v>3</v>
      </c>
      <c r="L575">
        <f t="shared" si="25"/>
        <v>3</v>
      </c>
      <c r="M575">
        <f t="shared" si="26"/>
        <v>3</v>
      </c>
      <c r="N575">
        <v>7</v>
      </c>
      <c r="O575">
        <f>DATEDIF(Table1[[#This Row],[lead_date]], Table1[[#This Row],[delivery_date]], "d")</f>
        <v>9</v>
      </c>
      <c r="P575" s="5" t="str">
        <f>IF(AND(Table1[[#This Row],[customer_rating]]&gt;=8, Table1[[#This Row],[Tat_day]]&lt;=7, Table1[[#This Row],[lead_type]]="Hot"), "High", "Normal")</f>
        <v>Normal</v>
      </c>
      <c r="Q575" s="5" t="str">
        <f>IF(Table1[[#This Row],[customer_rating]]&gt;=9,"Promoter",IF(Table1[[#This Row],[customer_rating]]&gt;=7,"Passive","Detractor"))</f>
        <v>Passive</v>
      </c>
      <c r="R575" s="5"/>
    </row>
    <row r="576" spans="1:18">
      <c r="A576" t="s">
        <v>602</v>
      </c>
      <c r="B576" t="s">
        <v>19</v>
      </c>
      <c r="C576" t="s">
        <v>15</v>
      </c>
      <c r="D576" s="5">
        <v>45934</v>
      </c>
      <c r="E576" s="5">
        <v>45936</v>
      </c>
      <c r="F576" s="5">
        <v>45940</v>
      </c>
      <c r="G576" s="5">
        <v>45942</v>
      </c>
      <c r="H576" t="s">
        <v>16</v>
      </c>
      <c r="I576" t="s">
        <v>17</v>
      </c>
      <c r="J576" s="5">
        <v>45971</v>
      </c>
      <c r="K576" s="15">
        <f t="shared" si="27"/>
        <v>2</v>
      </c>
      <c r="L576">
        <f t="shared" si="25"/>
        <v>4</v>
      </c>
      <c r="M576">
        <f t="shared" si="26"/>
        <v>2</v>
      </c>
      <c r="N576">
        <v>0</v>
      </c>
      <c r="O576">
        <f>DATEDIF(Table1[[#This Row],[lead_date]], Table1[[#This Row],[delivery_date]], "d")</f>
        <v>8</v>
      </c>
      <c r="P576" s="5" t="str">
        <f>IF(AND(Table1[[#This Row],[customer_rating]]&gt;=8, Table1[[#This Row],[Tat_day]]&lt;=7, Table1[[#This Row],[lead_type]]="Hot"), "High", "Normal")</f>
        <v>Normal</v>
      </c>
      <c r="Q576" s="5" t="str">
        <f>IF(Table1[[#This Row],[customer_rating]]&gt;=9,"Promoter",IF(Table1[[#This Row],[customer_rating]]&gt;=7,"Passive","Detractor"))</f>
        <v>Detractor</v>
      </c>
      <c r="R576" s="5"/>
    </row>
    <row r="577" spans="1:18">
      <c r="A577" t="s">
        <v>603</v>
      </c>
      <c r="B577" t="s">
        <v>14</v>
      </c>
      <c r="C577" t="s">
        <v>30</v>
      </c>
      <c r="D577" s="5">
        <v>45945</v>
      </c>
      <c r="E577" s="5">
        <v>45949</v>
      </c>
      <c r="F577" s="5">
        <v>45953</v>
      </c>
      <c r="G577" s="5">
        <v>45955</v>
      </c>
      <c r="H577" t="s">
        <v>16</v>
      </c>
      <c r="I577" t="s">
        <v>17</v>
      </c>
      <c r="J577" s="5">
        <v>45984</v>
      </c>
      <c r="K577" s="15">
        <f t="shared" si="27"/>
        <v>4</v>
      </c>
      <c r="L577">
        <f t="shared" si="25"/>
        <v>4</v>
      </c>
      <c r="M577">
        <f t="shared" si="26"/>
        <v>2</v>
      </c>
      <c r="N577">
        <v>10</v>
      </c>
      <c r="O577">
        <f>DATEDIF(Table1[[#This Row],[lead_date]], Table1[[#This Row],[delivery_date]], "d")</f>
        <v>10</v>
      </c>
      <c r="P577" s="5" t="str">
        <f>IF(AND(Table1[[#This Row],[customer_rating]]&gt;=8, Table1[[#This Row],[Tat_day]]&lt;=7, Table1[[#This Row],[lead_type]]="Hot"), "High", "Normal")</f>
        <v>Normal</v>
      </c>
      <c r="Q577" s="5" t="str">
        <f>IF(Table1[[#This Row],[customer_rating]]&gt;=9,"Promoter",IF(Table1[[#This Row],[customer_rating]]&gt;=7,"Passive","Detractor"))</f>
        <v>Promoter</v>
      </c>
      <c r="R577" s="5"/>
    </row>
    <row r="578" spans="1:18">
      <c r="A578" t="s">
        <v>604</v>
      </c>
      <c r="B578" t="s">
        <v>14</v>
      </c>
      <c r="C578" t="s">
        <v>15</v>
      </c>
      <c r="D578" s="5">
        <v>45936</v>
      </c>
      <c r="E578" s="5">
        <v>45940</v>
      </c>
      <c r="F578" s="5">
        <v>45944</v>
      </c>
      <c r="G578" s="5">
        <v>45951</v>
      </c>
      <c r="H578" t="s">
        <v>16</v>
      </c>
      <c r="I578" t="s">
        <v>17</v>
      </c>
      <c r="J578" s="5">
        <v>45970</v>
      </c>
      <c r="K578" s="15">
        <f t="shared" si="27"/>
        <v>4</v>
      </c>
      <c r="L578">
        <f t="shared" si="25"/>
        <v>4</v>
      </c>
      <c r="M578">
        <f t="shared" si="26"/>
        <v>7</v>
      </c>
      <c r="N578">
        <v>7</v>
      </c>
      <c r="O578">
        <f>DATEDIF(Table1[[#This Row],[lead_date]], Table1[[#This Row],[delivery_date]], "d")</f>
        <v>15</v>
      </c>
      <c r="P578" s="5" t="str">
        <f>IF(AND(Table1[[#This Row],[customer_rating]]&gt;=8, Table1[[#This Row],[Tat_day]]&lt;=7, Table1[[#This Row],[lead_type]]="Hot"), "High", "Normal")</f>
        <v>Normal</v>
      </c>
      <c r="Q578" s="5" t="str">
        <f>IF(Table1[[#This Row],[customer_rating]]&gt;=9,"Promoter",IF(Table1[[#This Row],[customer_rating]]&gt;=7,"Passive","Detractor"))</f>
        <v>Passive</v>
      </c>
      <c r="R578" s="5"/>
    </row>
    <row r="579" spans="1:18">
      <c r="A579" t="s">
        <v>605</v>
      </c>
      <c r="B579" t="s">
        <v>21</v>
      </c>
      <c r="C579" t="s">
        <v>30</v>
      </c>
      <c r="D579" s="5">
        <v>45953</v>
      </c>
      <c r="E579" s="5">
        <v>45955</v>
      </c>
      <c r="F579" s="5">
        <v>45957</v>
      </c>
      <c r="G579" s="5">
        <v>45960</v>
      </c>
      <c r="H579" t="s">
        <v>16</v>
      </c>
      <c r="I579" t="s">
        <v>17</v>
      </c>
      <c r="J579" s="5">
        <v>45979</v>
      </c>
      <c r="K579" s="15">
        <f t="shared" si="27"/>
        <v>2</v>
      </c>
      <c r="L579">
        <f t="shared" ref="L579:L642" si="28">IF(OR(E579="", F579=""), "", INT(F579 - E579))</f>
        <v>2</v>
      </c>
      <c r="M579">
        <f t="shared" ref="M579:M642" si="29">IF(OR(F579="", G579=""), "", INT(G579 - F579))</f>
        <v>3</v>
      </c>
      <c r="N579">
        <v>3</v>
      </c>
      <c r="O579">
        <f>DATEDIF(Table1[[#This Row],[lead_date]], Table1[[#This Row],[delivery_date]], "d")</f>
        <v>7</v>
      </c>
      <c r="P579" s="5" t="str">
        <f>IF(AND(Table1[[#This Row],[customer_rating]]&gt;=8, Table1[[#This Row],[Tat_day]]&lt;=7, Table1[[#This Row],[lead_type]]="Hot"), "High", "Normal")</f>
        <v>Normal</v>
      </c>
      <c r="Q579" s="5" t="str">
        <f>IF(Table1[[#This Row],[customer_rating]]&gt;=9,"Promoter",IF(Table1[[#This Row],[customer_rating]]&gt;=7,"Passive","Detractor"))</f>
        <v>Detractor</v>
      </c>
      <c r="R579" s="5"/>
    </row>
    <row r="580" spans="1:18">
      <c r="A580" t="s">
        <v>606</v>
      </c>
      <c r="B580" t="s">
        <v>32</v>
      </c>
      <c r="C580" t="s">
        <v>30</v>
      </c>
      <c r="D580" s="5">
        <v>45940</v>
      </c>
      <c r="E580" s="5">
        <v>45942</v>
      </c>
      <c r="F580" s="5">
        <v>45945</v>
      </c>
      <c r="G580" s="5">
        <v>45952</v>
      </c>
      <c r="H580" t="s">
        <v>16</v>
      </c>
      <c r="I580" t="s">
        <v>17</v>
      </c>
      <c r="J580" s="5">
        <v>45965</v>
      </c>
      <c r="K580" s="15">
        <f t="shared" si="27"/>
        <v>2</v>
      </c>
      <c r="L580">
        <f t="shared" si="28"/>
        <v>3</v>
      </c>
      <c r="M580">
        <f t="shared" si="29"/>
        <v>7</v>
      </c>
      <c r="N580">
        <v>6</v>
      </c>
      <c r="O580">
        <f>DATEDIF(Table1[[#This Row],[lead_date]], Table1[[#This Row],[delivery_date]], "d")</f>
        <v>12</v>
      </c>
      <c r="P580" s="5" t="str">
        <f>IF(AND(Table1[[#This Row],[customer_rating]]&gt;=8, Table1[[#This Row],[Tat_day]]&lt;=7, Table1[[#This Row],[lead_type]]="Hot"), "High", "Normal")</f>
        <v>Normal</v>
      </c>
      <c r="Q580" s="5" t="str">
        <f>IF(Table1[[#This Row],[customer_rating]]&gt;=9,"Promoter",IF(Table1[[#This Row],[customer_rating]]&gt;=7,"Passive","Detractor"))</f>
        <v>Detractor</v>
      </c>
      <c r="R580" s="5"/>
    </row>
    <row r="581" spans="1:18">
      <c r="A581" t="s">
        <v>607</v>
      </c>
      <c r="B581" t="s">
        <v>32</v>
      </c>
      <c r="C581" t="s">
        <v>30</v>
      </c>
      <c r="D581" s="5">
        <v>45959</v>
      </c>
      <c r="E581" s="5">
        <v>45960</v>
      </c>
      <c r="F581" s="5">
        <v>45962</v>
      </c>
      <c r="G581" s="5">
        <v>45964</v>
      </c>
      <c r="H581" t="s">
        <v>16</v>
      </c>
      <c r="I581" t="s">
        <v>17</v>
      </c>
      <c r="J581" s="5">
        <v>45989</v>
      </c>
      <c r="K581" s="15">
        <f t="shared" si="27"/>
        <v>1</v>
      </c>
      <c r="L581">
        <f t="shared" si="28"/>
        <v>2</v>
      </c>
      <c r="M581">
        <f t="shared" si="29"/>
        <v>2</v>
      </c>
      <c r="N581">
        <v>9</v>
      </c>
      <c r="O581">
        <f>DATEDIF(Table1[[#This Row],[lead_date]], Table1[[#This Row],[delivery_date]], "d")</f>
        <v>5</v>
      </c>
      <c r="P581" s="5" t="str">
        <f>IF(AND(Table1[[#This Row],[customer_rating]]&gt;=8, Table1[[#This Row],[Tat_day]]&lt;=7, Table1[[#This Row],[lead_type]]="Hot"), "High", "Normal")</f>
        <v>High</v>
      </c>
      <c r="Q581" s="5" t="str">
        <f>IF(Table1[[#This Row],[customer_rating]]&gt;=9,"Promoter",IF(Table1[[#This Row],[customer_rating]]&gt;=7,"Passive","Detractor"))</f>
        <v>Promoter</v>
      </c>
      <c r="R581" s="5"/>
    </row>
    <row r="582" spans="1:18">
      <c r="A582" t="s">
        <v>608</v>
      </c>
      <c r="B582" t="s">
        <v>21</v>
      </c>
      <c r="C582" t="s">
        <v>15</v>
      </c>
      <c r="D582" s="5">
        <v>45931</v>
      </c>
      <c r="E582" s="5">
        <v>45935</v>
      </c>
      <c r="F582" s="5">
        <v>45937</v>
      </c>
      <c r="G582" s="5">
        <v>45940</v>
      </c>
      <c r="H582" t="s">
        <v>16</v>
      </c>
      <c r="I582" t="s">
        <v>17</v>
      </c>
      <c r="J582" s="5">
        <v>45952</v>
      </c>
      <c r="K582" s="15">
        <f t="shared" si="27"/>
        <v>4</v>
      </c>
      <c r="L582">
        <f t="shared" si="28"/>
        <v>2</v>
      </c>
      <c r="M582">
        <f t="shared" si="29"/>
        <v>3</v>
      </c>
      <c r="N582">
        <v>6</v>
      </c>
      <c r="O582">
        <f>DATEDIF(Table1[[#This Row],[lead_date]], Table1[[#This Row],[delivery_date]], "d")</f>
        <v>9</v>
      </c>
      <c r="P582" s="5" t="str">
        <f>IF(AND(Table1[[#This Row],[customer_rating]]&gt;=8, Table1[[#This Row],[Tat_day]]&lt;=7, Table1[[#This Row],[lead_type]]="Hot"), "High", "Normal")</f>
        <v>Normal</v>
      </c>
      <c r="Q582" s="5" t="str">
        <f>IF(Table1[[#This Row],[customer_rating]]&gt;=9,"Promoter",IF(Table1[[#This Row],[customer_rating]]&gt;=7,"Passive","Detractor"))</f>
        <v>Detractor</v>
      </c>
      <c r="R582" s="5"/>
    </row>
    <row r="583" spans="1:18">
      <c r="A583" t="s">
        <v>609</v>
      </c>
      <c r="B583" t="s">
        <v>32</v>
      </c>
      <c r="C583" t="s">
        <v>15</v>
      </c>
      <c r="D583" s="5">
        <v>45932</v>
      </c>
      <c r="E583" s="5">
        <v>45933</v>
      </c>
      <c r="F583" s="5">
        <v>45938</v>
      </c>
      <c r="G583" s="5">
        <v>45943</v>
      </c>
      <c r="H583" t="s">
        <v>16</v>
      </c>
      <c r="I583" t="s">
        <v>17</v>
      </c>
      <c r="J583" s="5">
        <v>45963</v>
      </c>
      <c r="K583" s="15">
        <f t="shared" si="27"/>
        <v>1</v>
      </c>
      <c r="L583">
        <f t="shared" si="28"/>
        <v>5</v>
      </c>
      <c r="M583">
        <f t="shared" si="29"/>
        <v>5</v>
      </c>
      <c r="N583">
        <v>3</v>
      </c>
      <c r="O583">
        <f>DATEDIF(Table1[[#This Row],[lead_date]], Table1[[#This Row],[delivery_date]], "d")</f>
        <v>11</v>
      </c>
      <c r="P583" s="5" t="str">
        <f>IF(AND(Table1[[#This Row],[customer_rating]]&gt;=8, Table1[[#This Row],[Tat_day]]&lt;=7, Table1[[#This Row],[lead_type]]="Hot"), "High", "Normal")</f>
        <v>Normal</v>
      </c>
      <c r="Q583" s="5" t="str">
        <f>IF(Table1[[#This Row],[customer_rating]]&gt;=9,"Promoter",IF(Table1[[#This Row],[customer_rating]]&gt;=7,"Passive","Detractor"))</f>
        <v>Detractor</v>
      </c>
      <c r="R583" s="5"/>
    </row>
    <row r="584" spans="1:18">
      <c r="A584" t="s">
        <v>610</v>
      </c>
      <c r="B584" t="s">
        <v>32</v>
      </c>
      <c r="C584" t="s">
        <v>15</v>
      </c>
      <c r="D584" s="5">
        <v>45941</v>
      </c>
      <c r="E584" s="5">
        <v>45944</v>
      </c>
      <c r="F584" s="5">
        <v>45948</v>
      </c>
      <c r="G584" s="5">
        <v>45952</v>
      </c>
      <c r="H584" t="s">
        <v>16</v>
      </c>
      <c r="I584" t="s">
        <v>17</v>
      </c>
      <c r="J584" s="5">
        <v>45970</v>
      </c>
      <c r="K584" s="15">
        <f t="shared" si="27"/>
        <v>3</v>
      </c>
      <c r="L584">
        <f t="shared" si="28"/>
        <v>4</v>
      </c>
      <c r="M584">
        <f t="shared" si="29"/>
        <v>4</v>
      </c>
      <c r="N584">
        <v>1</v>
      </c>
      <c r="O584">
        <f>DATEDIF(Table1[[#This Row],[lead_date]], Table1[[#This Row],[delivery_date]], "d")</f>
        <v>11</v>
      </c>
      <c r="P584" s="5" t="str">
        <f>IF(AND(Table1[[#This Row],[customer_rating]]&gt;=8, Table1[[#This Row],[Tat_day]]&lt;=7, Table1[[#This Row],[lead_type]]="Hot"), "High", "Normal")</f>
        <v>Normal</v>
      </c>
      <c r="Q584" s="5" t="str">
        <f>IF(Table1[[#This Row],[customer_rating]]&gt;=9,"Promoter",IF(Table1[[#This Row],[customer_rating]]&gt;=7,"Passive","Detractor"))</f>
        <v>Detractor</v>
      </c>
      <c r="R584" s="5"/>
    </row>
    <row r="585" spans="1:18">
      <c r="A585" t="s">
        <v>611</v>
      </c>
      <c r="B585" t="s">
        <v>32</v>
      </c>
      <c r="C585" t="s">
        <v>15</v>
      </c>
      <c r="D585" s="5">
        <v>45956</v>
      </c>
      <c r="E585" s="5">
        <v>45958</v>
      </c>
      <c r="F585" s="5">
        <v>45960</v>
      </c>
      <c r="G585" s="5">
        <v>45966</v>
      </c>
      <c r="H585" t="s">
        <v>16</v>
      </c>
      <c r="I585" t="s">
        <v>17</v>
      </c>
      <c r="J585" s="5">
        <v>45996</v>
      </c>
      <c r="K585" s="15">
        <f t="shared" ref="K585:K648" si="30">IF(OR(D585="",E585=""),"",INT(E585-D585))</f>
        <v>2</v>
      </c>
      <c r="L585">
        <f t="shared" si="28"/>
        <v>2</v>
      </c>
      <c r="M585">
        <f t="shared" si="29"/>
        <v>6</v>
      </c>
      <c r="N585">
        <v>5</v>
      </c>
      <c r="O585">
        <f>DATEDIF(Table1[[#This Row],[lead_date]], Table1[[#This Row],[delivery_date]], "d")</f>
        <v>10</v>
      </c>
      <c r="P585" s="5" t="str">
        <f>IF(AND(Table1[[#This Row],[customer_rating]]&gt;=8, Table1[[#This Row],[Tat_day]]&lt;=7, Table1[[#This Row],[lead_type]]="Hot"), "High", "Normal")</f>
        <v>Normal</v>
      </c>
      <c r="Q585" s="5" t="str">
        <f>IF(Table1[[#This Row],[customer_rating]]&gt;=9,"Promoter",IF(Table1[[#This Row],[customer_rating]]&gt;=7,"Passive","Detractor"))</f>
        <v>Detractor</v>
      </c>
      <c r="R585" s="5"/>
    </row>
    <row r="586" spans="1:18">
      <c r="A586" t="s">
        <v>612</v>
      </c>
      <c r="B586" t="s">
        <v>32</v>
      </c>
      <c r="C586" t="s">
        <v>15</v>
      </c>
      <c r="D586" s="5">
        <v>45932</v>
      </c>
      <c r="E586" s="5">
        <v>45933</v>
      </c>
      <c r="F586" s="5">
        <v>45938</v>
      </c>
      <c r="G586" s="5">
        <v>45944</v>
      </c>
      <c r="H586" t="s">
        <v>23</v>
      </c>
      <c r="I586" t="s">
        <v>33</v>
      </c>
      <c r="K586" s="15">
        <f t="shared" si="30"/>
        <v>1</v>
      </c>
      <c r="L586">
        <f t="shared" si="28"/>
        <v>5</v>
      </c>
      <c r="M586">
        <f t="shared" si="29"/>
        <v>6</v>
      </c>
      <c r="O586">
        <f>DATEDIF(Table1[[#This Row],[lead_date]], Table1[[#This Row],[delivery_date]], "d")</f>
        <v>12</v>
      </c>
      <c r="P586" s="5" t="str">
        <f>IF(AND(Table1[[#This Row],[customer_rating]]&gt;=8, Table1[[#This Row],[Tat_day]]&lt;=7, Table1[[#This Row],[lead_type]]="Hot"), "High", "Normal")</f>
        <v>Normal</v>
      </c>
      <c r="Q586" s="5" t="str">
        <f>IF(Table1[[#This Row],[customer_rating]]&gt;=9,"Promoter",IF(Table1[[#This Row],[customer_rating]]&gt;=7,"Passive","Detractor"))</f>
        <v>Detractor</v>
      </c>
      <c r="R586" s="5"/>
    </row>
    <row r="587" spans="1:18">
      <c r="A587" t="s">
        <v>613</v>
      </c>
      <c r="B587" t="s">
        <v>32</v>
      </c>
      <c r="C587" t="s">
        <v>30</v>
      </c>
      <c r="D587" s="5">
        <v>45940</v>
      </c>
      <c r="E587" s="5">
        <v>45942</v>
      </c>
      <c r="F587" s="5">
        <v>45943</v>
      </c>
      <c r="G587" s="5">
        <v>45950</v>
      </c>
      <c r="H587" t="s">
        <v>16</v>
      </c>
      <c r="I587" t="s">
        <v>17</v>
      </c>
      <c r="J587" s="5">
        <v>45970</v>
      </c>
      <c r="K587" s="15">
        <f t="shared" si="30"/>
        <v>2</v>
      </c>
      <c r="L587">
        <f t="shared" si="28"/>
        <v>1</v>
      </c>
      <c r="M587">
        <f t="shared" si="29"/>
        <v>7</v>
      </c>
      <c r="N587">
        <v>5</v>
      </c>
      <c r="O587">
        <f>DATEDIF(Table1[[#This Row],[lead_date]], Table1[[#This Row],[delivery_date]], "d")</f>
        <v>10</v>
      </c>
      <c r="P587" s="5" t="str">
        <f>IF(AND(Table1[[#This Row],[customer_rating]]&gt;=8, Table1[[#This Row],[Tat_day]]&lt;=7, Table1[[#This Row],[lead_type]]="Hot"), "High", "Normal")</f>
        <v>Normal</v>
      </c>
      <c r="Q587" s="5" t="str">
        <f>IF(Table1[[#This Row],[customer_rating]]&gt;=9,"Promoter",IF(Table1[[#This Row],[customer_rating]]&gt;=7,"Passive","Detractor"))</f>
        <v>Detractor</v>
      </c>
      <c r="R587" s="5"/>
    </row>
    <row r="588" spans="1:18">
      <c r="A588" t="s">
        <v>614</v>
      </c>
      <c r="B588" t="s">
        <v>14</v>
      </c>
      <c r="C588" t="s">
        <v>15</v>
      </c>
      <c r="D588" s="5">
        <v>45942</v>
      </c>
      <c r="E588" s="5">
        <v>45943</v>
      </c>
      <c r="F588" s="5">
        <v>45948</v>
      </c>
      <c r="G588" s="5">
        <v>45952</v>
      </c>
      <c r="H588" t="s">
        <v>16</v>
      </c>
      <c r="I588" t="s">
        <v>17</v>
      </c>
      <c r="J588" s="5">
        <v>45970</v>
      </c>
      <c r="K588" s="15">
        <f t="shared" si="30"/>
        <v>1</v>
      </c>
      <c r="L588">
        <f t="shared" si="28"/>
        <v>5</v>
      </c>
      <c r="M588">
        <f t="shared" si="29"/>
        <v>4</v>
      </c>
      <c r="N588">
        <v>8</v>
      </c>
      <c r="O588">
        <f>DATEDIF(Table1[[#This Row],[lead_date]], Table1[[#This Row],[delivery_date]], "d")</f>
        <v>10</v>
      </c>
      <c r="P588" s="5" t="str">
        <f>IF(AND(Table1[[#This Row],[customer_rating]]&gt;=8, Table1[[#This Row],[Tat_day]]&lt;=7, Table1[[#This Row],[lead_type]]="Hot"), "High", "Normal")</f>
        <v>Normal</v>
      </c>
      <c r="Q588" s="5" t="str">
        <f>IF(Table1[[#This Row],[customer_rating]]&gt;=9,"Promoter",IF(Table1[[#This Row],[customer_rating]]&gt;=7,"Passive","Detractor"))</f>
        <v>Passive</v>
      </c>
      <c r="R588" s="5"/>
    </row>
    <row r="589" spans="1:18">
      <c r="A589" t="s">
        <v>615</v>
      </c>
      <c r="B589" t="s">
        <v>32</v>
      </c>
      <c r="C589" t="s">
        <v>22</v>
      </c>
      <c r="D589" s="5">
        <v>45942</v>
      </c>
      <c r="H589" t="s">
        <v>23</v>
      </c>
      <c r="I589" t="s">
        <v>33</v>
      </c>
      <c r="K589" s="15" t="str">
        <f t="shared" si="30"/>
        <v/>
      </c>
      <c r="L589" t="str">
        <f t="shared" si="28"/>
        <v/>
      </c>
      <c r="M589" t="str">
        <f t="shared" si="29"/>
        <v/>
      </c>
      <c r="O589"/>
      <c r="P589" s="5" t="str">
        <f>IF(AND(Table1[[#This Row],[customer_rating]]&gt;=8, Table1[[#This Row],[Tat_day]]&lt;=7, Table1[[#This Row],[lead_type]]="Hot"), "High", "Normal")</f>
        <v>Normal</v>
      </c>
      <c r="Q589" s="5" t="str">
        <f>IF(Table1[[#This Row],[customer_rating]]&gt;=9,"Promoter",IF(Table1[[#This Row],[customer_rating]]&gt;=7,"Passive","Detractor"))</f>
        <v>Detractor</v>
      </c>
      <c r="R589" s="5"/>
    </row>
    <row r="590" spans="1:18">
      <c r="A590" t="s">
        <v>616</v>
      </c>
      <c r="B590" t="s">
        <v>14</v>
      </c>
      <c r="C590" t="s">
        <v>15</v>
      </c>
      <c r="D590" s="5">
        <v>45944</v>
      </c>
      <c r="E590" s="5">
        <v>45947</v>
      </c>
      <c r="F590" s="5">
        <v>45948</v>
      </c>
      <c r="G590" s="5">
        <v>45951</v>
      </c>
      <c r="H590" t="s">
        <v>23</v>
      </c>
      <c r="I590" t="s">
        <v>101</v>
      </c>
      <c r="K590" s="15">
        <f t="shared" si="30"/>
        <v>3</v>
      </c>
      <c r="L590">
        <f t="shared" si="28"/>
        <v>1</v>
      </c>
      <c r="M590">
        <f t="shared" si="29"/>
        <v>3</v>
      </c>
      <c r="O590">
        <f>DATEDIF(Table1[[#This Row],[lead_date]], Table1[[#This Row],[delivery_date]], "d")</f>
        <v>7</v>
      </c>
      <c r="P590" s="5" t="str">
        <f>IF(AND(Table1[[#This Row],[customer_rating]]&gt;=8, Table1[[#This Row],[Tat_day]]&lt;=7, Table1[[#This Row],[lead_type]]="Hot"), "High", "Normal")</f>
        <v>Normal</v>
      </c>
      <c r="Q590" s="5" t="str">
        <f>IF(Table1[[#This Row],[customer_rating]]&gt;=9,"Promoter",IF(Table1[[#This Row],[customer_rating]]&gt;=7,"Passive","Detractor"))</f>
        <v>Detractor</v>
      </c>
      <c r="R590" s="5"/>
    </row>
    <row r="591" spans="1:18">
      <c r="A591" t="s">
        <v>617</v>
      </c>
      <c r="B591" t="s">
        <v>32</v>
      </c>
      <c r="C591" t="s">
        <v>15</v>
      </c>
      <c r="D591" s="5">
        <v>45935</v>
      </c>
      <c r="E591" s="5">
        <v>45938</v>
      </c>
      <c r="F591" s="5">
        <v>45939</v>
      </c>
      <c r="G591" s="5">
        <v>45943</v>
      </c>
      <c r="H591" t="s">
        <v>16</v>
      </c>
      <c r="I591" t="s">
        <v>17</v>
      </c>
      <c r="J591" s="5">
        <v>45961</v>
      </c>
      <c r="K591" s="15">
        <f t="shared" si="30"/>
        <v>3</v>
      </c>
      <c r="L591">
        <f t="shared" si="28"/>
        <v>1</v>
      </c>
      <c r="M591">
        <f t="shared" si="29"/>
        <v>4</v>
      </c>
      <c r="N591">
        <v>9</v>
      </c>
      <c r="O591">
        <f>DATEDIF(Table1[[#This Row],[lead_date]], Table1[[#This Row],[delivery_date]], "d")</f>
        <v>8</v>
      </c>
      <c r="P591" s="5" t="str">
        <f>IF(AND(Table1[[#This Row],[customer_rating]]&gt;=8, Table1[[#This Row],[Tat_day]]&lt;=7, Table1[[#This Row],[lead_type]]="Hot"), "High", "Normal")</f>
        <v>Normal</v>
      </c>
      <c r="Q591" s="5" t="str">
        <f>IF(Table1[[#This Row],[customer_rating]]&gt;=9,"Promoter",IF(Table1[[#This Row],[customer_rating]]&gt;=7,"Passive","Detractor"))</f>
        <v>Promoter</v>
      </c>
      <c r="R591" s="5"/>
    </row>
    <row r="592" spans="1:18">
      <c r="A592" t="s">
        <v>618</v>
      </c>
      <c r="B592" t="s">
        <v>21</v>
      </c>
      <c r="C592" t="s">
        <v>22</v>
      </c>
      <c r="D592" s="5">
        <v>45938</v>
      </c>
      <c r="H592" t="s">
        <v>23</v>
      </c>
      <c r="I592" t="s">
        <v>63</v>
      </c>
      <c r="K592" s="15" t="str">
        <f t="shared" si="30"/>
        <v/>
      </c>
      <c r="L592" t="str">
        <f t="shared" si="28"/>
        <v/>
      </c>
      <c r="M592" t="str">
        <f t="shared" si="29"/>
        <v/>
      </c>
      <c r="O592"/>
      <c r="P592" s="5" t="str">
        <f>IF(AND(Table1[[#This Row],[customer_rating]]&gt;=8, Table1[[#This Row],[Tat_day]]&lt;=7, Table1[[#This Row],[lead_type]]="Hot"), "High", "Normal")</f>
        <v>Normal</v>
      </c>
      <c r="Q592" s="5" t="str">
        <f>IF(Table1[[#This Row],[customer_rating]]&gt;=9,"Promoter",IF(Table1[[#This Row],[customer_rating]]&gt;=7,"Passive","Detractor"))</f>
        <v>Detractor</v>
      </c>
      <c r="R592" s="5"/>
    </row>
    <row r="593" spans="1:18">
      <c r="A593" t="s">
        <v>619</v>
      </c>
      <c r="B593" t="s">
        <v>19</v>
      </c>
      <c r="C593" t="s">
        <v>15</v>
      </c>
      <c r="D593" s="5">
        <v>45947</v>
      </c>
      <c r="E593" s="5">
        <v>45952</v>
      </c>
      <c r="F593" s="5">
        <v>45953</v>
      </c>
      <c r="G593" s="5">
        <v>45956</v>
      </c>
      <c r="H593" t="s">
        <v>16</v>
      </c>
      <c r="I593" t="s">
        <v>17</v>
      </c>
      <c r="J593" s="5">
        <v>45986</v>
      </c>
      <c r="K593" s="15">
        <f t="shared" si="30"/>
        <v>5</v>
      </c>
      <c r="L593">
        <f t="shared" si="28"/>
        <v>1</v>
      </c>
      <c r="M593">
        <f t="shared" si="29"/>
        <v>3</v>
      </c>
      <c r="N593">
        <v>0</v>
      </c>
      <c r="O593">
        <f>DATEDIF(Table1[[#This Row],[lead_date]], Table1[[#This Row],[delivery_date]], "d")</f>
        <v>9</v>
      </c>
      <c r="P593" s="5" t="str">
        <f>IF(AND(Table1[[#This Row],[customer_rating]]&gt;=8, Table1[[#This Row],[Tat_day]]&lt;=7, Table1[[#This Row],[lead_type]]="Hot"), "High", "Normal")</f>
        <v>Normal</v>
      </c>
      <c r="Q593" s="5" t="str">
        <f>IF(Table1[[#This Row],[customer_rating]]&gt;=9,"Promoter",IF(Table1[[#This Row],[customer_rating]]&gt;=7,"Passive","Detractor"))</f>
        <v>Detractor</v>
      </c>
      <c r="R593" s="5"/>
    </row>
    <row r="594" spans="1:18">
      <c r="A594" t="s">
        <v>620</v>
      </c>
      <c r="B594" t="s">
        <v>14</v>
      </c>
      <c r="C594" t="s">
        <v>30</v>
      </c>
      <c r="D594" s="5">
        <v>45944</v>
      </c>
      <c r="E594" s="5">
        <v>45948</v>
      </c>
      <c r="F594" s="5">
        <v>45949</v>
      </c>
      <c r="G594" s="5">
        <v>45956</v>
      </c>
      <c r="H594" t="s">
        <v>23</v>
      </c>
      <c r="I594" t="s">
        <v>24</v>
      </c>
      <c r="K594" s="15">
        <f t="shared" si="30"/>
        <v>4</v>
      </c>
      <c r="L594">
        <f t="shared" si="28"/>
        <v>1</v>
      </c>
      <c r="M594">
        <f t="shared" si="29"/>
        <v>7</v>
      </c>
      <c r="O594">
        <f>DATEDIF(Table1[[#This Row],[lead_date]], Table1[[#This Row],[delivery_date]], "d")</f>
        <v>12</v>
      </c>
      <c r="P594" s="5" t="str">
        <f>IF(AND(Table1[[#This Row],[customer_rating]]&gt;=8, Table1[[#This Row],[Tat_day]]&lt;=7, Table1[[#This Row],[lead_type]]="Hot"), "High", "Normal")</f>
        <v>Normal</v>
      </c>
      <c r="Q594" s="5" t="str">
        <f>IF(Table1[[#This Row],[customer_rating]]&gt;=9,"Promoter",IF(Table1[[#This Row],[customer_rating]]&gt;=7,"Passive","Detractor"))</f>
        <v>Detractor</v>
      </c>
      <c r="R594" s="5"/>
    </row>
    <row r="595" spans="1:18">
      <c r="A595" t="s">
        <v>621</v>
      </c>
      <c r="B595" t="s">
        <v>32</v>
      </c>
      <c r="C595" t="s">
        <v>15</v>
      </c>
      <c r="D595" s="5">
        <v>45949</v>
      </c>
      <c r="E595" s="5">
        <v>45954</v>
      </c>
      <c r="F595" s="5">
        <v>45958</v>
      </c>
      <c r="G595" s="5">
        <v>45962</v>
      </c>
      <c r="H595" t="s">
        <v>16</v>
      </c>
      <c r="I595" t="s">
        <v>17</v>
      </c>
      <c r="J595" s="5">
        <v>45992</v>
      </c>
      <c r="K595" s="15">
        <f t="shared" si="30"/>
        <v>5</v>
      </c>
      <c r="L595">
        <f t="shared" si="28"/>
        <v>4</v>
      </c>
      <c r="M595">
        <f t="shared" si="29"/>
        <v>4</v>
      </c>
      <c r="N595">
        <v>7</v>
      </c>
      <c r="O595">
        <f>DATEDIF(Table1[[#This Row],[lead_date]], Table1[[#This Row],[delivery_date]], "d")</f>
        <v>13</v>
      </c>
      <c r="P595" s="5" t="str">
        <f>IF(AND(Table1[[#This Row],[customer_rating]]&gt;=8, Table1[[#This Row],[Tat_day]]&lt;=7, Table1[[#This Row],[lead_type]]="Hot"), "High", "Normal")</f>
        <v>Normal</v>
      </c>
      <c r="Q595" s="5" t="str">
        <f>IF(Table1[[#This Row],[customer_rating]]&gt;=9,"Promoter",IF(Table1[[#This Row],[customer_rating]]&gt;=7,"Passive","Detractor"))</f>
        <v>Passive</v>
      </c>
      <c r="R595" s="5"/>
    </row>
    <row r="596" spans="1:18">
      <c r="A596" t="s">
        <v>622</v>
      </c>
      <c r="B596" t="s">
        <v>21</v>
      </c>
      <c r="C596" t="s">
        <v>15</v>
      </c>
      <c r="D596" s="5">
        <v>45952</v>
      </c>
      <c r="E596" s="5">
        <v>45956</v>
      </c>
      <c r="F596" s="5">
        <v>45958</v>
      </c>
      <c r="G596" s="5">
        <v>45965</v>
      </c>
      <c r="H596" t="s">
        <v>16</v>
      </c>
      <c r="I596" t="s">
        <v>17</v>
      </c>
      <c r="J596" s="5">
        <v>45984</v>
      </c>
      <c r="K596" s="15">
        <f t="shared" si="30"/>
        <v>4</v>
      </c>
      <c r="L596">
        <f t="shared" si="28"/>
        <v>2</v>
      </c>
      <c r="M596">
        <f t="shared" si="29"/>
        <v>7</v>
      </c>
      <c r="N596">
        <v>2</v>
      </c>
      <c r="O596">
        <f>DATEDIF(Table1[[#This Row],[lead_date]], Table1[[#This Row],[delivery_date]], "d")</f>
        <v>13</v>
      </c>
      <c r="P596" s="5" t="str">
        <f>IF(AND(Table1[[#This Row],[customer_rating]]&gt;=8, Table1[[#This Row],[Tat_day]]&lt;=7, Table1[[#This Row],[lead_type]]="Hot"), "High", "Normal")</f>
        <v>Normal</v>
      </c>
      <c r="Q596" s="5" t="str">
        <f>IF(Table1[[#This Row],[customer_rating]]&gt;=9,"Promoter",IF(Table1[[#This Row],[customer_rating]]&gt;=7,"Passive","Detractor"))</f>
        <v>Detractor</v>
      </c>
      <c r="R596" s="5"/>
    </row>
    <row r="597" spans="1:18">
      <c r="A597" t="s">
        <v>623</v>
      </c>
      <c r="B597" t="s">
        <v>19</v>
      </c>
      <c r="C597" t="s">
        <v>15</v>
      </c>
      <c r="D597" s="5">
        <v>45956</v>
      </c>
      <c r="E597" s="5">
        <v>45959</v>
      </c>
      <c r="F597" s="5">
        <v>45961</v>
      </c>
      <c r="G597" s="5">
        <v>45963</v>
      </c>
      <c r="H597" t="s">
        <v>16</v>
      </c>
      <c r="I597" t="s">
        <v>17</v>
      </c>
      <c r="J597" s="5">
        <v>45979</v>
      </c>
      <c r="K597" s="15">
        <f t="shared" si="30"/>
        <v>3</v>
      </c>
      <c r="L597">
        <f t="shared" si="28"/>
        <v>2</v>
      </c>
      <c r="M597">
        <f t="shared" si="29"/>
        <v>2</v>
      </c>
      <c r="N597">
        <v>8</v>
      </c>
      <c r="O597">
        <f>DATEDIF(Table1[[#This Row],[lead_date]], Table1[[#This Row],[delivery_date]], "d")</f>
        <v>7</v>
      </c>
      <c r="P597" s="5" t="str">
        <f>IF(AND(Table1[[#This Row],[customer_rating]]&gt;=8, Table1[[#This Row],[Tat_day]]&lt;=7, Table1[[#This Row],[lead_type]]="Hot"), "High", "Normal")</f>
        <v>Normal</v>
      </c>
      <c r="Q597" s="5" t="str">
        <f>IF(Table1[[#This Row],[customer_rating]]&gt;=9,"Promoter",IF(Table1[[#This Row],[customer_rating]]&gt;=7,"Passive","Detractor"))</f>
        <v>Passive</v>
      </c>
      <c r="R597" s="5"/>
    </row>
    <row r="598" spans="1:18">
      <c r="A598" t="s">
        <v>624</v>
      </c>
      <c r="B598" t="s">
        <v>14</v>
      </c>
      <c r="C598" t="s">
        <v>15</v>
      </c>
      <c r="D598" s="5">
        <v>45936</v>
      </c>
      <c r="E598" s="5">
        <v>45937</v>
      </c>
      <c r="F598" s="5">
        <v>45938</v>
      </c>
      <c r="G598" s="5">
        <v>45940</v>
      </c>
      <c r="H598" t="s">
        <v>23</v>
      </c>
      <c r="I598" t="s">
        <v>24</v>
      </c>
      <c r="K598" s="15">
        <f t="shared" si="30"/>
        <v>1</v>
      </c>
      <c r="L598">
        <f t="shared" si="28"/>
        <v>1</v>
      </c>
      <c r="M598">
        <f t="shared" si="29"/>
        <v>2</v>
      </c>
      <c r="O598">
        <f>DATEDIF(Table1[[#This Row],[lead_date]], Table1[[#This Row],[delivery_date]], "d")</f>
        <v>4</v>
      </c>
      <c r="P598" s="5" t="str">
        <f>IF(AND(Table1[[#This Row],[customer_rating]]&gt;=8, Table1[[#This Row],[Tat_day]]&lt;=7, Table1[[#This Row],[lead_type]]="Hot"), "High", "Normal")</f>
        <v>Normal</v>
      </c>
      <c r="Q598" s="5" t="str">
        <f>IF(Table1[[#This Row],[customer_rating]]&gt;=9,"Promoter",IF(Table1[[#This Row],[customer_rating]]&gt;=7,"Passive","Detractor"))</f>
        <v>Detractor</v>
      </c>
      <c r="R598" s="5"/>
    </row>
    <row r="599" spans="1:18">
      <c r="A599" t="s">
        <v>625</v>
      </c>
      <c r="B599" t="s">
        <v>19</v>
      </c>
      <c r="C599" t="s">
        <v>15</v>
      </c>
      <c r="D599" s="5">
        <v>45936</v>
      </c>
      <c r="E599" s="5">
        <v>45938</v>
      </c>
      <c r="F599" s="5">
        <v>45940</v>
      </c>
      <c r="G599" s="5">
        <v>45944</v>
      </c>
      <c r="H599" t="s">
        <v>16</v>
      </c>
      <c r="I599" t="s">
        <v>17</v>
      </c>
      <c r="J599" s="5">
        <v>45958</v>
      </c>
      <c r="K599" s="15">
        <f t="shared" si="30"/>
        <v>2</v>
      </c>
      <c r="L599">
        <f t="shared" si="28"/>
        <v>2</v>
      </c>
      <c r="M599">
        <f t="shared" si="29"/>
        <v>4</v>
      </c>
      <c r="N599">
        <v>3</v>
      </c>
      <c r="O599">
        <f>DATEDIF(Table1[[#This Row],[lead_date]], Table1[[#This Row],[delivery_date]], "d")</f>
        <v>8</v>
      </c>
      <c r="P599" s="5" t="str">
        <f>IF(AND(Table1[[#This Row],[customer_rating]]&gt;=8, Table1[[#This Row],[Tat_day]]&lt;=7, Table1[[#This Row],[lead_type]]="Hot"), "High", "Normal")</f>
        <v>Normal</v>
      </c>
      <c r="Q599" s="5" t="str">
        <f>IF(Table1[[#This Row],[customer_rating]]&gt;=9,"Promoter",IF(Table1[[#This Row],[customer_rating]]&gt;=7,"Passive","Detractor"))</f>
        <v>Detractor</v>
      </c>
      <c r="R599" s="5"/>
    </row>
    <row r="600" spans="1:18">
      <c r="A600" t="s">
        <v>626</v>
      </c>
      <c r="B600" t="s">
        <v>21</v>
      </c>
      <c r="C600" t="s">
        <v>15</v>
      </c>
      <c r="D600" s="5">
        <v>45936</v>
      </c>
      <c r="E600" s="5">
        <v>45939</v>
      </c>
      <c r="F600" s="5">
        <v>45940</v>
      </c>
      <c r="G600" s="5">
        <v>45945</v>
      </c>
      <c r="H600" t="s">
        <v>16</v>
      </c>
      <c r="I600" t="s">
        <v>17</v>
      </c>
      <c r="J600" s="5">
        <v>45971</v>
      </c>
      <c r="K600" s="15">
        <f t="shared" si="30"/>
        <v>3</v>
      </c>
      <c r="L600">
        <f t="shared" si="28"/>
        <v>1</v>
      </c>
      <c r="M600">
        <f t="shared" si="29"/>
        <v>5</v>
      </c>
      <c r="N600">
        <v>1</v>
      </c>
      <c r="O600">
        <f>DATEDIF(Table1[[#This Row],[lead_date]], Table1[[#This Row],[delivery_date]], "d")</f>
        <v>9</v>
      </c>
      <c r="P600" s="5" t="str">
        <f>IF(AND(Table1[[#This Row],[customer_rating]]&gt;=8, Table1[[#This Row],[Tat_day]]&lt;=7, Table1[[#This Row],[lead_type]]="Hot"), "High", "Normal")</f>
        <v>Normal</v>
      </c>
      <c r="Q600" s="5" t="str">
        <f>IF(Table1[[#This Row],[customer_rating]]&gt;=9,"Promoter",IF(Table1[[#This Row],[customer_rating]]&gt;=7,"Passive","Detractor"))</f>
        <v>Detractor</v>
      </c>
      <c r="R600" s="5"/>
    </row>
    <row r="601" spans="1:18">
      <c r="A601" t="s">
        <v>627</v>
      </c>
      <c r="B601" t="s">
        <v>14</v>
      </c>
      <c r="C601" t="s">
        <v>15</v>
      </c>
      <c r="D601" s="5">
        <v>45933</v>
      </c>
      <c r="E601" s="5">
        <v>45936</v>
      </c>
      <c r="F601" s="5">
        <v>45938</v>
      </c>
      <c r="G601" s="5">
        <v>45942</v>
      </c>
      <c r="H601" t="s">
        <v>16</v>
      </c>
      <c r="I601" t="s">
        <v>17</v>
      </c>
      <c r="J601" s="5">
        <v>45959</v>
      </c>
      <c r="K601" s="15">
        <f t="shared" si="30"/>
        <v>3</v>
      </c>
      <c r="L601">
        <f t="shared" si="28"/>
        <v>2</v>
      </c>
      <c r="M601">
        <f t="shared" si="29"/>
        <v>4</v>
      </c>
      <c r="N601">
        <v>4</v>
      </c>
      <c r="O601">
        <f>DATEDIF(Table1[[#This Row],[lead_date]], Table1[[#This Row],[delivery_date]], "d")</f>
        <v>9</v>
      </c>
      <c r="P601" s="5" t="str">
        <f>IF(AND(Table1[[#This Row],[customer_rating]]&gt;=8, Table1[[#This Row],[Tat_day]]&lt;=7, Table1[[#This Row],[lead_type]]="Hot"), "High", "Normal")</f>
        <v>Normal</v>
      </c>
      <c r="Q601" s="5" t="str">
        <f>IF(Table1[[#This Row],[customer_rating]]&gt;=9,"Promoter",IF(Table1[[#This Row],[customer_rating]]&gt;=7,"Passive","Detractor"))</f>
        <v>Detractor</v>
      </c>
      <c r="R601" s="5"/>
    </row>
    <row r="602" spans="1:18">
      <c r="A602" t="s">
        <v>628</v>
      </c>
      <c r="B602" t="s">
        <v>19</v>
      </c>
      <c r="C602" t="s">
        <v>22</v>
      </c>
      <c r="D602" s="5">
        <v>45950</v>
      </c>
      <c r="H602" t="s">
        <v>23</v>
      </c>
      <c r="I602" t="s">
        <v>101</v>
      </c>
      <c r="K602" s="15" t="str">
        <f t="shared" si="30"/>
        <v/>
      </c>
      <c r="L602" t="str">
        <f t="shared" si="28"/>
        <v/>
      </c>
      <c r="M602" t="str">
        <f t="shared" si="29"/>
        <v/>
      </c>
      <c r="O602"/>
      <c r="P602" s="5" t="str">
        <f>IF(AND(Table1[[#This Row],[customer_rating]]&gt;=8, Table1[[#This Row],[Tat_day]]&lt;=7, Table1[[#This Row],[lead_type]]="Hot"), "High", "Normal")</f>
        <v>Normal</v>
      </c>
      <c r="Q602" s="5" t="str">
        <f>IF(Table1[[#This Row],[customer_rating]]&gt;=9,"Promoter",IF(Table1[[#This Row],[customer_rating]]&gt;=7,"Passive","Detractor"))</f>
        <v>Detractor</v>
      </c>
      <c r="R602" s="5"/>
    </row>
    <row r="603" spans="1:18">
      <c r="A603" t="s">
        <v>629</v>
      </c>
      <c r="B603" t="s">
        <v>32</v>
      </c>
      <c r="C603" t="s">
        <v>15</v>
      </c>
      <c r="D603" s="5">
        <v>45958</v>
      </c>
      <c r="E603" s="5">
        <v>45959</v>
      </c>
      <c r="F603" s="5">
        <v>45964</v>
      </c>
      <c r="G603" s="5">
        <v>45970</v>
      </c>
      <c r="H603" t="s">
        <v>16</v>
      </c>
      <c r="I603" t="s">
        <v>17</v>
      </c>
      <c r="J603" s="5">
        <v>45981</v>
      </c>
      <c r="K603" s="15">
        <f t="shared" si="30"/>
        <v>1</v>
      </c>
      <c r="L603">
        <f t="shared" si="28"/>
        <v>5</v>
      </c>
      <c r="M603">
        <f t="shared" si="29"/>
        <v>6</v>
      </c>
      <c r="N603">
        <v>3</v>
      </c>
      <c r="O603">
        <f>DATEDIF(Table1[[#This Row],[lead_date]], Table1[[#This Row],[delivery_date]], "d")</f>
        <v>12</v>
      </c>
      <c r="P603" s="5" t="str">
        <f>IF(AND(Table1[[#This Row],[customer_rating]]&gt;=8, Table1[[#This Row],[Tat_day]]&lt;=7, Table1[[#This Row],[lead_type]]="Hot"), "High", "Normal")</f>
        <v>Normal</v>
      </c>
      <c r="Q603" s="5" t="str">
        <f>IF(Table1[[#This Row],[customer_rating]]&gt;=9,"Promoter",IF(Table1[[#This Row],[customer_rating]]&gt;=7,"Passive","Detractor"))</f>
        <v>Detractor</v>
      </c>
      <c r="R603" s="5"/>
    </row>
    <row r="604" spans="1:18">
      <c r="A604" t="s">
        <v>630</v>
      </c>
      <c r="B604" t="s">
        <v>14</v>
      </c>
      <c r="C604" t="s">
        <v>30</v>
      </c>
      <c r="D604" s="5">
        <v>45943</v>
      </c>
      <c r="E604" s="5">
        <v>45946</v>
      </c>
      <c r="F604" s="5">
        <v>45950</v>
      </c>
      <c r="G604" s="5">
        <v>45952</v>
      </c>
      <c r="H604" t="s">
        <v>16</v>
      </c>
      <c r="I604" t="s">
        <v>17</v>
      </c>
      <c r="J604" s="5">
        <v>45981</v>
      </c>
      <c r="K604" s="15">
        <f t="shared" si="30"/>
        <v>3</v>
      </c>
      <c r="L604">
        <f t="shared" si="28"/>
        <v>4</v>
      </c>
      <c r="M604">
        <f t="shared" si="29"/>
        <v>2</v>
      </c>
      <c r="N604">
        <v>8</v>
      </c>
      <c r="O604">
        <f>DATEDIF(Table1[[#This Row],[lead_date]], Table1[[#This Row],[delivery_date]], "d")</f>
        <v>9</v>
      </c>
      <c r="P604" s="5" t="str">
        <f>IF(AND(Table1[[#This Row],[customer_rating]]&gt;=8, Table1[[#This Row],[Tat_day]]&lt;=7, Table1[[#This Row],[lead_type]]="Hot"), "High", "Normal")</f>
        <v>Normal</v>
      </c>
      <c r="Q604" s="5" t="str">
        <f>IF(Table1[[#This Row],[customer_rating]]&gt;=9,"Promoter",IF(Table1[[#This Row],[customer_rating]]&gt;=7,"Passive","Detractor"))</f>
        <v>Passive</v>
      </c>
      <c r="R604" s="5"/>
    </row>
    <row r="605" spans="1:18">
      <c r="A605" t="s">
        <v>631</v>
      </c>
      <c r="B605" t="s">
        <v>19</v>
      </c>
      <c r="C605" t="s">
        <v>15</v>
      </c>
      <c r="D605" s="5">
        <v>45950</v>
      </c>
      <c r="E605" s="5">
        <v>45953</v>
      </c>
      <c r="F605" s="5">
        <v>45956</v>
      </c>
      <c r="G605" s="5">
        <v>45960</v>
      </c>
      <c r="H605" t="s">
        <v>16</v>
      </c>
      <c r="I605" t="s">
        <v>17</v>
      </c>
      <c r="J605" s="5">
        <v>45982</v>
      </c>
      <c r="K605" s="15">
        <f t="shared" si="30"/>
        <v>3</v>
      </c>
      <c r="L605">
        <f t="shared" si="28"/>
        <v>3</v>
      </c>
      <c r="M605">
        <f t="shared" si="29"/>
        <v>4</v>
      </c>
      <c r="N605">
        <v>6</v>
      </c>
      <c r="O605">
        <f>DATEDIF(Table1[[#This Row],[lead_date]], Table1[[#This Row],[delivery_date]], "d")</f>
        <v>10</v>
      </c>
      <c r="P605" s="5" t="str">
        <f>IF(AND(Table1[[#This Row],[customer_rating]]&gt;=8, Table1[[#This Row],[Tat_day]]&lt;=7, Table1[[#This Row],[lead_type]]="Hot"), "High", "Normal")</f>
        <v>Normal</v>
      </c>
      <c r="Q605" s="5" t="str">
        <f>IF(Table1[[#This Row],[customer_rating]]&gt;=9,"Promoter",IF(Table1[[#This Row],[customer_rating]]&gt;=7,"Passive","Detractor"))</f>
        <v>Detractor</v>
      </c>
      <c r="R605" s="5"/>
    </row>
    <row r="606" spans="1:18">
      <c r="A606" t="s">
        <v>632</v>
      </c>
      <c r="B606" t="s">
        <v>21</v>
      </c>
      <c r="C606" t="s">
        <v>30</v>
      </c>
      <c r="D606" s="5">
        <v>45952</v>
      </c>
      <c r="E606" s="5">
        <v>45953</v>
      </c>
      <c r="F606" s="5">
        <v>45954</v>
      </c>
      <c r="G606" s="5">
        <v>45961</v>
      </c>
      <c r="H606" t="s">
        <v>16</v>
      </c>
      <c r="I606" t="s">
        <v>17</v>
      </c>
      <c r="J606" s="5">
        <v>45981</v>
      </c>
      <c r="K606" s="15">
        <f t="shared" si="30"/>
        <v>1</v>
      </c>
      <c r="L606">
        <f t="shared" si="28"/>
        <v>1</v>
      </c>
      <c r="M606">
        <f t="shared" si="29"/>
        <v>7</v>
      </c>
      <c r="N606">
        <v>9</v>
      </c>
      <c r="O606">
        <f>DATEDIF(Table1[[#This Row],[lead_date]], Table1[[#This Row],[delivery_date]], "d")</f>
        <v>9</v>
      </c>
      <c r="P606" s="5" t="str">
        <f>IF(AND(Table1[[#This Row],[customer_rating]]&gt;=8, Table1[[#This Row],[Tat_day]]&lt;=7, Table1[[#This Row],[lead_type]]="Hot"), "High", "Normal")</f>
        <v>Normal</v>
      </c>
      <c r="Q606" s="5" t="str">
        <f>IF(Table1[[#This Row],[customer_rating]]&gt;=9,"Promoter",IF(Table1[[#This Row],[customer_rating]]&gt;=7,"Passive","Detractor"))</f>
        <v>Promoter</v>
      </c>
      <c r="R606" s="5"/>
    </row>
    <row r="607" spans="1:18">
      <c r="A607" t="s">
        <v>633</v>
      </c>
      <c r="B607" t="s">
        <v>21</v>
      </c>
      <c r="C607" t="s">
        <v>15</v>
      </c>
      <c r="D607" s="5">
        <v>45938</v>
      </c>
      <c r="E607" s="5">
        <v>45941</v>
      </c>
      <c r="F607" s="5">
        <v>45946</v>
      </c>
      <c r="G607" s="5">
        <v>45952</v>
      </c>
      <c r="H607" t="s">
        <v>16</v>
      </c>
      <c r="I607" t="s">
        <v>17</v>
      </c>
      <c r="J607" s="5">
        <v>45966</v>
      </c>
      <c r="K607" s="15">
        <f t="shared" si="30"/>
        <v>3</v>
      </c>
      <c r="L607">
        <f t="shared" si="28"/>
        <v>5</v>
      </c>
      <c r="M607">
        <f t="shared" si="29"/>
        <v>6</v>
      </c>
      <c r="N607">
        <v>3</v>
      </c>
      <c r="O607">
        <f>DATEDIF(Table1[[#This Row],[lead_date]], Table1[[#This Row],[delivery_date]], "d")</f>
        <v>14</v>
      </c>
      <c r="P607" s="5" t="str">
        <f>IF(AND(Table1[[#This Row],[customer_rating]]&gt;=8, Table1[[#This Row],[Tat_day]]&lt;=7, Table1[[#This Row],[lead_type]]="Hot"), "High", "Normal")</f>
        <v>Normal</v>
      </c>
      <c r="Q607" s="5" t="str">
        <f>IF(Table1[[#This Row],[customer_rating]]&gt;=9,"Promoter",IF(Table1[[#This Row],[customer_rating]]&gt;=7,"Passive","Detractor"))</f>
        <v>Detractor</v>
      </c>
      <c r="R607" s="5"/>
    </row>
    <row r="608" spans="1:18">
      <c r="A608" t="s">
        <v>634</v>
      </c>
      <c r="B608" t="s">
        <v>14</v>
      </c>
      <c r="C608" t="s">
        <v>15</v>
      </c>
      <c r="D608" s="5">
        <v>45946</v>
      </c>
      <c r="E608" s="5">
        <v>45950</v>
      </c>
      <c r="F608" s="5">
        <v>45955</v>
      </c>
      <c r="G608" s="5">
        <v>45962</v>
      </c>
      <c r="H608" t="s">
        <v>16</v>
      </c>
      <c r="I608" t="s">
        <v>17</v>
      </c>
      <c r="J608" s="5">
        <v>45972</v>
      </c>
      <c r="K608" s="15">
        <f t="shared" si="30"/>
        <v>4</v>
      </c>
      <c r="L608">
        <f t="shared" si="28"/>
        <v>5</v>
      </c>
      <c r="M608">
        <f t="shared" si="29"/>
        <v>7</v>
      </c>
      <c r="N608">
        <v>2</v>
      </c>
      <c r="O608">
        <f>DATEDIF(Table1[[#This Row],[lead_date]], Table1[[#This Row],[delivery_date]], "d")</f>
        <v>16</v>
      </c>
      <c r="P608" s="5" t="str">
        <f>IF(AND(Table1[[#This Row],[customer_rating]]&gt;=8, Table1[[#This Row],[Tat_day]]&lt;=7, Table1[[#This Row],[lead_type]]="Hot"), "High", "Normal")</f>
        <v>Normal</v>
      </c>
      <c r="Q608" s="5" t="str">
        <f>IF(Table1[[#This Row],[customer_rating]]&gt;=9,"Promoter",IF(Table1[[#This Row],[customer_rating]]&gt;=7,"Passive","Detractor"))</f>
        <v>Detractor</v>
      </c>
      <c r="R608" s="5"/>
    </row>
    <row r="609" spans="1:18">
      <c r="A609" t="s">
        <v>635</v>
      </c>
      <c r="B609" t="s">
        <v>19</v>
      </c>
      <c r="C609" t="s">
        <v>30</v>
      </c>
      <c r="D609" s="5">
        <v>45960</v>
      </c>
      <c r="E609" s="5">
        <v>45964</v>
      </c>
      <c r="F609" s="5">
        <v>45968</v>
      </c>
      <c r="G609" s="5">
        <v>45970</v>
      </c>
      <c r="H609" t="s">
        <v>16</v>
      </c>
      <c r="I609" t="s">
        <v>17</v>
      </c>
      <c r="J609" s="5">
        <v>46000</v>
      </c>
      <c r="K609" s="15">
        <f t="shared" si="30"/>
        <v>4</v>
      </c>
      <c r="L609">
        <f t="shared" si="28"/>
        <v>4</v>
      </c>
      <c r="M609">
        <f t="shared" si="29"/>
        <v>2</v>
      </c>
      <c r="N609">
        <v>4</v>
      </c>
      <c r="O609">
        <f>DATEDIF(Table1[[#This Row],[lead_date]], Table1[[#This Row],[delivery_date]], "d")</f>
        <v>10</v>
      </c>
      <c r="P609" s="5" t="str">
        <f>IF(AND(Table1[[#This Row],[customer_rating]]&gt;=8, Table1[[#This Row],[Tat_day]]&lt;=7, Table1[[#This Row],[lead_type]]="Hot"), "High", "Normal")</f>
        <v>Normal</v>
      </c>
      <c r="Q609" s="5" t="str">
        <f>IF(Table1[[#This Row],[customer_rating]]&gt;=9,"Promoter",IF(Table1[[#This Row],[customer_rating]]&gt;=7,"Passive","Detractor"))</f>
        <v>Detractor</v>
      </c>
      <c r="R609" s="5"/>
    </row>
    <row r="610" spans="1:18">
      <c r="A610" t="s">
        <v>636</v>
      </c>
      <c r="B610" t="s">
        <v>14</v>
      </c>
      <c r="C610" t="s">
        <v>15</v>
      </c>
      <c r="D610" s="5">
        <v>45949</v>
      </c>
      <c r="E610" s="5">
        <v>45953</v>
      </c>
      <c r="F610" s="5">
        <v>45957</v>
      </c>
      <c r="G610" s="5">
        <v>45962</v>
      </c>
      <c r="H610" t="s">
        <v>16</v>
      </c>
      <c r="I610" t="s">
        <v>17</v>
      </c>
      <c r="J610" s="5">
        <v>45987</v>
      </c>
      <c r="K610" s="15">
        <f t="shared" si="30"/>
        <v>4</v>
      </c>
      <c r="L610">
        <f t="shared" si="28"/>
        <v>4</v>
      </c>
      <c r="M610">
        <f t="shared" si="29"/>
        <v>5</v>
      </c>
      <c r="N610">
        <v>0</v>
      </c>
      <c r="O610">
        <f>DATEDIF(Table1[[#This Row],[lead_date]], Table1[[#This Row],[delivery_date]], "d")</f>
        <v>13</v>
      </c>
      <c r="P610" s="5" t="str">
        <f>IF(AND(Table1[[#This Row],[customer_rating]]&gt;=8, Table1[[#This Row],[Tat_day]]&lt;=7, Table1[[#This Row],[lead_type]]="Hot"), "High", "Normal")</f>
        <v>Normal</v>
      </c>
      <c r="Q610" s="5" t="str">
        <f>IF(Table1[[#This Row],[customer_rating]]&gt;=9,"Promoter",IF(Table1[[#This Row],[customer_rating]]&gt;=7,"Passive","Detractor"))</f>
        <v>Detractor</v>
      </c>
      <c r="R610" s="5"/>
    </row>
    <row r="611" spans="1:18">
      <c r="A611" t="s">
        <v>637</v>
      </c>
      <c r="B611" t="s">
        <v>14</v>
      </c>
      <c r="C611" t="s">
        <v>30</v>
      </c>
      <c r="D611" s="5">
        <v>45935</v>
      </c>
      <c r="E611" s="5">
        <v>45939</v>
      </c>
      <c r="F611" s="5">
        <v>45940</v>
      </c>
      <c r="G611" s="5">
        <v>45945</v>
      </c>
      <c r="H611" t="s">
        <v>16</v>
      </c>
      <c r="I611" t="s">
        <v>17</v>
      </c>
      <c r="J611" s="5">
        <v>45964</v>
      </c>
      <c r="K611" s="15">
        <f t="shared" si="30"/>
        <v>4</v>
      </c>
      <c r="L611">
        <f t="shared" si="28"/>
        <v>1</v>
      </c>
      <c r="M611">
        <f t="shared" si="29"/>
        <v>5</v>
      </c>
      <c r="N611">
        <v>1</v>
      </c>
      <c r="O611">
        <f>DATEDIF(Table1[[#This Row],[lead_date]], Table1[[#This Row],[delivery_date]], "d")</f>
        <v>10</v>
      </c>
      <c r="P611" s="5" t="str">
        <f>IF(AND(Table1[[#This Row],[customer_rating]]&gt;=8, Table1[[#This Row],[Tat_day]]&lt;=7, Table1[[#This Row],[lead_type]]="Hot"), "High", "Normal")</f>
        <v>Normal</v>
      </c>
      <c r="Q611" s="5" t="str">
        <f>IF(Table1[[#This Row],[customer_rating]]&gt;=9,"Promoter",IF(Table1[[#This Row],[customer_rating]]&gt;=7,"Passive","Detractor"))</f>
        <v>Detractor</v>
      </c>
      <c r="R611" s="5"/>
    </row>
    <row r="612" spans="1:18">
      <c r="A612" t="s">
        <v>638</v>
      </c>
      <c r="B612" t="s">
        <v>19</v>
      </c>
      <c r="C612" t="s">
        <v>30</v>
      </c>
      <c r="D612" s="5">
        <v>45938</v>
      </c>
      <c r="E612" s="5">
        <v>45941</v>
      </c>
      <c r="F612" s="5">
        <v>45942</v>
      </c>
      <c r="G612" s="5">
        <v>45948</v>
      </c>
      <c r="H612" t="s">
        <v>16</v>
      </c>
      <c r="I612" t="s">
        <v>17</v>
      </c>
      <c r="J612" s="5">
        <v>45966</v>
      </c>
      <c r="K612" s="15">
        <f t="shared" si="30"/>
        <v>3</v>
      </c>
      <c r="L612">
        <f t="shared" si="28"/>
        <v>1</v>
      </c>
      <c r="M612">
        <f t="shared" si="29"/>
        <v>6</v>
      </c>
      <c r="N612">
        <v>1</v>
      </c>
      <c r="O612">
        <f>DATEDIF(Table1[[#This Row],[lead_date]], Table1[[#This Row],[delivery_date]], "d")</f>
        <v>10</v>
      </c>
      <c r="P612" s="5" t="str">
        <f>IF(AND(Table1[[#This Row],[customer_rating]]&gt;=8, Table1[[#This Row],[Tat_day]]&lt;=7, Table1[[#This Row],[lead_type]]="Hot"), "High", "Normal")</f>
        <v>Normal</v>
      </c>
      <c r="Q612" s="5" t="str">
        <f>IF(Table1[[#This Row],[customer_rating]]&gt;=9,"Promoter",IF(Table1[[#This Row],[customer_rating]]&gt;=7,"Passive","Detractor"))</f>
        <v>Detractor</v>
      </c>
      <c r="R612" s="5"/>
    </row>
    <row r="613" spans="1:18">
      <c r="A613" t="s">
        <v>639</v>
      </c>
      <c r="B613" t="s">
        <v>19</v>
      </c>
      <c r="C613" t="s">
        <v>15</v>
      </c>
      <c r="D613" s="5">
        <v>45945</v>
      </c>
      <c r="E613" s="5">
        <v>45947</v>
      </c>
      <c r="F613" s="5">
        <v>45952</v>
      </c>
      <c r="G613" s="5">
        <v>45956</v>
      </c>
      <c r="H613" t="s">
        <v>16</v>
      </c>
      <c r="I613" t="s">
        <v>17</v>
      </c>
      <c r="J613" s="5">
        <v>45979</v>
      </c>
      <c r="K613" s="15">
        <f t="shared" si="30"/>
        <v>2</v>
      </c>
      <c r="L613">
        <f t="shared" si="28"/>
        <v>5</v>
      </c>
      <c r="M613">
        <f t="shared" si="29"/>
        <v>4</v>
      </c>
      <c r="N613">
        <v>2</v>
      </c>
      <c r="O613">
        <f>DATEDIF(Table1[[#This Row],[lead_date]], Table1[[#This Row],[delivery_date]], "d")</f>
        <v>11</v>
      </c>
      <c r="P613" s="5" t="str">
        <f>IF(AND(Table1[[#This Row],[customer_rating]]&gt;=8, Table1[[#This Row],[Tat_day]]&lt;=7, Table1[[#This Row],[lead_type]]="Hot"), "High", "Normal")</f>
        <v>Normal</v>
      </c>
      <c r="Q613" s="5" t="str">
        <f>IF(Table1[[#This Row],[customer_rating]]&gt;=9,"Promoter",IF(Table1[[#This Row],[customer_rating]]&gt;=7,"Passive","Detractor"))</f>
        <v>Detractor</v>
      </c>
      <c r="R613" s="5"/>
    </row>
    <row r="614" spans="1:18">
      <c r="A614" t="s">
        <v>640</v>
      </c>
      <c r="B614" t="s">
        <v>32</v>
      </c>
      <c r="C614" t="s">
        <v>15</v>
      </c>
      <c r="D614" s="5">
        <v>45951</v>
      </c>
      <c r="E614" s="5">
        <v>45955</v>
      </c>
      <c r="F614" s="5">
        <v>45960</v>
      </c>
      <c r="G614" s="5">
        <v>45962</v>
      </c>
      <c r="H614" t="s">
        <v>16</v>
      </c>
      <c r="I614" t="s">
        <v>17</v>
      </c>
      <c r="J614" s="5">
        <v>45984</v>
      </c>
      <c r="K614" s="15">
        <f t="shared" si="30"/>
        <v>4</v>
      </c>
      <c r="L614">
        <f t="shared" si="28"/>
        <v>5</v>
      </c>
      <c r="M614">
        <f t="shared" si="29"/>
        <v>2</v>
      </c>
      <c r="N614">
        <v>8</v>
      </c>
      <c r="O614">
        <f>DATEDIF(Table1[[#This Row],[lead_date]], Table1[[#This Row],[delivery_date]], "d")</f>
        <v>11</v>
      </c>
      <c r="P614" s="5" t="str">
        <f>IF(AND(Table1[[#This Row],[customer_rating]]&gt;=8, Table1[[#This Row],[Tat_day]]&lt;=7, Table1[[#This Row],[lead_type]]="Hot"), "High", "Normal")</f>
        <v>Normal</v>
      </c>
      <c r="Q614" s="5" t="str">
        <f>IF(Table1[[#This Row],[customer_rating]]&gt;=9,"Promoter",IF(Table1[[#This Row],[customer_rating]]&gt;=7,"Passive","Detractor"))</f>
        <v>Passive</v>
      </c>
      <c r="R614" s="5"/>
    </row>
    <row r="615" spans="1:18">
      <c r="A615" t="s">
        <v>641</v>
      </c>
      <c r="B615" t="s">
        <v>19</v>
      </c>
      <c r="C615" t="s">
        <v>22</v>
      </c>
      <c r="D615" s="5">
        <v>45939</v>
      </c>
      <c r="H615" t="s">
        <v>23</v>
      </c>
      <c r="I615" t="s">
        <v>101</v>
      </c>
      <c r="K615" s="15" t="str">
        <f t="shared" si="30"/>
        <v/>
      </c>
      <c r="L615" t="str">
        <f t="shared" si="28"/>
        <v/>
      </c>
      <c r="M615" t="str">
        <f t="shared" si="29"/>
        <v/>
      </c>
      <c r="O615"/>
      <c r="P615" s="5" t="str">
        <f>IF(AND(Table1[[#This Row],[customer_rating]]&gt;=8, Table1[[#This Row],[Tat_day]]&lt;=7, Table1[[#This Row],[lead_type]]="Hot"), "High", "Normal")</f>
        <v>Normal</v>
      </c>
      <c r="Q615" s="5" t="str">
        <f>IF(Table1[[#This Row],[customer_rating]]&gt;=9,"Promoter",IF(Table1[[#This Row],[customer_rating]]&gt;=7,"Passive","Detractor"))</f>
        <v>Detractor</v>
      </c>
      <c r="R615" s="5"/>
    </row>
    <row r="616" spans="1:18">
      <c r="A616" t="s">
        <v>642</v>
      </c>
      <c r="B616" t="s">
        <v>21</v>
      </c>
      <c r="C616" t="s">
        <v>15</v>
      </c>
      <c r="D616" s="5">
        <v>45945</v>
      </c>
      <c r="E616" s="5">
        <v>45949</v>
      </c>
      <c r="F616" s="5">
        <v>45953</v>
      </c>
      <c r="G616" s="5">
        <v>45958</v>
      </c>
      <c r="H616" t="s">
        <v>16</v>
      </c>
      <c r="I616" t="s">
        <v>17</v>
      </c>
      <c r="J616" s="5">
        <v>45980</v>
      </c>
      <c r="K616" s="15">
        <f t="shared" si="30"/>
        <v>4</v>
      </c>
      <c r="L616">
        <f t="shared" si="28"/>
        <v>4</v>
      </c>
      <c r="M616">
        <f t="shared" si="29"/>
        <v>5</v>
      </c>
      <c r="N616">
        <v>6</v>
      </c>
      <c r="O616">
        <f>DATEDIF(Table1[[#This Row],[lead_date]], Table1[[#This Row],[delivery_date]], "d")</f>
        <v>13</v>
      </c>
      <c r="P616" s="5" t="str">
        <f>IF(AND(Table1[[#This Row],[customer_rating]]&gt;=8, Table1[[#This Row],[Tat_day]]&lt;=7, Table1[[#This Row],[lead_type]]="Hot"), "High", "Normal")</f>
        <v>Normal</v>
      </c>
      <c r="Q616" s="5" t="str">
        <f>IF(Table1[[#This Row],[customer_rating]]&gt;=9,"Promoter",IF(Table1[[#This Row],[customer_rating]]&gt;=7,"Passive","Detractor"))</f>
        <v>Detractor</v>
      </c>
      <c r="R616" s="5"/>
    </row>
    <row r="617" spans="1:18">
      <c r="A617" t="s">
        <v>643</v>
      </c>
      <c r="B617" t="s">
        <v>14</v>
      </c>
      <c r="C617" t="s">
        <v>15</v>
      </c>
      <c r="D617" s="5">
        <v>45939</v>
      </c>
      <c r="E617" s="5">
        <v>45942</v>
      </c>
      <c r="F617" s="5">
        <v>45943</v>
      </c>
      <c r="G617" s="5">
        <v>45949</v>
      </c>
      <c r="H617" t="s">
        <v>16</v>
      </c>
      <c r="I617" t="s">
        <v>17</v>
      </c>
      <c r="J617" s="5">
        <v>45960</v>
      </c>
      <c r="K617" s="15">
        <f t="shared" si="30"/>
        <v>3</v>
      </c>
      <c r="L617">
        <f t="shared" si="28"/>
        <v>1</v>
      </c>
      <c r="M617">
        <f t="shared" si="29"/>
        <v>6</v>
      </c>
      <c r="N617">
        <v>6</v>
      </c>
      <c r="O617">
        <f>DATEDIF(Table1[[#This Row],[lead_date]], Table1[[#This Row],[delivery_date]], "d")</f>
        <v>10</v>
      </c>
      <c r="P617" s="5" t="str">
        <f>IF(AND(Table1[[#This Row],[customer_rating]]&gt;=8, Table1[[#This Row],[Tat_day]]&lt;=7, Table1[[#This Row],[lead_type]]="Hot"), "High", "Normal")</f>
        <v>Normal</v>
      </c>
      <c r="Q617" s="5" t="str">
        <f>IF(Table1[[#This Row],[customer_rating]]&gt;=9,"Promoter",IF(Table1[[#This Row],[customer_rating]]&gt;=7,"Passive","Detractor"))</f>
        <v>Detractor</v>
      </c>
      <c r="R617" s="5"/>
    </row>
    <row r="618" spans="1:18">
      <c r="A618" t="s">
        <v>644</v>
      </c>
      <c r="B618" t="s">
        <v>14</v>
      </c>
      <c r="C618" t="s">
        <v>15</v>
      </c>
      <c r="D618" s="5">
        <v>45952</v>
      </c>
      <c r="E618" s="5">
        <v>45957</v>
      </c>
      <c r="F618" s="5">
        <v>45958</v>
      </c>
      <c r="G618" s="5">
        <v>45961</v>
      </c>
      <c r="H618" t="s">
        <v>16</v>
      </c>
      <c r="I618" t="s">
        <v>17</v>
      </c>
      <c r="J618" s="5">
        <v>45989</v>
      </c>
      <c r="K618" s="15">
        <f t="shared" si="30"/>
        <v>5</v>
      </c>
      <c r="L618">
        <f t="shared" si="28"/>
        <v>1</v>
      </c>
      <c r="M618">
        <f t="shared" si="29"/>
        <v>3</v>
      </c>
      <c r="N618">
        <v>3</v>
      </c>
      <c r="O618">
        <f>DATEDIF(Table1[[#This Row],[lead_date]], Table1[[#This Row],[delivery_date]], "d")</f>
        <v>9</v>
      </c>
      <c r="P618" s="5" t="str">
        <f>IF(AND(Table1[[#This Row],[customer_rating]]&gt;=8, Table1[[#This Row],[Tat_day]]&lt;=7, Table1[[#This Row],[lead_type]]="Hot"), "High", "Normal")</f>
        <v>Normal</v>
      </c>
      <c r="Q618" s="5" t="str">
        <f>IF(Table1[[#This Row],[customer_rating]]&gt;=9,"Promoter",IF(Table1[[#This Row],[customer_rating]]&gt;=7,"Passive","Detractor"))</f>
        <v>Detractor</v>
      </c>
      <c r="R618" s="5"/>
    </row>
    <row r="619" spans="1:18">
      <c r="A619" t="s">
        <v>645</v>
      </c>
      <c r="B619" t="s">
        <v>21</v>
      </c>
      <c r="C619" t="s">
        <v>30</v>
      </c>
      <c r="D619" s="5">
        <v>45931</v>
      </c>
      <c r="E619" s="5">
        <v>45934</v>
      </c>
      <c r="F619" s="5">
        <v>45939</v>
      </c>
      <c r="G619" s="5">
        <v>45943</v>
      </c>
      <c r="H619" t="s">
        <v>16</v>
      </c>
      <c r="I619" t="s">
        <v>17</v>
      </c>
      <c r="J619" s="5">
        <v>45971</v>
      </c>
      <c r="K619" s="15">
        <f t="shared" si="30"/>
        <v>3</v>
      </c>
      <c r="L619">
        <f t="shared" si="28"/>
        <v>5</v>
      </c>
      <c r="M619">
        <f t="shared" si="29"/>
        <v>4</v>
      </c>
      <c r="N619">
        <v>4</v>
      </c>
      <c r="O619">
        <f>DATEDIF(Table1[[#This Row],[lead_date]], Table1[[#This Row],[delivery_date]], "d")</f>
        <v>12</v>
      </c>
      <c r="P619" s="5" t="str">
        <f>IF(AND(Table1[[#This Row],[customer_rating]]&gt;=8, Table1[[#This Row],[Tat_day]]&lt;=7, Table1[[#This Row],[lead_type]]="Hot"), "High", "Normal")</f>
        <v>Normal</v>
      </c>
      <c r="Q619" s="5" t="str">
        <f>IF(Table1[[#This Row],[customer_rating]]&gt;=9,"Promoter",IF(Table1[[#This Row],[customer_rating]]&gt;=7,"Passive","Detractor"))</f>
        <v>Detractor</v>
      </c>
      <c r="R619" s="5"/>
    </row>
    <row r="620" spans="1:18">
      <c r="A620" t="s">
        <v>646</v>
      </c>
      <c r="B620" t="s">
        <v>19</v>
      </c>
      <c r="C620" t="s">
        <v>22</v>
      </c>
      <c r="D620" s="5">
        <v>45959</v>
      </c>
      <c r="H620" t="s">
        <v>23</v>
      </c>
      <c r="I620" t="s">
        <v>101</v>
      </c>
      <c r="K620" s="15" t="str">
        <f t="shared" si="30"/>
        <v/>
      </c>
      <c r="L620" t="str">
        <f t="shared" si="28"/>
        <v/>
      </c>
      <c r="M620" t="str">
        <f t="shared" si="29"/>
        <v/>
      </c>
      <c r="O620"/>
      <c r="P620" s="5" t="str">
        <f>IF(AND(Table1[[#This Row],[customer_rating]]&gt;=8, Table1[[#This Row],[Tat_day]]&lt;=7, Table1[[#This Row],[lead_type]]="Hot"), "High", "Normal")</f>
        <v>Normal</v>
      </c>
      <c r="Q620" s="5" t="str">
        <f>IF(Table1[[#This Row],[customer_rating]]&gt;=9,"Promoter",IF(Table1[[#This Row],[customer_rating]]&gt;=7,"Passive","Detractor"))</f>
        <v>Detractor</v>
      </c>
      <c r="R620" s="5"/>
    </row>
    <row r="621" spans="1:18">
      <c r="A621" t="s">
        <v>647</v>
      </c>
      <c r="B621" t="s">
        <v>21</v>
      </c>
      <c r="C621" t="s">
        <v>15</v>
      </c>
      <c r="D621" s="5">
        <v>45956</v>
      </c>
      <c r="E621" s="5">
        <v>45957</v>
      </c>
      <c r="F621" s="5">
        <v>45960</v>
      </c>
      <c r="G621" s="5">
        <v>45963</v>
      </c>
      <c r="H621" t="s">
        <v>23</v>
      </c>
      <c r="I621" t="s">
        <v>63</v>
      </c>
      <c r="K621" s="15">
        <f t="shared" si="30"/>
        <v>1</v>
      </c>
      <c r="L621">
        <f t="shared" si="28"/>
        <v>3</v>
      </c>
      <c r="M621">
        <f t="shared" si="29"/>
        <v>3</v>
      </c>
      <c r="O621">
        <f>DATEDIF(Table1[[#This Row],[lead_date]], Table1[[#This Row],[delivery_date]], "d")</f>
        <v>7</v>
      </c>
      <c r="P621" s="5" t="str">
        <f>IF(AND(Table1[[#This Row],[customer_rating]]&gt;=8, Table1[[#This Row],[Tat_day]]&lt;=7, Table1[[#This Row],[lead_type]]="Hot"), "High", "Normal")</f>
        <v>Normal</v>
      </c>
      <c r="Q621" s="5" t="str">
        <f>IF(Table1[[#This Row],[customer_rating]]&gt;=9,"Promoter",IF(Table1[[#This Row],[customer_rating]]&gt;=7,"Passive","Detractor"))</f>
        <v>Detractor</v>
      </c>
      <c r="R621" s="5"/>
    </row>
    <row r="622" spans="1:18">
      <c r="A622" t="s">
        <v>648</v>
      </c>
      <c r="B622" t="s">
        <v>21</v>
      </c>
      <c r="C622" t="s">
        <v>15</v>
      </c>
      <c r="D622" s="5">
        <v>45945</v>
      </c>
      <c r="E622" s="5">
        <v>45949</v>
      </c>
      <c r="F622" s="5">
        <v>45954</v>
      </c>
      <c r="G622" s="5">
        <v>45958</v>
      </c>
      <c r="H622" t="s">
        <v>23</v>
      </c>
      <c r="I622" t="s">
        <v>33</v>
      </c>
      <c r="K622" s="15">
        <f t="shared" si="30"/>
        <v>4</v>
      </c>
      <c r="L622">
        <f t="shared" si="28"/>
        <v>5</v>
      </c>
      <c r="M622">
        <f t="shared" si="29"/>
        <v>4</v>
      </c>
      <c r="O622">
        <f>DATEDIF(Table1[[#This Row],[lead_date]], Table1[[#This Row],[delivery_date]], "d")</f>
        <v>13</v>
      </c>
      <c r="P622" s="5" t="str">
        <f>IF(AND(Table1[[#This Row],[customer_rating]]&gt;=8, Table1[[#This Row],[Tat_day]]&lt;=7, Table1[[#This Row],[lead_type]]="Hot"), "High", "Normal")</f>
        <v>Normal</v>
      </c>
      <c r="Q622" s="5" t="str">
        <f>IF(Table1[[#This Row],[customer_rating]]&gt;=9,"Promoter",IF(Table1[[#This Row],[customer_rating]]&gt;=7,"Passive","Detractor"))</f>
        <v>Detractor</v>
      </c>
      <c r="R622" s="5"/>
    </row>
    <row r="623" spans="1:18">
      <c r="A623" t="s">
        <v>649</v>
      </c>
      <c r="B623" t="s">
        <v>32</v>
      </c>
      <c r="C623" t="s">
        <v>30</v>
      </c>
      <c r="D623" s="5">
        <v>45959</v>
      </c>
      <c r="E623" s="5">
        <v>45960</v>
      </c>
      <c r="F623" s="5">
        <v>45963</v>
      </c>
      <c r="G623" s="5">
        <v>45965</v>
      </c>
      <c r="H623" t="s">
        <v>16</v>
      </c>
      <c r="I623" t="s">
        <v>17</v>
      </c>
      <c r="J623" s="5">
        <v>45981</v>
      </c>
      <c r="K623" s="15">
        <f t="shared" si="30"/>
        <v>1</v>
      </c>
      <c r="L623">
        <f t="shared" si="28"/>
        <v>3</v>
      </c>
      <c r="M623">
        <f t="shared" si="29"/>
        <v>2</v>
      </c>
      <c r="N623">
        <v>6</v>
      </c>
      <c r="O623">
        <f>DATEDIF(Table1[[#This Row],[lead_date]], Table1[[#This Row],[delivery_date]], "d")</f>
        <v>6</v>
      </c>
      <c r="P623" s="5" t="str">
        <f>IF(AND(Table1[[#This Row],[customer_rating]]&gt;=8, Table1[[#This Row],[Tat_day]]&lt;=7, Table1[[#This Row],[lead_type]]="Hot"), "High", "Normal")</f>
        <v>Normal</v>
      </c>
      <c r="Q623" s="5" t="str">
        <f>IF(Table1[[#This Row],[customer_rating]]&gt;=9,"Promoter",IF(Table1[[#This Row],[customer_rating]]&gt;=7,"Passive","Detractor"))</f>
        <v>Detractor</v>
      </c>
      <c r="R623" s="5"/>
    </row>
    <row r="624" spans="1:18">
      <c r="A624" t="s">
        <v>650</v>
      </c>
      <c r="B624" t="s">
        <v>21</v>
      </c>
      <c r="C624" t="s">
        <v>15</v>
      </c>
      <c r="D624" s="5">
        <v>45940</v>
      </c>
      <c r="E624" s="5">
        <v>45944</v>
      </c>
      <c r="F624" s="5">
        <v>45945</v>
      </c>
      <c r="G624" s="5">
        <v>45951</v>
      </c>
      <c r="H624" t="s">
        <v>16</v>
      </c>
      <c r="I624" t="s">
        <v>17</v>
      </c>
      <c r="J624" s="5">
        <v>45971</v>
      </c>
      <c r="K624" s="15">
        <f t="shared" si="30"/>
        <v>4</v>
      </c>
      <c r="L624">
        <f t="shared" si="28"/>
        <v>1</v>
      </c>
      <c r="M624">
        <f t="shared" si="29"/>
        <v>6</v>
      </c>
      <c r="N624">
        <v>9</v>
      </c>
      <c r="O624">
        <f>DATEDIF(Table1[[#This Row],[lead_date]], Table1[[#This Row],[delivery_date]], "d")</f>
        <v>11</v>
      </c>
      <c r="P624" s="5" t="str">
        <f>IF(AND(Table1[[#This Row],[customer_rating]]&gt;=8, Table1[[#This Row],[Tat_day]]&lt;=7, Table1[[#This Row],[lead_type]]="Hot"), "High", "Normal")</f>
        <v>Normal</v>
      </c>
      <c r="Q624" s="5" t="str">
        <f>IF(Table1[[#This Row],[customer_rating]]&gt;=9,"Promoter",IF(Table1[[#This Row],[customer_rating]]&gt;=7,"Passive","Detractor"))</f>
        <v>Promoter</v>
      </c>
      <c r="R624" s="5"/>
    </row>
    <row r="625" spans="1:18">
      <c r="A625" t="s">
        <v>651</v>
      </c>
      <c r="B625" t="s">
        <v>14</v>
      </c>
      <c r="C625" t="s">
        <v>15</v>
      </c>
      <c r="D625" s="5">
        <v>45952</v>
      </c>
      <c r="E625" s="5">
        <v>45957</v>
      </c>
      <c r="F625" s="5">
        <v>45962</v>
      </c>
      <c r="G625" s="5">
        <v>45969</v>
      </c>
      <c r="H625" t="s">
        <v>16</v>
      </c>
      <c r="I625" t="s">
        <v>17</v>
      </c>
      <c r="J625" s="5">
        <v>45986</v>
      </c>
      <c r="K625" s="15">
        <f t="shared" si="30"/>
        <v>5</v>
      </c>
      <c r="L625">
        <f t="shared" si="28"/>
        <v>5</v>
      </c>
      <c r="M625">
        <f t="shared" si="29"/>
        <v>7</v>
      </c>
      <c r="N625">
        <v>8</v>
      </c>
      <c r="O625">
        <f>DATEDIF(Table1[[#This Row],[lead_date]], Table1[[#This Row],[delivery_date]], "d")</f>
        <v>17</v>
      </c>
      <c r="P625" s="5" t="str">
        <f>IF(AND(Table1[[#This Row],[customer_rating]]&gt;=8, Table1[[#This Row],[Tat_day]]&lt;=7, Table1[[#This Row],[lead_type]]="Hot"), "High", "Normal")</f>
        <v>Normal</v>
      </c>
      <c r="Q625" s="5" t="str">
        <f>IF(Table1[[#This Row],[customer_rating]]&gt;=9,"Promoter",IF(Table1[[#This Row],[customer_rating]]&gt;=7,"Passive","Detractor"))</f>
        <v>Passive</v>
      </c>
      <c r="R625" s="5"/>
    </row>
    <row r="626" spans="1:18">
      <c r="A626" t="s">
        <v>652</v>
      </c>
      <c r="B626" t="s">
        <v>21</v>
      </c>
      <c r="C626" t="s">
        <v>22</v>
      </c>
      <c r="D626" s="5">
        <v>45948</v>
      </c>
      <c r="H626" t="s">
        <v>23</v>
      </c>
      <c r="I626" t="s">
        <v>101</v>
      </c>
      <c r="K626" s="15" t="str">
        <f t="shared" si="30"/>
        <v/>
      </c>
      <c r="L626" t="str">
        <f t="shared" si="28"/>
        <v/>
      </c>
      <c r="M626" t="str">
        <f t="shared" si="29"/>
        <v/>
      </c>
      <c r="O626"/>
      <c r="P626" s="5" t="str">
        <f>IF(AND(Table1[[#This Row],[customer_rating]]&gt;=8, Table1[[#This Row],[Tat_day]]&lt;=7, Table1[[#This Row],[lead_type]]="Hot"), "High", "Normal")</f>
        <v>Normal</v>
      </c>
      <c r="Q626" s="5" t="str">
        <f>IF(Table1[[#This Row],[customer_rating]]&gt;=9,"Promoter",IF(Table1[[#This Row],[customer_rating]]&gt;=7,"Passive","Detractor"))</f>
        <v>Detractor</v>
      </c>
      <c r="R626" s="5"/>
    </row>
    <row r="627" spans="1:18">
      <c r="A627" t="s">
        <v>653</v>
      </c>
      <c r="B627" t="s">
        <v>14</v>
      </c>
      <c r="C627" t="s">
        <v>30</v>
      </c>
      <c r="D627" s="5">
        <v>45936</v>
      </c>
      <c r="E627" s="5">
        <v>45938</v>
      </c>
      <c r="F627" s="5">
        <v>45942</v>
      </c>
      <c r="G627" s="5">
        <v>45949</v>
      </c>
      <c r="H627" t="s">
        <v>16</v>
      </c>
      <c r="I627" t="s">
        <v>17</v>
      </c>
      <c r="J627" s="5">
        <v>45976</v>
      </c>
      <c r="K627" s="15">
        <f t="shared" si="30"/>
        <v>2</v>
      </c>
      <c r="L627">
        <f t="shared" si="28"/>
        <v>4</v>
      </c>
      <c r="M627">
        <f t="shared" si="29"/>
        <v>7</v>
      </c>
      <c r="N627">
        <v>0</v>
      </c>
      <c r="O627">
        <f>DATEDIF(Table1[[#This Row],[lead_date]], Table1[[#This Row],[delivery_date]], "d")</f>
        <v>13</v>
      </c>
      <c r="P627" s="5" t="str">
        <f>IF(AND(Table1[[#This Row],[customer_rating]]&gt;=8, Table1[[#This Row],[Tat_day]]&lt;=7, Table1[[#This Row],[lead_type]]="Hot"), "High", "Normal")</f>
        <v>Normal</v>
      </c>
      <c r="Q627" s="5" t="str">
        <f>IF(Table1[[#This Row],[customer_rating]]&gt;=9,"Promoter",IF(Table1[[#This Row],[customer_rating]]&gt;=7,"Passive","Detractor"))</f>
        <v>Detractor</v>
      </c>
      <c r="R627" s="5"/>
    </row>
    <row r="628" spans="1:18">
      <c r="A628" t="s">
        <v>654</v>
      </c>
      <c r="B628" t="s">
        <v>14</v>
      </c>
      <c r="C628" t="s">
        <v>15</v>
      </c>
      <c r="D628" s="5">
        <v>45933</v>
      </c>
      <c r="E628" s="5">
        <v>45938</v>
      </c>
      <c r="F628" s="5">
        <v>45940</v>
      </c>
      <c r="G628" s="5">
        <v>45942</v>
      </c>
      <c r="H628" t="s">
        <v>16</v>
      </c>
      <c r="I628" t="s">
        <v>17</v>
      </c>
      <c r="J628" s="5">
        <v>45972</v>
      </c>
      <c r="K628" s="15">
        <f t="shared" si="30"/>
        <v>5</v>
      </c>
      <c r="L628">
        <f t="shared" si="28"/>
        <v>2</v>
      </c>
      <c r="M628">
        <f t="shared" si="29"/>
        <v>2</v>
      </c>
      <c r="N628">
        <v>1</v>
      </c>
      <c r="O628">
        <f>DATEDIF(Table1[[#This Row],[lead_date]], Table1[[#This Row],[delivery_date]], "d")</f>
        <v>9</v>
      </c>
      <c r="P628" s="5" t="str">
        <f>IF(AND(Table1[[#This Row],[customer_rating]]&gt;=8, Table1[[#This Row],[Tat_day]]&lt;=7, Table1[[#This Row],[lead_type]]="Hot"), "High", "Normal")</f>
        <v>Normal</v>
      </c>
      <c r="Q628" s="5" t="str">
        <f>IF(Table1[[#This Row],[customer_rating]]&gt;=9,"Promoter",IF(Table1[[#This Row],[customer_rating]]&gt;=7,"Passive","Detractor"))</f>
        <v>Detractor</v>
      </c>
      <c r="R628" s="5"/>
    </row>
    <row r="629" spans="1:18">
      <c r="A629" t="s">
        <v>655</v>
      </c>
      <c r="B629" t="s">
        <v>14</v>
      </c>
      <c r="C629" t="s">
        <v>22</v>
      </c>
      <c r="D629" s="5">
        <v>45945</v>
      </c>
      <c r="H629" t="s">
        <v>23</v>
      </c>
      <c r="I629" t="s">
        <v>101</v>
      </c>
      <c r="K629" s="15" t="str">
        <f t="shared" si="30"/>
        <v/>
      </c>
      <c r="L629" t="str">
        <f t="shared" si="28"/>
        <v/>
      </c>
      <c r="M629" t="str">
        <f t="shared" si="29"/>
        <v/>
      </c>
      <c r="O629"/>
      <c r="P629" s="5" t="str">
        <f>IF(AND(Table1[[#This Row],[customer_rating]]&gt;=8, Table1[[#This Row],[Tat_day]]&lt;=7, Table1[[#This Row],[lead_type]]="Hot"), "High", "Normal")</f>
        <v>Normal</v>
      </c>
      <c r="Q629" s="5" t="str">
        <f>IF(Table1[[#This Row],[customer_rating]]&gt;=9,"Promoter",IF(Table1[[#This Row],[customer_rating]]&gt;=7,"Passive","Detractor"))</f>
        <v>Detractor</v>
      </c>
      <c r="R629" s="5"/>
    </row>
    <row r="630" spans="1:18">
      <c r="A630" t="s">
        <v>656</v>
      </c>
      <c r="B630" t="s">
        <v>19</v>
      </c>
      <c r="C630" t="s">
        <v>15</v>
      </c>
      <c r="D630" s="5">
        <v>45961</v>
      </c>
      <c r="E630" s="5">
        <v>45964</v>
      </c>
      <c r="F630" s="5">
        <v>45965</v>
      </c>
      <c r="G630" s="5">
        <v>45968</v>
      </c>
      <c r="H630" t="s">
        <v>23</v>
      </c>
      <c r="I630" t="s">
        <v>1028</v>
      </c>
      <c r="K630" s="15">
        <f t="shared" si="30"/>
        <v>3</v>
      </c>
      <c r="L630">
        <f t="shared" si="28"/>
        <v>1</v>
      </c>
      <c r="M630">
        <f t="shared" si="29"/>
        <v>3</v>
      </c>
      <c r="O630">
        <f>DATEDIF(Table1[[#This Row],[lead_date]], Table1[[#This Row],[delivery_date]], "d")</f>
        <v>7</v>
      </c>
      <c r="P630" s="5" t="str">
        <f>IF(AND(Table1[[#This Row],[customer_rating]]&gt;=8, Table1[[#This Row],[Tat_day]]&lt;=7, Table1[[#This Row],[lead_type]]="Hot"), "High", "Normal")</f>
        <v>Normal</v>
      </c>
      <c r="Q630" s="5" t="str">
        <f>IF(Table1[[#This Row],[customer_rating]]&gt;=9,"Promoter",IF(Table1[[#This Row],[customer_rating]]&gt;=7,"Passive","Detractor"))</f>
        <v>Detractor</v>
      </c>
      <c r="R630" s="5"/>
    </row>
    <row r="631" spans="1:18">
      <c r="A631" t="s">
        <v>657</v>
      </c>
      <c r="B631" t="s">
        <v>32</v>
      </c>
      <c r="C631" t="s">
        <v>15</v>
      </c>
      <c r="D631" s="5">
        <v>45942</v>
      </c>
      <c r="E631" s="5">
        <v>45945</v>
      </c>
      <c r="F631" s="5">
        <v>45946</v>
      </c>
      <c r="G631" s="5">
        <v>45953</v>
      </c>
      <c r="H631" t="s">
        <v>16</v>
      </c>
      <c r="I631" t="s">
        <v>17</v>
      </c>
      <c r="J631" s="5">
        <v>45978</v>
      </c>
      <c r="K631" s="15">
        <f t="shared" si="30"/>
        <v>3</v>
      </c>
      <c r="L631">
        <f t="shared" si="28"/>
        <v>1</v>
      </c>
      <c r="M631">
        <f t="shared" si="29"/>
        <v>7</v>
      </c>
      <c r="N631">
        <v>3</v>
      </c>
      <c r="O631">
        <f>DATEDIF(Table1[[#This Row],[lead_date]], Table1[[#This Row],[delivery_date]], "d")</f>
        <v>11</v>
      </c>
      <c r="P631" s="5" t="str">
        <f>IF(AND(Table1[[#This Row],[customer_rating]]&gt;=8, Table1[[#This Row],[Tat_day]]&lt;=7, Table1[[#This Row],[lead_type]]="Hot"), "High", "Normal")</f>
        <v>Normal</v>
      </c>
      <c r="Q631" s="5" t="str">
        <f>IF(Table1[[#This Row],[customer_rating]]&gt;=9,"Promoter",IF(Table1[[#This Row],[customer_rating]]&gt;=7,"Passive","Detractor"))</f>
        <v>Detractor</v>
      </c>
      <c r="R631" s="5"/>
    </row>
    <row r="632" spans="1:18">
      <c r="A632" t="s">
        <v>658</v>
      </c>
      <c r="B632" t="s">
        <v>14</v>
      </c>
      <c r="C632" t="s">
        <v>30</v>
      </c>
      <c r="D632" s="5">
        <v>45949</v>
      </c>
      <c r="E632" s="5">
        <v>45950</v>
      </c>
      <c r="F632" s="5">
        <v>45955</v>
      </c>
      <c r="G632" s="5">
        <v>45961</v>
      </c>
      <c r="H632" t="s">
        <v>16</v>
      </c>
      <c r="I632" t="s">
        <v>17</v>
      </c>
      <c r="J632" s="5">
        <v>45982</v>
      </c>
      <c r="K632" s="15">
        <f t="shared" si="30"/>
        <v>1</v>
      </c>
      <c r="L632">
        <f t="shared" si="28"/>
        <v>5</v>
      </c>
      <c r="M632">
        <f t="shared" si="29"/>
        <v>6</v>
      </c>
      <c r="N632">
        <v>1</v>
      </c>
      <c r="O632">
        <f>DATEDIF(Table1[[#This Row],[lead_date]], Table1[[#This Row],[delivery_date]], "d")</f>
        <v>12</v>
      </c>
      <c r="P632" s="5" t="str">
        <f>IF(AND(Table1[[#This Row],[customer_rating]]&gt;=8, Table1[[#This Row],[Tat_day]]&lt;=7, Table1[[#This Row],[lead_type]]="Hot"), "High", "Normal")</f>
        <v>Normal</v>
      </c>
      <c r="Q632" s="5" t="str">
        <f>IF(Table1[[#This Row],[customer_rating]]&gt;=9,"Promoter",IF(Table1[[#This Row],[customer_rating]]&gt;=7,"Passive","Detractor"))</f>
        <v>Detractor</v>
      </c>
      <c r="R632" s="5"/>
    </row>
    <row r="633" spans="1:18">
      <c r="A633" t="s">
        <v>659</v>
      </c>
      <c r="B633" t="s">
        <v>14</v>
      </c>
      <c r="C633" t="s">
        <v>22</v>
      </c>
      <c r="D633" s="5">
        <v>45940</v>
      </c>
      <c r="H633" t="s">
        <v>23</v>
      </c>
      <c r="I633" t="s">
        <v>63</v>
      </c>
      <c r="K633" s="15" t="str">
        <f t="shared" si="30"/>
        <v/>
      </c>
      <c r="L633" t="str">
        <f t="shared" si="28"/>
        <v/>
      </c>
      <c r="M633" t="str">
        <f t="shared" si="29"/>
        <v/>
      </c>
      <c r="O633"/>
      <c r="P633" s="5" t="str">
        <f>IF(AND(Table1[[#This Row],[customer_rating]]&gt;=8, Table1[[#This Row],[Tat_day]]&lt;=7, Table1[[#This Row],[lead_type]]="Hot"), "High", "Normal")</f>
        <v>Normal</v>
      </c>
      <c r="Q633" s="5" t="str">
        <f>IF(Table1[[#This Row],[customer_rating]]&gt;=9,"Promoter",IF(Table1[[#This Row],[customer_rating]]&gt;=7,"Passive","Detractor"))</f>
        <v>Detractor</v>
      </c>
      <c r="R633" s="5"/>
    </row>
    <row r="634" spans="1:18">
      <c r="A634" t="s">
        <v>660</v>
      </c>
      <c r="B634" t="s">
        <v>19</v>
      </c>
      <c r="C634" t="s">
        <v>30</v>
      </c>
      <c r="D634" s="5">
        <v>45951</v>
      </c>
      <c r="E634" s="5">
        <v>45952</v>
      </c>
      <c r="F634" s="5">
        <v>45954</v>
      </c>
      <c r="G634" s="5">
        <v>45956</v>
      </c>
      <c r="H634" t="s">
        <v>16</v>
      </c>
      <c r="I634" t="s">
        <v>17</v>
      </c>
      <c r="J634" s="5">
        <v>45982</v>
      </c>
      <c r="K634" s="15">
        <f t="shared" si="30"/>
        <v>1</v>
      </c>
      <c r="L634">
        <f t="shared" si="28"/>
        <v>2</v>
      </c>
      <c r="M634">
        <f t="shared" si="29"/>
        <v>2</v>
      </c>
      <c r="N634">
        <v>9</v>
      </c>
      <c r="O634">
        <f>DATEDIF(Table1[[#This Row],[lead_date]], Table1[[#This Row],[delivery_date]], "d")</f>
        <v>5</v>
      </c>
      <c r="P634" s="5" t="str">
        <f>IF(AND(Table1[[#This Row],[customer_rating]]&gt;=8, Table1[[#This Row],[Tat_day]]&lt;=7, Table1[[#This Row],[lead_type]]="Hot"), "High", "Normal")</f>
        <v>High</v>
      </c>
      <c r="Q634" s="5" t="str">
        <f>IF(Table1[[#This Row],[customer_rating]]&gt;=9,"Promoter",IF(Table1[[#This Row],[customer_rating]]&gt;=7,"Passive","Detractor"))</f>
        <v>Promoter</v>
      </c>
      <c r="R634" s="5"/>
    </row>
    <row r="635" spans="1:18">
      <c r="A635" t="s">
        <v>661</v>
      </c>
      <c r="B635" t="s">
        <v>14</v>
      </c>
      <c r="C635" t="s">
        <v>15</v>
      </c>
      <c r="D635" s="5">
        <v>45961</v>
      </c>
      <c r="E635" s="5">
        <v>45964</v>
      </c>
      <c r="F635" s="5">
        <v>45966</v>
      </c>
      <c r="G635" s="5">
        <v>45968</v>
      </c>
      <c r="H635" t="s">
        <v>16</v>
      </c>
      <c r="I635" t="s">
        <v>17</v>
      </c>
      <c r="J635" s="5">
        <v>45987</v>
      </c>
      <c r="K635" s="15">
        <f t="shared" si="30"/>
        <v>3</v>
      </c>
      <c r="L635">
        <f t="shared" si="28"/>
        <v>2</v>
      </c>
      <c r="M635">
        <f t="shared" si="29"/>
        <v>2</v>
      </c>
      <c r="N635">
        <v>3</v>
      </c>
      <c r="O635">
        <f>DATEDIF(Table1[[#This Row],[lead_date]], Table1[[#This Row],[delivery_date]], "d")</f>
        <v>7</v>
      </c>
      <c r="P635" s="5" t="str">
        <f>IF(AND(Table1[[#This Row],[customer_rating]]&gt;=8, Table1[[#This Row],[Tat_day]]&lt;=7, Table1[[#This Row],[lead_type]]="Hot"), "High", "Normal")</f>
        <v>Normal</v>
      </c>
      <c r="Q635" s="5" t="str">
        <f>IF(Table1[[#This Row],[customer_rating]]&gt;=9,"Promoter",IF(Table1[[#This Row],[customer_rating]]&gt;=7,"Passive","Detractor"))</f>
        <v>Detractor</v>
      </c>
      <c r="R635" s="5"/>
    </row>
    <row r="636" spans="1:18">
      <c r="A636" t="s">
        <v>662</v>
      </c>
      <c r="B636" t="s">
        <v>21</v>
      </c>
      <c r="C636" t="s">
        <v>15</v>
      </c>
      <c r="D636" s="5">
        <v>45944</v>
      </c>
      <c r="E636" s="5">
        <v>45947</v>
      </c>
      <c r="F636" s="5">
        <v>45949</v>
      </c>
      <c r="G636" s="5">
        <v>45951</v>
      </c>
      <c r="H636" t="s">
        <v>16</v>
      </c>
      <c r="I636" t="s">
        <v>17</v>
      </c>
      <c r="J636" s="5">
        <v>45966</v>
      </c>
      <c r="K636" s="15">
        <f t="shared" si="30"/>
        <v>3</v>
      </c>
      <c r="L636">
        <f t="shared" si="28"/>
        <v>2</v>
      </c>
      <c r="M636">
        <f t="shared" si="29"/>
        <v>2</v>
      </c>
      <c r="N636">
        <v>5</v>
      </c>
      <c r="O636">
        <f>DATEDIF(Table1[[#This Row],[lead_date]], Table1[[#This Row],[delivery_date]], "d")</f>
        <v>7</v>
      </c>
      <c r="P636" s="5" t="str">
        <f>IF(AND(Table1[[#This Row],[customer_rating]]&gt;=8, Table1[[#This Row],[Tat_day]]&lt;=7, Table1[[#This Row],[lead_type]]="Hot"), "High", "Normal")</f>
        <v>Normal</v>
      </c>
      <c r="Q636" s="5" t="str">
        <f>IF(Table1[[#This Row],[customer_rating]]&gt;=9,"Promoter",IF(Table1[[#This Row],[customer_rating]]&gt;=7,"Passive","Detractor"))</f>
        <v>Detractor</v>
      </c>
      <c r="R636" s="5"/>
    </row>
    <row r="637" spans="1:18">
      <c r="A637" t="s">
        <v>663</v>
      </c>
      <c r="B637" t="s">
        <v>21</v>
      </c>
      <c r="C637" t="s">
        <v>30</v>
      </c>
      <c r="D637" s="5">
        <v>45953</v>
      </c>
      <c r="E637" s="5">
        <v>45956</v>
      </c>
      <c r="F637" s="5">
        <v>45961</v>
      </c>
      <c r="G637" s="5">
        <v>45964</v>
      </c>
      <c r="H637" t="s">
        <v>23</v>
      </c>
      <c r="I637" t="s">
        <v>101</v>
      </c>
      <c r="K637" s="15">
        <f t="shared" si="30"/>
        <v>3</v>
      </c>
      <c r="L637">
        <f t="shared" si="28"/>
        <v>5</v>
      </c>
      <c r="M637">
        <f t="shared" si="29"/>
        <v>3</v>
      </c>
      <c r="O637">
        <f>DATEDIF(Table1[[#This Row],[lead_date]], Table1[[#This Row],[delivery_date]], "d")</f>
        <v>11</v>
      </c>
      <c r="P637" s="5" t="str">
        <f>IF(AND(Table1[[#This Row],[customer_rating]]&gt;=8, Table1[[#This Row],[Tat_day]]&lt;=7, Table1[[#This Row],[lead_type]]="Hot"), "High", "Normal")</f>
        <v>Normal</v>
      </c>
      <c r="Q637" s="5" t="str">
        <f>IF(Table1[[#This Row],[customer_rating]]&gt;=9,"Promoter",IF(Table1[[#This Row],[customer_rating]]&gt;=7,"Passive","Detractor"))</f>
        <v>Detractor</v>
      </c>
      <c r="R637" s="5"/>
    </row>
    <row r="638" spans="1:18">
      <c r="A638" t="s">
        <v>664</v>
      </c>
      <c r="B638" t="s">
        <v>32</v>
      </c>
      <c r="C638" t="s">
        <v>15</v>
      </c>
      <c r="D638" s="5">
        <v>45939</v>
      </c>
      <c r="E638" s="5">
        <v>45943</v>
      </c>
      <c r="F638" s="5">
        <v>45948</v>
      </c>
      <c r="G638" s="5">
        <v>45950</v>
      </c>
      <c r="H638" t="s">
        <v>16</v>
      </c>
      <c r="I638" t="s">
        <v>17</v>
      </c>
      <c r="J638" s="5">
        <v>45977</v>
      </c>
      <c r="K638" s="15">
        <f t="shared" si="30"/>
        <v>4</v>
      </c>
      <c r="L638">
        <f t="shared" si="28"/>
        <v>5</v>
      </c>
      <c r="M638">
        <f t="shared" si="29"/>
        <v>2</v>
      </c>
      <c r="N638">
        <v>3</v>
      </c>
      <c r="O638">
        <f>DATEDIF(Table1[[#This Row],[lead_date]], Table1[[#This Row],[delivery_date]], "d")</f>
        <v>11</v>
      </c>
      <c r="P638" s="5" t="str">
        <f>IF(AND(Table1[[#This Row],[customer_rating]]&gt;=8, Table1[[#This Row],[Tat_day]]&lt;=7, Table1[[#This Row],[lead_type]]="Hot"), "High", "Normal")</f>
        <v>Normal</v>
      </c>
      <c r="Q638" s="5" t="str">
        <f>IF(Table1[[#This Row],[customer_rating]]&gt;=9,"Promoter",IF(Table1[[#This Row],[customer_rating]]&gt;=7,"Passive","Detractor"))</f>
        <v>Detractor</v>
      </c>
      <c r="R638" s="5"/>
    </row>
    <row r="639" spans="1:18">
      <c r="A639" t="s">
        <v>665</v>
      </c>
      <c r="B639" t="s">
        <v>14</v>
      </c>
      <c r="C639" t="s">
        <v>30</v>
      </c>
      <c r="D639" s="5">
        <v>45945</v>
      </c>
      <c r="E639" s="5">
        <v>45950</v>
      </c>
      <c r="F639" s="5">
        <v>45953</v>
      </c>
      <c r="G639" s="5">
        <v>45958</v>
      </c>
      <c r="H639" t="s">
        <v>16</v>
      </c>
      <c r="I639" t="s">
        <v>17</v>
      </c>
      <c r="J639" s="5">
        <v>45973</v>
      </c>
      <c r="K639" s="15">
        <f t="shared" si="30"/>
        <v>5</v>
      </c>
      <c r="L639">
        <f t="shared" si="28"/>
        <v>3</v>
      </c>
      <c r="M639">
        <f t="shared" si="29"/>
        <v>5</v>
      </c>
      <c r="N639">
        <v>2</v>
      </c>
      <c r="O639">
        <f>DATEDIF(Table1[[#This Row],[lead_date]], Table1[[#This Row],[delivery_date]], "d")</f>
        <v>13</v>
      </c>
      <c r="P639" s="5" t="str">
        <f>IF(AND(Table1[[#This Row],[customer_rating]]&gt;=8, Table1[[#This Row],[Tat_day]]&lt;=7, Table1[[#This Row],[lead_type]]="Hot"), "High", "Normal")</f>
        <v>Normal</v>
      </c>
      <c r="Q639" s="5" t="str">
        <f>IF(Table1[[#This Row],[customer_rating]]&gt;=9,"Promoter",IF(Table1[[#This Row],[customer_rating]]&gt;=7,"Passive","Detractor"))</f>
        <v>Detractor</v>
      </c>
      <c r="R639" s="5"/>
    </row>
    <row r="640" spans="1:18">
      <c r="A640" t="s">
        <v>666</v>
      </c>
      <c r="B640" t="s">
        <v>19</v>
      </c>
      <c r="C640" t="s">
        <v>30</v>
      </c>
      <c r="D640" s="5">
        <v>45958</v>
      </c>
      <c r="E640" s="5">
        <v>45962</v>
      </c>
      <c r="F640" s="5">
        <v>45965</v>
      </c>
      <c r="G640" s="5">
        <v>45969</v>
      </c>
      <c r="H640" t="s">
        <v>16</v>
      </c>
      <c r="I640" t="s">
        <v>17</v>
      </c>
      <c r="J640" s="5">
        <v>45988</v>
      </c>
      <c r="K640" s="15">
        <f t="shared" si="30"/>
        <v>4</v>
      </c>
      <c r="L640">
        <f t="shared" si="28"/>
        <v>3</v>
      </c>
      <c r="M640">
        <f t="shared" si="29"/>
        <v>4</v>
      </c>
      <c r="N640">
        <v>1</v>
      </c>
      <c r="O640">
        <f>DATEDIF(Table1[[#This Row],[lead_date]], Table1[[#This Row],[delivery_date]], "d")</f>
        <v>11</v>
      </c>
      <c r="P640" s="5" t="str">
        <f>IF(AND(Table1[[#This Row],[customer_rating]]&gt;=8, Table1[[#This Row],[Tat_day]]&lt;=7, Table1[[#This Row],[lead_type]]="Hot"), "High", "Normal")</f>
        <v>Normal</v>
      </c>
      <c r="Q640" s="5" t="str">
        <f>IF(Table1[[#This Row],[customer_rating]]&gt;=9,"Promoter",IF(Table1[[#This Row],[customer_rating]]&gt;=7,"Passive","Detractor"))</f>
        <v>Detractor</v>
      </c>
      <c r="R640" s="5"/>
    </row>
    <row r="641" spans="1:18">
      <c r="A641" t="s">
        <v>667</v>
      </c>
      <c r="B641" t="s">
        <v>21</v>
      </c>
      <c r="C641" t="s">
        <v>15</v>
      </c>
      <c r="D641" s="5">
        <v>45940</v>
      </c>
      <c r="E641" s="5">
        <v>45942</v>
      </c>
      <c r="F641" s="5">
        <v>45945</v>
      </c>
      <c r="G641" s="5">
        <v>45950</v>
      </c>
      <c r="H641" t="s">
        <v>16</v>
      </c>
      <c r="I641" t="s">
        <v>17</v>
      </c>
      <c r="J641" s="5">
        <v>45963</v>
      </c>
      <c r="K641" s="15">
        <f t="shared" si="30"/>
        <v>2</v>
      </c>
      <c r="L641">
        <f t="shared" si="28"/>
        <v>3</v>
      </c>
      <c r="M641">
        <f t="shared" si="29"/>
        <v>5</v>
      </c>
      <c r="N641">
        <v>8</v>
      </c>
      <c r="O641">
        <f>DATEDIF(Table1[[#This Row],[lead_date]], Table1[[#This Row],[delivery_date]], "d")</f>
        <v>10</v>
      </c>
      <c r="P641" s="5" t="str">
        <f>IF(AND(Table1[[#This Row],[customer_rating]]&gt;=8, Table1[[#This Row],[Tat_day]]&lt;=7, Table1[[#This Row],[lead_type]]="Hot"), "High", "Normal")</f>
        <v>Normal</v>
      </c>
      <c r="Q641" s="5" t="str">
        <f>IF(Table1[[#This Row],[customer_rating]]&gt;=9,"Promoter",IF(Table1[[#This Row],[customer_rating]]&gt;=7,"Passive","Detractor"))</f>
        <v>Passive</v>
      </c>
      <c r="R641" s="5"/>
    </row>
    <row r="642" spans="1:18">
      <c r="A642" t="s">
        <v>668</v>
      </c>
      <c r="B642" t="s">
        <v>19</v>
      </c>
      <c r="C642" t="s">
        <v>22</v>
      </c>
      <c r="D642" s="5">
        <v>45937</v>
      </c>
      <c r="H642" t="s">
        <v>23</v>
      </c>
      <c r="I642" t="s">
        <v>1028</v>
      </c>
      <c r="K642" s="15" t="str">
        <f t="shared" si="30"/>
        <v/>
      </c>
      <c r="L642" t="str">
        <f t="shared" si="28"/>
        <v/>
      </c>
      <c r="M642" t="str">
        <f t="shared" si="29"/>
        <v/>
      </c>
      <c r="O642"/>
      <c r="P642" s="5" t="str">
        <f>IF(AND(Table1[[#This Row],[customer_rating]]&gt;=8, Table1[[#This Row],[Tat_day]]&lt;=7, Table1[[#This Row],[lead_type]]="Hot"), "High", "Normal")</f>
        <v>Normal</v>
      </c>
      <c r="Q642" s="5" t="str">
        <f>IF(Table1[[#This Row],[customer_rating]]&gt;=9,"Promoter",IF(Table1[[#This Row],[customer_rating]]&gt;=7,"Passive","Detractor"))</f>
        <v>Detractor</v>
      </c>
      <c r="R642" s="5"/>
    </row>
    <row r="643" spans="1:18">
      <c r="A643" t="s">
        <v>669</v>
      </c>
      <c r="B643" t="s">
        <v>19</v>
      </c>
      <c r="C643" t="s">
        <v>15</v>
      </c>
      <c r="D643" s="5">
        <v>45943</v>
      </c>
      <c r="E643" s="5">
        <v>45947</v>
      </c>
      <c r="F643" s="5">
        <v>45951</v>
      </c>
      <c r="G643" s="5">
        <v>45954</v>
      </c>
      <c r="H643" t="s">
        <v>16</v>
      </c>
      <c r="I643" t="s">
        <v>17</v>
      </c>
      <c r="J643" s="5">
        <v>45979</v>
      </c>
      <c r="K643" s="15">
        <f t="shared" si="30"/>
        <v>4</v>
      </c>
      <c r="L643">
        <f t="shared" ref="L643:L706" si="31">IF(OR(E643="", F643=""), "", INT(F643 - E643))</f>
        <v>4</v>
      </c>
      <c r="M643">
        <f t="shared" ref="M643:M706" si="32">IF(OR(F643="", G643=""), "", INT(G643 - F643))</f>
        <v>3</v>
      </c>
      <c r="N643">
        <v>9</v>
      </c>
      <c r="O643">
        <f>DATEDIF(Table1[[#This Row],[lead_date]], Table1[[#This Row],[delivery_date]], "d")</f>
        <v>11</v>
      </c>
      <c r="P643" s="5" t="str">
        <f>IF(AND(Table1[[#This Row],[customer_rating]]&gt;=8, Table1[[#This Row],[Tat_day]]&lt;=7, Table1[[#This Row],[lead_type]]="Hot"), "High", "Normal")</f>
        <v>Normal</v>
      </c>
      <c r="Q643" s="5" t="str">
        <f>IF(Table1[[#This Row],[customer_rating]]&gt;=9,"Promoter",IF(Table1[[#This Row],[customer_rating]]&gt;=7,"Passive","Detractor"))</f>
        <v>Promoter</v>
      </c>
      <c r="R643" s="5"/>
    </row>
    <row r="644" spans="1:18">
      <c r="A644" t="s">
        <v>670</v>
      </c>
      <c r="B644" t="s">
        <v>21</v>
      </c>
      <c r="C644" t="s">
        <v>15</v>
      </c>
      <c r="D644" s="5">
        <v>45958</v>
      </c>
      <c r="E644" s="5">
        <v>45961</v>
      </c>
      <c r="F644" s="5">
        <v>45962</v>
      </c>
      <c r="G644" s="5">
        <v>45965</v>
      </c>
      <c r="H644" t="s">
        <v>16</v>
      </c>
      <c r="I644" t="s">
        <v>17</v>
      </c>
      <c r="J644" s="5">
        <v>45979</v>
      </c>
      <c r="K644" s="15">
        <f t="shared" si="30"/>
        <v>3</v>
      </c>
      <c r="L644">
        <f t="shared" si="31"/>
        <v>1</v>
      </c>
      <c r="M644">
        <f t="shared" si="32"/>
        <v>3</v>
      </c>
      <c r="N644">
        <v>4</v>
      </c>
      <c r="O644">
        <f>DATEDIF(Table1[[#This Row],[lead_date]], Table1[[#This Row],[delivery_date]], "d")</f>
        <v>7</v>
      </c>
      <c r="P644" s="5" t="str">
        <f>IF(AND(Table1[[#This Row],[customer_rating]]&gt;=8, Table1[[#This Row],[Tat_day]]&lt;=7, Table1[[#This Row],[lead_type]]="Hot"), "High", "Normal")</f>
        <v>Normal</v>
      </c>
      <c r="Q644" s="5" t="str">
        <f>IF(Table1[[#This Row],[customer_rating]]&gt;=9,"Promoter",IF(Table1[[#This Row],[customer_rating]]&gt;=7,"Passive","Detractor"))</f>
        <v>Detractor</v>
      </c>
      <c r="R644" s="5"/>
    </row>
    <row r="645" spans="1:18">
      <c r="A645" t="s">
        <v>671</v>
      </c>
      <c r="B645" t="s">
        <v>19</v>
      </c>
      <c r="C645" t="s">
        <v>30</v>
      </c>
      <c r="D645" s="5">
        <v>45946</v>
      </c>
      <c r="E645" s="5">
        <v>45950</v>
      </c>
      <c r="F645" s="5">
        <v>45953</v>
      </c>
      <c r="G645" s="5">
        <v>45955</v>
      </c>
      <c r="H645" t="s">
        <v>16</v>
      </c>
      <c r="I645" t="s">
        <v>17</v>
      </c>
      <c r="J645" s="5">
        <v>45973</v>
      </c>
      <c r="K645" s="15">
        <f t="shared" si="30"/>
        <v>4</v>
      </c>
      <c r="L645">
        <f t="shared" si="31"/>
        <v>3</v>
      </c>
      <c r="M645">
        <f t="shared" si="32"/>
        <v>2</v>
      </c>
      <c r="N645">
        <v>4</v>
      </c>
      <c r="O645">
        <f>DATEDIF(Table1[[#This Row],[lead_date]], Table1[[#This Row],[delivery_date]], "d")</f>
        <v>9</v>
      </c>
      <c r="P645" s="5" t="str">
        <f>IF(AND(Table1[[#This Row],[customer_rating]]&gt;=8, Table1[[#This Row],[Tat_day]]&lt;=7, Table1[[#This Row],[lead_type]]="Hot"), "High", "Normal")</f>
        <v>Normal</v>
      </c>
      <c r="Q645" s="5" t="str">
        <f>IF(Table1[[#This Row],[customer_rating]]&gt;=9,"Promoter",IF(Table1[[#This Row],[customer_rating]]&gt;=7,"Passive","Detractor"))</f>
        <v>Detractor</v>
      </c>
      <c r="R645" s="5"/>
    </row>
    <row r="646" spans="1:18">
      <c r="A646" t="s">
        <v>672</v>
      </c>
      <c r="B646" t="s">
        <v>21</v>
      </c>
      <c r="C646" t="s">
        <v>30</v>
      </c>
      <c r="D646" s="5">
        <v>45934</v>
      </c>
      <c r="E646" s="5">
        <v>45935</v>
      </c>
      <c r="F646" s="5">
        <v>45939</v>
      </c>
      <c r="G646" s="5">
        <v>45945</v>
      </c>
      <c r="H646" t="s">
        <v>16</v>
      </c>
      <c r="I646" t="s">
        <v>17</v>
      </c>
      <c r="J646" s="5">
        <v>45972</v>
      </c>
      <c r="K646" s="15">
        <f t="shared" si="30"/>
        <v>1</v>
      </c>
      <c r="L646">
        <f t="shared" si="31"/>
        <v>4</v>
      </c>
      <c r="M646">
        <f t="shared" si="32"/>
        <v>6</v>
      </c>
      <c r="N646">
        <v>1</v>
      </c>
      <c r="O646">
        <f>DATEDIF(Table1[[#This Row],[lead_date]], Table1[[#This Row],[delivery_date]], "d")</f>
        <v>11</v>
      </c>
      <c r="P646" s="5" t="str">
        <f>IF(AND(Table1[[#This Row],[customer_rating]]&gt;=8, Table1[[#This Row],[Tat_day]]&lt;=7, Table1[[#This Row],[lead_type]]="Hot"), "High", "Normal")</f>
        <v>Normal</v>
      </c>
      <c r="Q646" s="5" t="str">
        <f>IF(Table1[[#This Row],[customer_rating]]&gt;=9,"Promoter",IF(Table1[[#This Row],[customer_rating]]&gt;=7,"Passive","Detractor"))</f>
        <v>Detractor</v>
      </c>
      <c r="R646" s="5"/>
    </row>
    <row r="647" spans="1:18">
      <c r="A647" t="s">
        <v>673</v>
      </c>
      <c r="B647" t="s">
        <v>19</v>
      </c>
      <c r="C647" t="s">
        <v>30</v>
      </c>
      <c r="D647" s="5">
        <v>45938</v>
      </c>
      <c r="E647" s="5">
        <v>45941</v>
      </c>
      <c r="F647" s="5">
        <v>45945</v>
      </c>
      <c r="G647" s="5">
        <v>45952</v>
      </c>
      <c r="H647" t="s">
        <v>16</v>
      </c>
      <c r="I647" t="s">
        <v>17</v>
      </c>
      <c r="J647" s="5">
        <v>45967</v>
      </c>
      <c r="K647" s="15">
        <f t="shared" si="30"/>
        <v>3</v>
      </c>
      <c r="L647">
        <f t="shared" si="31"/>
        <v>4</v>
      </c>
      <c r="M647">
        <f t="shared" si="32"/>
        <v>7</v>
      </c>
      <c r="N647">
        <v>0</v>
      </c>
      <c r="O647">
        <f>DATEDIF(Table1[[#This Row],[lead_date]], Table1[[#This Row],[delivery_date]], "d")</f>
        <v>14</v>
      </c>
      <c r="P647" s="5" t="str">
        <f>IF(AND(Table1[[#This Row],[customer_rating]]&gt;=8, Table1[[#This Row],[Tat_day]]&lt;=7, Table1[[#This Row],[lead_type]]="Hot"), "High", "Normal")</f>
        <v>Normal</v>
      </c>
      <c r="Q647" s="5" t="str">
        <f>IF(Table1[[#This Row],[customer_rating]]&gt;=9,"Promoter",IF(Table1[[#This Row],[customer_rating]]&gt;=7,"Passive","Detractor"))</f>
        <v>Detractor</v>
      </c>
      <c r="R647" s="5"/>
    </row>
    <row r="648" spans="1:18">
      <c r="A648" t="s">
        <v>674</v>
      </c>
      <c r="B648" t="s">
        <v>21</v>
      </c>
      <c r="C648" t="s">
        <v>30</v>
      </c>
      <c r="D648" s="5">
        <v>45943</v>
      </c>
      <c r="E648" s="5">
        <v>45948</v>
      </c>
      <c r="F648" s="5">
        <v>45953</v>
      </c>
      <c r="G648" s="5">
        <v>45960</v>
      </c>
      <c r="H648" t="s">
        <v>16</v>
      </c>
      <c r="I648" t="s">
        <v>17</v>
      </c>
      <c r="J648" s="5">
        <v>45980</v>
      </c>
      <c r="K648" s="15">
        <f t="shared" si="30"/>
        <v>5</v>
      </c>
      <c r="L648">
        <f t="shared" si="31"/>
        <v>5</v>
      </c>
      <c r="M648">
        <f t="shared" si="32"/>
        <v>7</v>
      </c>
      <c r="N648">
        <v>6</v>
      </c>
      <c r="O648">
        <f>DATEDIF(Table1[[#This Row],[lead_date]], Table1[[#This Row],[delivery_date]], "d")</f>
        <v>17</v>
      </c>
      <c r="P648" s="5" t="str">
        <f>IF(AND(Table1[[#This Row],[customer_rating]]&gt;=8, Table1[[#This Row],[Tat_day]]&lt;=7, Table1[[#This Row],[lead_type]]="Hot"), "High", "Normal")</f>
        <v>Normal</v>
      </c>
      <c r="Q648" s="5" t="str">
        <f>IF(Table1[[#This Row],[customer_rating]]&gt;=9,"Promoter",IF(Table1[[#This Row],[customer_rating]]&gt;=7,"Passive","Detractor"))</f>
        <v>Detractor</v>
      </c>
      <c r="R648" s="5"/>
    </row>
    <row r="649" spans="1:18">
      <c r="A649" t="s">
        <v>675</v>
      </c>
      <c r="B649" t="s">
        <v>14</v>
      </c>
      <c r="C649" t="s">
        <v>15</v>
      </c>
      <c r="D649" s="5">
        <v>45949</v>
      </c>
      <c r="E649" s="5">
        <v>45953</v>
      </c>
      <c r="F649" s="5">
        <v>45955</v>
      </c>
      <c r="G649" s="5">
        <v>45962</v>
      </c>
      <c r="H649" t="s">
        <v>16</v>
      </c>
      <c r="I649" t="s">
        <v>17</v>
      </c>
      <c r="J649" s="5">
        <v>45992</v>
      </c>
      <c r="K649" s="15">
        <f t="shared" ref="K649:K712" si="33">IF(OR(D649="",E649=""),"",INT(E649-D649))</f>
        <v>4</v>
      </c>
      <c r="L649">
        <f t="shared" si="31"/>
        <v>2</v>
      </c>
      <c r="M649">
        <f t="shared" si="32"/>
        <v>7</v>
      </c>
      <c r="N649">
        <v>5</v>
      </c>
      <c r="O649">
        <f>DATEDIF(Table1[[#This Row],[lead_date]], Table1[[#This Row],[delivery_date]], "d")</f>
        <v>13</v>
      </c>
      <c r="P649" s="5" t="str">
        <f>IF(AND(Table1[[#This Row],[customer_rating]]&gt;=8, Table1[[#This Row],[Tat_day]]&lt;=7, Table1[[#This Row],[lead_type]]="Hot"), "High", "Normal")</f>
        <v>Normal</v>
      </c>
      <c r="Q649" s="5" t="str">
        <f>IF(Table1[[#This Row],[customer_rating]]&gt;=9,"Promoter",IF(Table1[[#This Row],[customer_rating]]&gt;=7,"Passive","Detractor"))</f>
        <v>Detractor</v>
      </c>
      <c r="R649" s="5"/>
    </row>
    <row r="650" spans="1:18">
      <c r="A650" t="s">
        <v>676</v>
      </c>
      <c r="B650" t="s">
        <v>32</v>
      </c>
      <c r="C650" t="s">
        <v>15</v>
      </c>
      <c r="D650" s="5">
        <v>45942</v>
      </c>
      <c r="E650" s="5">
        <v>45945</v>
      </c>
      <c r="F650" s="5">
        <v>45947</v>
      </c>
      <c r="G650" s="5">
        <v>45952</v>
      </c>
      <c r="H650" t="s">
        <v>16</v>
      </c>
      <c r="I650" t="s">
        <v>17</v>
      </c>
      <c r="J650" s="5">
        <v>45964</v>
      </c>
      <c r="K650" s="15">
        <f t="shared" si="33"/>
        <v>3</v>
      </c>
      <c r="L650">
        <f t="shared" si="31"/>
        <v>2</v>
      </c>
      <c r="M650">
        <f t="shared" si="32"/>
        <v>5</v>
      </c>
      <c r="N650">
        <v>0</v>
      </c>
      <c r="O650">
        <f>DATEDIF(Table1[[#This Row],[lead_date]], Table1[[#This Row],[delivery_date]], "d")</f>
        <v>10</v>
      </c>
      <c r="P650" s="5" t="str">
        <f>IF(AND(Table1[[#This Row],[customer_rating]]&gt;=8, Table1[[#This Row],[Tat_day]]&lt;=7, Table1[[#This Row],[lead_type]]="Hot"), "High", "Normal")</f>
        <v>Normal</v>
      </c>
      <c r="Q650" s="5" t="str">
        <f>IF(Table1[[#This Row],[customer_rating]]&gt;=9,"Promoter",IF(Table1[[#This Row],[customer_rating]]&gt;=7,"Passive","Detractor"))</f>
        <v>Detractor</v>
      </c>
      <c r="R650" s="5"/>
    </row>
    <row r="651" spans="1:18">
      <c r="A651" t="s">
        <v>677</v>
      </c>
      <c r="B651" t="s">
        <v>21</v>
      </c>
      <c r="C651" t="s">
        <v>15</v>
      </c>
      <c r="D651" s="5">
        <v>45949</v>
      </c>
      <c r="E651" s="5">
        <v>45950</v>
      </c>
      <c r="F651" s="5">
        <v>45953</v>
      </c>
      <c r="G651" s="5">
        <v>45956</v>
      </c>
      <c r="H651" t="s">
        <v>23</v>
      </c>
      <c r="I651" t="s">
        <v>24</v>
      </c>
      <c r="K651" s="15">
        <f t="shared" si="33"/>
        <v>1</v>
      </c>
      <c r="L651">
        <f t="shared" si="31"/>
        <v>3</v>
      </c>
      <c r="M651">
        <f t="shared" si="32"/>
        <v>3</v>
      </c>
      <c r="O651">
        <f>DATEDIF(Table1[[#This Row],[lead_date]], Table1[[#This Row],[delivery_date]], "d")</f>
        <v>7</v>
      </c>
      <c r="P651" s="5" t="str">
        <f>IF(AND(Table1[[#This Row],[customer_rating]]&gt;=8, Table1[[#This Row],[Tat_day]]&lt;=7, Table1[[#This Row],[lead_type]]="Hot"), "High", "Normal")</f>
        <v>Normal</v>
      </c>
      <c r="Q651" s="5" t="str">
        <f>IF(Table1[[#This Row],[customer_rating]]&gt;=9,"Promoter",IF(Table1[[#This Row],[customer_rating]]&gt;=7,"Passive","Detractor"))</f>
        <v>Detractor</v>
      </c>
      <c r="R651" s="5"/>
    </row>
    <row r="652" spans="1:18">
      <c r="A652" t="s">
        <v>678</v>
      </c>
      <c r="B652" t="s">
        <v>21</v>
      </c>
      <c r="C652" t="s">
        <v>30</v>
      </c>
      <c r="D652" s="5">
        <v>45940</v>
      </c>
      <c r="E652" s="5">
        <v>45941</v>
      </c>
      <c r="F652" s="5">
        <v>45942</v>
      </c>
      <c r="G652" s="5">
        <v>45946</v>
      </c>
      <c r="H652" t="s">
        <v>23</v>
      </c>
      <c r="I652" t="s">
        <v>101</v>
      </c>
      <c r="K652" s="15">
        <f t="shared" si="33"/>
        <v>1</v>
      </c>
      <c r="L652">
        <f t="shared" si="31"/>
        <v>1</v>
      </c>
      <c r="M652">
        <f t="shared" si="32"/>
        <v>4</v>
      </c>
      <c r="O652">
        <f>DATEDIF(Table1[[#This Row],[lead_date]], Table1[[#This Row],[delivery_date]], "d")</f>
        <v>6</v>
      </c>
      <c r="P652" s="5" t="str">
        <f>IF(AND(Table1[[#This Row],[customer_rating]]&gt;=8, Table1[[#This Row],[Tat_day]]&lt;=7, Table1[[#This Row],[lead_type]]="Hot"), "High", "Normal")</f>
        <v>Normal</v>
      </c>
      <c r="Q652" s="5" t="str">
        <f>IF(Table1[[#This Row],[customer_rating]]&gt;=9,"Promoter",IF(Table1[[#This Row],[customer_rating]]&gt;=7,"Passive","Detractor"))</f>
        <v>Detractor</v>
      </c>
      <c r="R652" s="5"/>
    </row>
    <row r="653" spans="1:18">
      <c r="A653" t="s">
        <v>679</v>
      </c>
      <c r="B653" t="s">
        <v>32</v>
      </c>
      <c r="C653" t="s">
        <v>15</v>
      </c>
      <c r="D653" s="5">
        <v>45953</v>
      </c>
      <c r="E653" s="5">
        <v>45957</v>
      </c>
      <c r="F653" s="5">
        <v>45958</v>
      </c>
      <c r="G653" s="5">
        <v>45961</v>
      </c>
      <c r="H653" t="s">
        <v>23</v>
      </c>
      <c r="I653" t="s">
        <v>101</v>
      </c>
      <c r="K653" s="15">
        <f t="shared" si="33"/>
        <v>4</v>
      </c>
      <c r="L653">
        <f t="shared" si="31"/>
        <v>1</v>
      </c>
      <c r="M653">
        <f t="shared" si="32"/>
        <v>3</v>
      </c>
      <c r="O653">
        <f>DATEDIF(Table1[[#This Row],[lead_date]], Table1[[#This Row],[delivery_date]], "d")</f>
        <v>8</v>
      </c>
      <c r="P653" s="5" t="str">
        <f>IF(AND(Table1[[#This Row],[customer_rating]]&gt;=8, Table1[[#This Row],[Tat_day]]&lt;=7, Table1[[#This Row],[lead_type]]="Hot"), "High", "Normal")</f>
        <v>Normal</v>
      </c>
      <c r="Q653" s="5" t="str">
        <f>IF(Table1[[#This Row],[customer_rating]]&gt;=9,"Promoter",IF(Table1[[#This Row],[customer_rating]]&gt;=7,"Passive","Detractor"))</f>
        <v>Detractor</v>
      </c>
      <c r="R653" s="5"/>
    </row>
    <row r="654" spans="1:18">
      <c r="A654" t="s">
        <v>680</v>
      </c>
      <c r="B654" t="s">
        <v>21</v>
      </c>
      <c r="C654" t="s">
        <v>22</v>
      </c>
      <c r="D654" s="5">
        <v>45940</v>
      </c>
      <c r="H654" t="s">
        <v>23</v>
      </c>
      <c r="I654" t="s">
        <v>1028</v>
      </c>
      <c r="K654" s="15" t="str">
        <f t="shared" si="33"/>
        <v/>
      </c>
      <c r="L654" t="str">
        <f t="shared" si="31"/>
        <v/>
      </c>
      <c r="M654" t="str">
        <f t="shared" si="32"/>
        <v/>
      </c>
      <c r="O654"/>
      <c r="P654" s="5" t="str">
        <f>IF(AND(Table1[[#This Row],[customer_rating]]&gt;=8, Table1[[#This Row],[Tat_day]]&lt;=7, Table1[[#This Row],[lead_type]]="Hot"), "High", "Normal")</f>
        <v>Normal</v>
      </c>
      <c r="Q654" s="5" t="str">
        <f>IF(Table1[[#This Row],[customer_rating]]&gt;=9,"Promoter",IF(Table1[[#This Row],[customer_rating]]&gt;=7,"Passive","Detractor"))</f>
        <v>Detractor</v>
      </c>
      <c r="R654" s="5"/>
    </row>
    <row r="655" spans="1:18">
      <c r="A655" t="s">
        <v>681</v>
      </c>
      <c r="B655" t="s">
        <v>21</v>
      </c>
      <c r="C655" t="s">
        <v>30</v>
      </c>
      <c r="D655" s="5">
        <v>45931</v>
      </c>
      <c r="E655" s="5">
        <v>45934</v>
      </c>
      <c r="F655" s="5">
        <v>45935</v>
      </c>
      <c r="G655" s="5">
        <v>45940</v>
      </c>
      <c r="H655" t="s">
        <v>16</v>
      </c>
      <c r="I655" t="s">
        <v>17</v>
      </c>
      <c r="J655" s="5">
        <v>45957</v>
      </c>
      <c r="K655" s="15">
        <f t="shared" si="33"/>
        <v>3</v>
      </c>
      <c r="L655">
        <f t="shared" si="31"/>
        <v>1</v>
      </c>
      <c r="M655">
        <f t="shared" si="32"/>
        <v>5</v>
      </c>
      <c r="N655">
        <v>3</v>
      </c>
      <c r="O655">
        <f>DATEDIF(Table1[[#This Row],[lead_date]], Table1[[#This Row],[delivery_date]], "d")</f>
        <v>9</v>
      </c>
      <c r="P655" s="5" t="str">
        <f>IF(AND(Table1[[#This Row],[customer_rating]]&gt;=8, Table1[[#This Row],[Tat_day]]&lt;=7, Table1[[#This Row],[lead_type]]="Hot"), "High", "Normal")</f>
        <v>Normal</v>
      </c>
      <c r="Q655" s="5" t="str">
        <f>IF(Table1[[#This Row],[customer_rating]]&gt;=9,"Promoter",IF(Table1[[#This Row],[customer_rating]]&gt;=7,"Passive","Detractor"))</f>
        <v>Detractor</v>
      </c>
      <c r="R655" s="5"/>
    </row>
    <row r="656" spans="1:18">
      <c r="A656" t="s">
        <v>682</v>
      </c>
      <c r="B656" t="s">
        <v>19</v>
      </c>
      <c r="C656" t="s">
        <v>22</v>
      </c>
      <c r="D656" s="5">
        <v>45957</v>
      </c>
      <c r="H656" t="s">
        <v>23</v>
      </c>
      <c r="I656" t="s">
        <v>63</v>
      </c>
      <c r="K656" s="15" t="str">
        <f t="shared" si="33"/>
        <v/>
      </c>
      <c r="L656" t="str">
        <f t="shared" si="31"/>
        <v/>
      </c>
      <c r="M656" t="str">
        <f t="shared" si="32"/>
        <v/>
      </c>
      <c r="O656"/>
      <c r="P656" s="5" t="str">
        <f>IF(AND(Table1[[#This Row],[customer_rating]]&gt;=8, Table1[[#This Row],[Tat_day]]&lt;=7, Table1[[#This Row],[lead_type]]="Hot"), "High", "Normal")</f>
        <v>Normal</v>
      </c>
      <c r="Q656" s="5" t="str">
        <f>IF(Table1[[#This Row],[customer_rating]]&gt;=9,"Promoter",IF(Table1[[#This Row],[customer_rating]]&gt;=7,"Passive","Detractor"))</f>
        <v>Detractor</v>
      </c>
      <c r="R656" s="5"/>
    </row>
    <row r="657" spans="1:18">
      <c r="A657" t="s">
        <v>683</v>
      </c>
      <c r="B657" t="s">
        <v>32</v>
      </c>
      <c r="C657" t="s">
        <v>22</v>
      </c>
      <c r="D657" s="5">
        <v>45952</v>
      </c>
      <c r="H657" t="s">
        <v>23</v>
      </c>
      <c r="I657" t="s">
        <v>101</v>
      </c>
      <c r="K657" s="15" t="str">
        <f t="shared" si="33"/>
        <v/>
      </c>
      <c r="L657" t="str">
        <f t="shared" si="31"/>
        <v/>
      </c>
      <c r="M657" t="str">
        <f t="shared" si="32"/>
        <v/>
      </c>
      <c r="O657"/>
      <c r="P657" s="5" t="str">
        <f>IF(AND(Table1[[#This Row],[customer_rating]]&gt;=8, Table1[[#This Row],[Tat_day]]&lt;=7, Table1[[#This Row],[lead_type]]="Hot"), "High", "Normal")</f>
        <v>Normal</v>
      </c>
      <c r="Q657" s="5" t="str">
        <f>IF(Table1[[#This Row],[customer_rating]]&gt;=9,"Promoter",IF(Table1[[#This Row],[customer_rating]]&gt;=7,"Passive","Detractor"))</f>
        <v>Detractor</v>
      </c>
      <c r="R657" s="5"/>
    </row>
    <row r="658" spans="1:18">
      <c r="A658" t="s">
        <v>684</v>
      </c>
      <c r="B658" t="s">
        <v>14</v>
      </c>
      <c r="C658" t="s">
        <v>30</v>
      </c>
      <c r="D658" s="5">
        <v>45943</v>
      </c>
      <c r="E658" s="5">
        <v>45948</v>
      </c>
      <c r="F658" s="5">
        <v>45952</v>
      </c>
      <c r="G658" s="5">
        <v>45959</v>
      </c>
      <c r="H658" t="s">
        <v>16</v>
      </c>
      <c r="I658" t="s">
        <v>17</v>
      </c>
      <c r="J658" s="5">
        <v>45980</v>
      </c>
      <c r="K658" s="15">
        <f t="shared" si="33"/>
        <v>5</v>
      </c>
      <c r="L658">
        <f t="shared" si="31"/>
        <v>4</v>
      </c>
      <c r="M658">
        <f t="shared" si="32"/>
        <v>7</v>
      </c>
      <c r="N658">
        <v>2</v>
      </c>
      <c r="O658">
        <f>DATEDIF(Table1[[#This Row],[lead_date]], Table1[[#This Row],[delivery_date]], "d")</f>
        <v>16</v>
      </c>
      <c r="P658" s="5" t="str">
        <f>IF(AND(Table1[[#This Row],[customer_rating]]&gt;=8, Table1[[#This Row],[Tat_day]]&lt;=7, Table1[[#This Row],[lead_type]]="Hot"), "High", "Normal")</f>
        <v>Normal</v>
      </c>
      <c r="Q658" s="5" t="str">
        <f>IF(Table1[[#This Row],[customer_rating]]&gt;=9,"Promoter",IF(Table1[[#This Row],[customer_rating]]&gt;=7,"Passive","Detractor"))</f>
        <v>Detractor</v>
      </c>
      <c r="R658" s="5"/>
    </row>
    <row r="659" spans="1:18">
      <c r="A659" t="s">
        <v>685</v>
      </c>
      <c r="B659" t="s">
        <v>21</v>
      </c>
      <c r="C659" t="s">
        <v>15</v>
      </c>
      <c r="D659" s="5">
        <v>45939</v>
      </c>
      <c r="E659" s="5">
        <v>45941</v>
      </c>
      <c r="F659" s="5">
        <v>45945</v>
      </c>
      <c r="G659" s="5">
        <v>45949</v>
      </c>
      <c r="H659" t="s">
        <v>23</v>
      </c>
      <c r="I659" t="s">
        <v>24</v>
      </c>
      <c r="K659" s="15">
        <f t="shared" si="33"/>
        <v>2</v>
      </c>
      <c r="L659">
        <f t="shared" si="31"/>
        <v>4</v>
      </c>
      <c r="M659">
        <f t="shared" si="32"/>
        <v>4</v>
      </c>
      <c r="O659">
        <f>DATEDIF(Table1[[#This Row],[lead_date]], Table1[[#This Row],[delivery_date]], "d")</f>
        <v>10</v>
      </c>
      <c r="P659" s="5" t="str">
        <f>IF(AND(Table1[[#This Row],[customer_rating]]&gt;=8, Table1[[#This Row],[Tat_day]]&lt;=7, Table1[[#This Row],[lead_type]]="Hot"), "High", "Normal")</f>
        <v>Normal</v>
      </c>
      <c r="Q659" s="5" t="str">
        <f>IF(Table1[[#This Row],[customer_rating]]&gt;=9,"Promoter",IF(Table1[[#This Row],[customer_rating]]&gt;=7,"Passive","Detractor"))</f>
        <v>Detractor</v>
      </c>
      <c r="R659" s="5"/>
    </row>
    <row r="660" spans="1:18">
      <c r="A660" t="s">
        <v>686</v>
      </c>
      <c r="B660" t="s">
        <v>32</v>
      </c>
      <c r="C660" t="s">
        <v>15</v>
      </c>
      <c r="D660" s="5">
        <v>45931</v>
      </c>
      <c r="E660" s="5">
        <v>45932</v>
      </c>
      <c r="F660" s="5">
        <v>45936</v>
      </c>
      <c r="G660" s="5">
        <v>45940</v>
      </c>
      <c r="H660" t="s">
        <v>23</v>
      </c>
      <c r="I660" t="s">
        <v>101</v>
      </c>
      <c r="K660" s="15">
        <f t="shared" si="33"/>
        <v>1</v>
      </c>
      <c r="L660">
        <f t="shared" si="31"/>
        <v>4</v>
      </c>
      <c r="M660">
        <f t="shared" si="32"/>
        <v>4</v>
      </c>
      <c r="O660">
        <f>DATEDIF(Table1[[#This Row],[lead_date]], Table1[[#This Row],[delivery_date]], "d")</f>
        <v>9</v>
      </c>
      <c r="P660" s="5" t="str">
        <f>IF(AND(Table1[[#This Row],[customer_rating]]&gt;=8, Table1[[#This Row],[Tat_day]]&lt;=7, Table1[[#This Row],[lead_type]]="Hot"), "High", "Normal")</f>
        <v>Normal</v>
      </c>
      <c r="Q660" s="5" t="str">
        <f>IF(Table1[[#This Row],[customer_rating]]&gt;=9,"Promoter",IF(Table1[[#This Row],[customer_rating]]&gt;=7,"Passive","Detractor"))</f>
        <v>Detractor</v>
      </c>
      <c r="R660" s="5"/>
    </row>
    <row r="661" spans="1:18">
      <c r="A661" t="s">
        <v>687</v>
      </c>
      <c r="B661" t="s">
        <v>19</v>
      </c>
      <c r="C661" t="s">
        <v>15</v>
      </c>
      <c r="D661" s="5">
        <v>45949</v>
      </c>
      <c r="E661" s="5">
        <v>45951</v>
      </c>
      <c r="F661" s="5">
        <v>45956</v>
      </c>
      <c r="G661" s="5">
        <v>45958</v>
      </c>
      <c r="H661" t="s">
        <v>16</v>
      </c>
      <c r="I661" t="s">
        <v>17</v>
      </c>
      <c r="J661" s="5">
        <v>45975</v>
      </c>
      <c r="K661" s="15">
        <f t="shared" si="33"/>
        <v>2</v>
      </c>
      <c r="L661">
        <f t="shared" si="31"/>
        <v>5</v>
      </c>
      <c r="M661">
        <f t="shared" si="32"/>
        <v>2</v>
      </c>
      <c r="N661">
        <v>2</v>
      </c>
      <c r="O661">
        <f>DATEDIF(Table1[[#This Row],[lead_date]], Table1[[#This Row],[delivery_date]], "d")</f>
        <v>9</v>
      </c>
      <c r="P661" s="5" t="str">
        <f>IF(AND(Table1[[#This Row],[customer_rating]]&gt;=8, Table1[[#This Row],[Tat_day]]&lt;=7, Table1[[#This Row],[lead_type]]="Hot"), "High", "Normal")</f>
        <v>Normal</v>
      </c>
      <c r="Q661" s="5" t="str">
        <f>IF(Table1[[#This Row],[customer_rating]]&gt;=9,"Promoter",IF(Table1[[#This Row],[customer_rating]]&gt;=7,"Passive","Detractor"))</f>
        <v>Detractor</v>
      </c>
      <c r="R661" s="5"/>
    </row>
    <row r="662" spans="1:18">
      <c r="A662" t="s">
        <v>688</v>
      </c>
      <c r="B662" t="s">
        <v>14</v>
      </c>
      <c r="C662" t="s">
        <v>15</v>
      </c>
      <c r="D662" s="5">
        <v>45958</v>
      </c>
      <c r="E662" s="5">
        <v>45963</v>
      </c>
      <c r="F662" s="5">
        <v>45967</v>
      </c>
      <c r="G662" s="5">
        <v>45973</v>
      </c>
      <c r="H662" t="s">
        <v>16</v>
      </c>
      <c r="I662" t="s">
        <v>17</v>
      </c>
      <c r="J662" s="5">
        <v>45992</v>
      </c>
      <c r="K662" s="15">
        <f t="shared" si="33"/>
        <v>5</v>
      </c>
      <c r="L662">
        <f t="shared" si="31"/>
        <v>4</v>
      </c>
      <c r="M662">
        <f t="shared" si="32"/>
        <v>6</v>
      </c>
      <c r="N662">
        <v>1</v>
      </c>
      <c r="O662">
        <f>DATEDIF(Table1[[#This Row],[lead_date]], Table1[[#This Row],[delivery_date]], "d")</f>
        <v>15</v>
      </c>
      <c r="P662" s="5" t="str">
        <f>IF(AND(Table1[[#This Row],[customer_rating]]&gt;=8, Table1[[#This Row],[Tat_day]]&lt;=7, Table1[[#This Row],[lead_type]]="Hot"), "High", "Normal")</f>
        <v>Normal</v>
      </c>
      <c r="Q662" s="5" t="str">
        <f>IF(Table1[[#This Row],[customer_rating]]&gt;=9,"Promoter",IF(Table1[[#This Row],[customer_rating]]&gt;=7,"Passive","Detractor"))</f>
        <v>Detractor</v>
      </c>
      <c r="R662" s="5"/>
    </row>
    <row r="663" spans="1:18">
      <c r="A663" t="s">
        <v>689</v>
      </c>
      <c r="B663" t="s">
        <v>32</v>
      </c>
      <c r="C663" t="s">
        <v>15</v>
      </c>
      <c r="D663" s="5">
        <v>45952</v>
      </c>
      <c r="E663" s="5">
        <v>45956</v>
      </c>
      <c r="F663" s="5">
        <v>45957</v>
      </c>
      <c r="G663" s="5">
        <v>45961</v>
      </c>
      <c r="H663" t="s">
        <v>16</v>
      </c>
      <c r="I663" t="s">
        <v>17</v>
      </c>
      <c r="J663" s="5">
        <v>45984</v>
      </c>
      <c r="K663" s="15">
        <f t="shared" si="33"/>
        <v>4</v>
      </c>
      <c r="L663">
        <f t="shared" si="31"/>
        <v>1</v>
      </c>
      <c r="M663">
        <f t="shared" si="32"/>
        <v>4</v>
      </c>
      <c r="N663">
        <v>9</v>
      </c>
      <c r="O663">
        <f>DATEDIF(Table1[[#This Row],[lead_date]], Table1[[#This Row],[delivery_date]], "d")</f>
        <v>9</v>
      </c>
      <c r="P663" s="5" t="str">
        <f>IF(AND(Table1[[#This Row],[customer_rating]]&gt;=8, Table1[[#This Row],[Tat_day]]&lt;=7, Table1[[#This Row],[lead_type]]="Hot"), "High", "Normal")</f>
        <v>Normal</v>
      </c>
      <c r="Q663" s="5" t="str">
        <f>IF(Table1[[#This Row],[customer_rating]]&gt;=9,"Promoter",IF(Table1[[#This Row],[customer_rating]]&gt;=7,"Passive","Detractor"))</f>
        <v>Promoter</v>
      </c>
      <c r="R663" s="5"/>
    </row>
    <row r="664" spans="1:18">
      <c r="A664" t="s">
        <v>690</v>
      </c>
      <c r="B664" t="s">
        <v>14</v>
      </c>
      <c r="C664" t="s">
        <v>15</v>
      </c>
      <c r="D664" s="5">
        <v>45955</v>
      </c>
      <c r="E664" s="5">
        <v>45956</v>
      </c>
      <c r="F664" s="5">
        <v>45957</v>
      </c>
      <c r="G664" s="5">
        <v>45959</v>
      </c>
      <c r="H664" t="s">
        <v>16</v>
      </c>
      <c r="I664" t="s">
        <v>17</v>
      </c>
      <c r="J664" s="5">
        <v>45979</v>
      </c>
      <c r="K664" s="15">
        <f t="shared" si="33"/>
        <v>1</v>
      </c>
      <c r="L664">
        <f t="shared" si="31"/>
        <v>1</v>
      </c>
      <c r="M664">
        <f t="shared" si="32"/>
        <v>2</v>
      </c>
      <c r="N664">
        <v>5</v>
      </c>
      <c r="O664">
        <f>DATEDIF(Table1[[#This Row],[lead_date]], Table1[[#This Row],[delivery_date]], "d")</f>
        <v>4</v>
      </c>
      <c r="P664" s="5" t="str">
        <f>IF(AND(Table1[[#This Row],[customer_rating]]&gt;=8, Table1[[#This Row],[Tat_day]]&lt;=7, Table1[[#This Row],[lead_type]]="Hot"), "High", "Normal")</f>
        <v>Normal</v>
      </c>
      <c r="Q664" s="5" t="str">
        <f>IF(Table1[[#This Row],[customer_rating]]&gt;=9,"Promoter",IF(Table1[[#This Row],[customer_rating]]&gt;=7,"Passive","Detractor"))</f>
        <v>Detractor</v>
      </c>
      <c r="R664" s="5"/>
    </row>
    <row r="665" spans="1:18">
      <c r="A665" t="s">
        <v>691</v>
      </c>
      <c r="B665" t="s">
        <v>14</v>
      </c>
      <c r="C665" t="s">
        <v>15</v>
      </c>
      <c r="D665" s="5">
        <v>45954</v>
      </c>
      <c r="E665" s="5">
        <v>45956</v>
      </c>
      <c r="F665" s="5">
        <v>45958</v>
      </c>
      <c r="G665" s="5">
        <v>45964</v>
      </c>
      <c r="H665" t="s">
        <v>16</v>
      </c>
      <c r="I665" t="s">
        <v>17</v>
      </c>
      <c r="J665" s="5">
        <v>45985</v>
      </c>
      <c r="K665" s="15">
        <f t="shared" si="33"/>
        <v>2</v>
      </c>
      <c r="L665">
        <f t="shared" si="31"/>
        <v>2</v>
      </c>
      <c r="M665">
        <f t="shared" si="32"/>
        <v>6</v>
      </c>
      <c r="N665">
        <v>4</v>
      </c>
      <c r="O665">
        <f>DATEDIF(Table1[[#This Row],[lead_date]], Table1[[#This Row],[delivery_date]], "d")</f>
        <v>10</v>
      </c>
      <c r="P665" s="5" t="str">
        <f>IF(AND(Table1[[#This Row],[customer_rating]]&gt;=8, Table1[[#This Row],[Tat_day]]&lt;=7, Table1[[#This Row],[lead_type]]="Hot"), "High", "Normal")</f>
        <v>Normal</v>
      </c>
      <c r="Q665" s="5" t="str">
        <f>IF(Table1[[#This Row],[customer_rating]]&gt;=9,"Promoter",IF(Table1[[#This Row],[customer_rating]]&gt;=7,"Passive","Detractor"))</f>
        <v>Detractor</v>
      </c>
      <c r="R665" s="5"/>
    </row>
    <row r="666" spans="1:18">
      <c r="A666" t="s">
        <v>692</v>
      </c>
      <c r="B666" t="s">
        <v>14</v>
      </c>
      <c r="C666" t="s">
        <v>15</v>
      </c>
      <c r="D666" s="5">
        <v>45932</v>
      </c>
      <c r="E666" s="5">
        <v>45933</v>
      </c>
      <c r="F666" s="5">
        <v>45934</v>
      </c>
      <c r="G666" s="5">
        <v>45941</v>
      </c>
      <c r="H666" t="s">
        <v>16</v>
      </c>
      <c r="I666" t="s">
        <v>17</v>
      </c>
      <c r="J666" s="5">
        <v>45959</v>
      </c>
      <c r="K666" s="15">
        <f t="shared" si="33"/>
        <v>1</v>
      </c>
      <c r="L666">
        <f t="shared" si="31"/>
        <v>1</v>
      </c>
      <c r="M666">
        <f t="shared" si="32"/>
        <v>7</v>
      </c>
      <c r="N666">
        <v>9</v>
      </c>
      <c r="O666">
        <f>DATEDIF(Table1[[#This Row],[lead_date]], Table1[[#This Row],[delivery_date]], "d")</f>
        <v>9</v>
      </c>
      <c r="P666" s="5" t="str">
        <f>IF(AND(Table1[[#This Row],[customer_rating]]&gt;=8, Table1[[#This Row],[Tat_day]]&lt;=7, Table1[[#This Row],[lead_type]]="Hot"), "High", "Normal")</f>
        <v>Normal</v>
      </c>
      <c r="Q666" s="5" t="str">
        <f>IF(Table1[[#This Row],[customer_rating]]&gt;=9,"Promoter",IF(Table1[[#This Row],[customer_rating]]&gt;=7,"Passive","Detractor"))</f>
        <v>Promoter</v>
      </c>
      <c r="R666" s="5"/>
    </row>
    <row r="667" spans="1:18">
      <c r="A667" t="s">
        <v>693</v>
      </c>
      <c r="B667" t="s">
        <v>21</v>
      </c>
      <c r="C667" t="s">
        <v>15</v>
      </c>
      <c r="D667" s="5">
        <v>45960</v>
      </c>
      <c r="E667" s="5">
        <v>45962</v>
      </c>
      <c r="F667" s="5">
        <v>45966</v>
      </c>
      <c r="G667" s="5">
        <v>45968</v>
      </c>
      <c r="H667" t="s">
        <v>16</v>
      </c>
      <c r="I667" t="s">
        <v>17</v>
      </c>
      <c r="J667" s="5">
        <v>45996</v>
      </c>
      <c r="K667" s="15">
        <f t="shared" si="33"/>
        <v>2</v>
      </c>
      <c r="L667">
        <f t="shared" si="31"/>
        <v>4</v>
      </c>
      <c r="M667">
        <f t="shared" si="32"/>
        <v>2</v>
      </c>
      <c r="N667">
        <v>2</v>
      </c>
      <c r="O667">
        <f>DATEDIF(Table1[[#This Row],[lead_date]], Table1[[#This Row],[delivery_date]], "d")</f>
        <v>8</v>
      </c>
      <c r="P667" s="5" t="str">
        <f>IF(AND(Table1[[#This Row],[customer_rating]]&gt;=8, Table1[[#This Row],[Tat_day]]&lt;=7, Table1[[#This Row],[lead_type]]="Hot"), "High", "Normal")</f>
        <v>Normal</v>
      </c>
      <c r="Q667" s="5" t="str">
        <f>IF(Table1[[#This Row],[customer_rating]]&gt;=9,"Promoter",IF(Table1[[#This Row],[customer_rating]]&gt;=7,"Passive","Detractor"))</f>
        <v>Detractor</v>
      </c>
      <c r="R667" s="5"/>
    </row>
    <row r="668" spans="1:18">
      <c r="A668" t="s">
        <v>694</v>
      </c>
      <c r="B668" t="s">
        <v>21</v>
      </c>
      <c r="C668" t="s">
        <v>15</v>
      </c>
      <c r="D668" s="5">
        <v>45950</v>
      </c>
      <c r="E668" s="5">
        <v>45953</v>
      </c>
      <c r="F668" s="5">
        <v>45957</v>
      </c>
      <c r="G668" s="5">
        <v>45960</v>
      </c>
      <c r="H668" t="s">
        <v>16</v>
      </c>
      <c r="I668" t="s">
        <v>17</v>
      </c>
      <c r="J668" s="5">
        <v>45979</v>
      </c>
      <c r="K668" s="15">
        <f t="shared" si="33"/>
        <v>3</v>
      </c>
      <c r="L668">
        <f t="shared" si="31"/>
        <v>4</v>
      </c>
      <c r="M668">
        <f t="shared" si="32"/>
        <v>3</v>
      </c>
      <c r="N668">
        <v>7</v>
      </c>
      <c r="O668">
        <f>DATEDIF(Table1[[#This Row],[lead_date]], Table1[[#This Row],[delivery_date]], "d")</f>
        <v>10</v>
      </c>
      <c r="P668" s="5" t="str">
        <f>IF(AND(Table1[[#This Row],[customer_rating]]&gt;=8, Table1[[#This Row],[Tat_day]]&lt;=7, Table1[[#This Row],[lead_type]]="Hot"), "High", "Normal")</f>
        <v>Normal</v>
      </c>
      <c r="Q668" s="5" t="str">
        <f>IF(Table1[[#This Row],[customer_rating]]&gt;=9,"Promoter",IF(Table1[[#This Row],[customer_rating]]&gt;=7,"Passive","Detractor"))</f>
        <v>Passive</v>
      </c>
      <c r="R668" s="5"/>
    </row>
    <row r="669" spans="1:18">
      <c r="A669" t="s">
        <v>695</v>
      </c>
      <c r="B669" t="s">
        <v>19</v>
      </c>
      <c r="C669" t="s">
        <v>15</v>
      </c>
      <c r="D669" s="5">
        <v>45954</v>
      </c>
      <c r="E669" s="5">
        <v>45957</v>
      </c>
      <c r="F669" s="5">
        <v>45960</v>
      </c>
      <c r="G669" s="5">
        <v>45963</v>
      </c>
      <c r="H669" t="s">
        <v>16</v>
      </c>
      <c r="I669" t="s">
        <v>17</v>
      </c>
      <c r="J669" s="5">
        <v>45987</v>
      </c>
      <c r="K669" s="15">
        <f t="shared" si="33"/>
        <v>3</v>
      </c>
      <c r="L669">
        <f t="shared" si="31"/>
        <v>3</v>
      </c>
      <c r="M669">
        <f t="shared" si="32"/>
        <v>3</v>
      </c>
      <c r="N669">
        <v>0</v>
      </c>
      <c r="O669">
        <f>DATEDIF(Table1[[#This Row],[lead_date]], Table1[[#This Row],[delivery_date]], "d")</f>
        <v>9</v>
      </c>
      <c r="P669" s="5" t="str">
        <f>IF(AND(Table1[[#This Row],[customer_rating]]&gt;=8, Table1[[#This Row],[Tat_day]]&lt;=7, Table1[[#This Row],[lead_type]]="Hot"), "High", "Normal")</f>
        <v>Normal</v>
      </c>
      <c r="Q669" s="5" t="str">
        <f>IF(Table1[[#This Row],[customer_rating]]&gt;=9,"Promoter",IF(Table1[[#This Row],[customer_rating]]&gt;=7,"Passive","Detractor"))</f>
        <v>Detractor</v>
      </c>
      <c r="R669" s="5"/>
    </row>
    <row r="670" spans="1:18">
      <c r="A670" t="s">
        <v>696</v>
      </c>
      <c r="B670" t="s">
        <v>19</v>
      </c>
      <c r="C670" t="s">
        <v>30</v>
      </c>
      <c r="D670" s="5">
        <v>45946</v>
      </c>
      <c r="E670" s="5">
        <v>45950</v>
      </c>
      <c r="F670" s="5">
        <v>45955</v>
      </c>
      <c r="G670" s="5">
        <v>45961</v>
      </c>
      <c r="H670" t="s">
        <v>16</v>
      </c>
      <c r="I670" t="s">
        <v>17</v>
      </c>
      <c r="J670" s="5">
        <v>45974</v>
      </c>
      <c r="K670" s="15">
        <f t="shared" si="33"/>
        <v>4</v>
      </c>
      <c r="L670">
        <f t="shared" si="31"/>
        <v>5</v>
      </c>
      <c r="M670">
        <f t="shared" si="32"/>
        <v>6</v>
      </c>
      <c r="N670">
        <v>2</v>
      </c>
      <c r="O670">
        <f>DATEDIF(Table1[[#This Row],[lead_date]], Table1[[#This Row],[delivery_date]], "d")</f>
        <v>15</v>
      </c>
      <c r="P670" s="5" t="str">
        <f>IF(AND(Table1[[#This Row],[customer_rating]]&gt;=8, Table1[[#This Row],[Tat_day]]&lt;=7, Table1[[#This Row],[lead_type]]="Hot"), "High", "Normal")</f>
        <v>Normal</v>
      </c>
      <c r="Q670" s="5" t="str">
        <f>IF(Table1[[#This Row],[customer_rating]]&gt;=9,"Promoter",IF(Table1[[#This Row],[customer_rating]]&gt;=7,"Passive","Detractor"))</f>
        <v>Detractor</v>
      </c>
      <c r="R670" s="5"/>
    </row>
    <row r="671" spans="1:18">
      <c r="A671" t="s">
        <v>697</v>
      </c>
      <c r="B671" t="s">
        <v>32</v>
      </c>
      <c r="C671" t="s">
        <v>30</v>
      </c>
      <c r="D671" s="5">
        <v>45957</v>
      </c>
      <c r="E671" s="5">
        <v>45962</v>
      </c>
      <c r="F671" s="5">
        <v>45963</v>
      </c>
      <c r="G671" s="5">
        <v>45965</v>
      </c>
      <c r="H671" t="s">
        <v>23</v>
      </c>
      <c r="I671" t="s">
        <v>24</v>
      </c>
      <c r="K671" s="15">
        <f t="shared" si="33"/>
        <v>5</v>
      </c>
      <c r="L671">
        <f t="shared" si="31"/>
        <v>1</v>
      </c>
      <c r="M671">
        <f t="shared" si="32"/>
        <v>2</v>
      </c>
      <c r="O671">
        <f>DATEDIF(Table1[[#This Row],[lead_date]], Table1[[#This Row],[delivery_date]], "d")</f>
        <v>8</v>
      </c>
      <c r="P671" s="5" t="str">
        <f>IF(AND(Table1[[#This Row],[customer_rating]]&gt;=8, Table1[[#This Row],[Tat_day]]&lt;=7, Table1[[#This Row],[lead_type]]="Hot"), "High", "Normal")</f>
        <v>Normal</v>
      </c>
      <c r="Q671" s="5" t="str">
        <f>IF(Table1[[#This Row],[customer_rating]]&gt;=9,"Promoter",IF(Table1[[#This Row],[customer_rating]]&gt;=7,"Passive","Detractor"))</f>
        <v>Detractor</v>
      </c>
      <c r="R671" s="5"/>
    </row>
    <row r="672" spans="1:18">
      <c r="A672" t="s">
        <v>698</v>
      </c>
      <c r="B672" t="s">
        <v>19</v>
      </c>
      <c r="C672" t="s">
        <v>22</v>
      </c>
      <c r="D672" s="5">
        <v>45959</v>
      </c>
      <c r="H672" t="s">
        <v>23</v>
      </c>
      <c r="I672" t="s">
        <v>33</v>
      </c>
      <c r="K672" s="15" t="str">
        <f t="shared" si="33"/>
        <v/>
      </c>
      <c r="L672" t="str">
        <f t="shared" si="31"/>
        <v/>
      </c>
      <c r="M672" t="str">
        <f t="shared" si="32"/>
        <v/>
      </c>
      <c r="O672"/>
      <c r="P672" s="5" t="str">
        <f>IF(AND(Table1[[#This Row],[customer_rating]]&gt;=8, Table1[[#This Row],[Tat_day]]&lt;=7, Table1[[#This Row],[lead_type]]="Hot"), "High", "Normal")</f>
        <v>Normal</v>
      </c>
      <c r="Q672" s="5" t="str">
        <f>IF(Table1[[#This Row],[customer_rating]]&gt;=9,"Promoter",IF(Table1[[#This Row],[customer_rating]]&gt;=7,"Passive","Detractor"))</f>
        <v>Detractor</v>
      </c>
      <c r="R672" s="5"/>
    </row>
    <row r="673" spans="1:18">
      <c r="A673" t="s">
        <v>699</v>
      </c>
      <c r="B673" t="s">
        <v>14</v>
      </c>
      <c r="C673" t="s">
        <v>15</v>
      </c>
      <c r="D673" s="5">
        <v>45959</v>
      </c>
      <c r="E673" s="5">
        <v>45960</v>
      </c>
      <c r="F673" s="5">
        <v>45965</v>
      </c>
      <c r="G673" s="5">
        <v>45970</v>
      </c>
      <c r="H673" t="s">
        <v>16</v>
      </c>
      <c r="I673" t="s">
        <v>17</v>
      </c>
      <c r="J673" s="5">
        <v>45995</v>
      </c>
      <c r="K673" s="15">
        <f t="shared" si="33"/>
        <v>1</v>
      </c>
      <c r="L673">
        <f t="shared" si="31"/>
        <v>5</v>
      </c>
      <c r="M673">
        <f t="shared" si="32"/>
        <v>5</v>
      </c>
      <c r="N673">
        <v>0</v>
      </c>
      <c r="O673">
        <f>DATEDIF(Table1[[#This Row],[lead_date]], Table1[[#This Row],[delivery_date]], "d")</f>
        <v>11</v>
      </c>
      <c r="P673" s="5" t="str">
        <f>IF(AND(Table1[[#This Row],[customer_rating]]&gt;=8, Table1[[#This Row],[Tat_day]]&lt;=7, Table1[[#This Row],[lead_type]]="Hot"), "High", "Normal")</f>
        <v>Normal</v>
      </c>
      <c r="Q673" s="5" t="str">
        <f>IF(Table1[[#This Row],[customer_rating]]&gt;=9,"Promoter",IF(Table1[[#This Row],[customer_rating]]&gt;=7,"Passive","Detractor"))</f>
        <v>Detractor</v>
      </c>
      <c r="R673" s="5"/>
    </row>
    <row r="674" spans="1:18">
      <c r="A674" t="s">
        <v>700</v>
      </c>
      <c r="B674" t="s">
        <v>14</v>
      </c>
      <c r="C674" t="s">
        <v>30</v>
      </c>
      <c r="D674" s="5">
        <v>45940</v>
      </c>
      <c r="E674" s="5">
        <v>45945</v>
      </c>
      <c r="F674" s="5">
        <v>45946</v>
      </c>
      <c r="G674" s="5">
        <v>45948</v>
      </c>
      <c r="H674" t="s">
        <v>16</v>
      </c>
      <c r="I674" t="s">
        <v>17</v>
      </c>
      <c r="J674" s="5">
        <v>45959</v>
      </c>
      <c r="K674" s="15">
        <f t="shared" si="33"/>
        <v>5</v>
      </c>
      <c r="L674">
        <f t="shared" si="31"/>
        <v>1</v>
      </c>
      <c r="M674">
        <f t="shared" si="32"/>
        <v>2</v>
      </c>
      <c r="N674">
        <v>6</v>
      </c>
      <c r="O674">
        <f>DATEDIF(Table1[[#This Row],[lead_date]], Table1[[#This Row],[delivery_date]], "d")</f>
        <v>8</v>
      </c>
      <c r="P674" s="5" t="str">
        <f>IF(AND(Table1[[#This Row],[customer_rating]]&gt;=8, Table1[[#This Row],[Tat_day]]&lt;=7, Table1[[#This Row],[lead_type]]="Hot"), "High", "Normal")</f>
        <v>Normal</v>
      </c>
      <c r="Q674" s="5" t="str">
        <f>IF(Table1[[#This Row],[customer_rating]]&gt;=9,"Promoter",IF(Table1[[#This Row],[customer_rating]]&gt;=7,"Passive","Detractor"))</f>
        <v>Detractor</v>
      </c>
      <c r="R674" s="5"/>
    </row>
    <row r="675" spans="1:18">
      <c r="A675" t="s">
        <v>701</v>
      </c>
      <c r="B675" t="s">
        <v>21</v>
      </c>
      <c r="C675" t="s">
        <v>30</v>
      </c>
      <c r="D675" s="5">
        <v>45955</v>
      </c>
      <c r="E675" s="5">
        <v>45957</v>
      </c>
      <c r="F675" s="5">
        <v>45959</v>
      </c>
      <c r="G675" s="5">
        <v>45964</v>
      </c>
      <c r="H675" t="s">
        <v>16</v>
      </c>
      <c r="I675" t="s">
        <v>17</v>
      </c>
      <c r="J675" s="5">
        <v>45994</v>
      </c>
      <c r="K675" s="15">
        <f t="shared" si="33"/>
        <v>2</v>
      </c>
      <c r="L675">
        <f t="shared" si="31"/>
        <v>2</v>
      </c>
      <c r="M675">
        <f t="shared" si="32"/>
        <v>5</v>
      </c>
      <c r="N675">
        <v>10</v>
      </c>
      <c r="O675">
        <f>DATEDIF(Table1[[#This Row],[lead_date]], Table1[[#This Row],[delivery_date]], "d")</f>
        <v>9</v>
      </c>
      <c r="P675" s="5" t="str">
        <f>IF(AND(Table1[[#This Row],[customer_rating]]&gt;=8, Table1[[#This Row],[Tat_day]]&lt;=7, Table1[[#This Row],[lead_type]]="Hot"), "High", "Normal")</f>
        <v>Normal</v>
      </c>
      <c r="Q675" s="5" t="str">
        <f>IF(Table1[[#This Row],[customer_rating]]&gt;=9,"Promoter",IF(Table1[[#This Row],[customer_rating]]&gt;=7,"Passive","Detractor"))</f>
        <v>Promoter</v>
      </c>
      <c r="R675" s="5"/>
    </row>
    <row r="676" spans="1:18">
      <c r="A676" t="s">
        <v>702</v>
      </c>
      <c r="B676" t="s">
        <v>14</v>
      </c>
      <c r="C676" t="s">
        <v>30</v>
      </c>
      <c r="D676" s="5">
        <v>45956</v>
      </c>
      <c r="E676" s="5">
        <v>45960</v>
      </c>
      <c r="F676" s="5">
        <v>45962</v>
      </c>
      <c r="G676" s="5">
        <v>45966</v>
      </c>
      <c r="H676" t="s">
        <v>16</v>
      </c>
      <c r="I676" t="s">
        <v>17</v>
      </c>
      <c r="J676" s="5">
        <v>45994</v>
      </c>
      <c r="K676" s="15">
        <f t="shared" si="33"/>
        <v>4</v>
      </c>
      <c r="L676">
        <f t="shared" si="31"/>
        <v>2</v>
      </c>
      <c r="M676">
        <f t="shared" si="32"/>
        <v>4</v>
      </c>
      <c r="N676">
        <v>8</v>
      </c>
      <c r="O676">
        <f>DATEDIF(Table1[[#This Row],[lead_date]], Table1[[#This Row],[delivery_date]], "d")</f>
        <v>10</v>
      </c>
      <c r="P676" s="5" t="str">
        <f>IF(AND(Table1[[#This Row],[customer_rating]]&gt;=8, Table1[[#This Row],[Tat_day]]&lt;=7, Table1[[#This Row],[lead_type]]="Hot"), "High", "Normal")</f>
        <v>Normal</v>
      </c>
      <c r="Q676" s="5" t="str">
        <f>IF(Table1[[#This Row],[customer_rating]]&gt;=9,"Promoter",IF(Table1[[#This Row],[customer_rating]]&gt;=7,"Passive","Detractor"))</f>
        <v>Passive</v>
      </c>
      <c r="R676" s="5"/>
    </row>
    <row r="677" spans="1:18">
      <c r="A677" t="s">
        <v>703</v>
      </c>
      <c r="B677" t="s">
        <v>32</v>
      </c>
      <c r="C677" t="s">
        <v>22</v>
      </c>
      <c r="D677" s="5">
        <v>45938</v>
      </c>
      <c r="H677" t="s">
        <v>23</v>
      </c>
      <c r="I677" t="s">
        <v>33</v>
      </c>
      <c r="K677" s="15" t="str">
        <f t="shared" si="33"/>
        <v/>
      </c>
      <c r="L677" t="str">
        <f t="shared" si="31"/>
        <v/>
      </c>
      <c r="M677" t="str">
        <f t="shared" si="32"/>
        <v/>
      </c>
      <c r="O677"/>
      <c r="P677" s="5" t="str">
        <f>IF(AND(Table1[[#This Row],[customer_rating]]&gt;=8, Table1[[#This Row],[Tat_day]]&lt;=7, Table1[[#This Row],[lead_type]]="Hot"), "High", "Normal")</f>
        <v>Normal</v>
      </c>
      <c r="Q677" s="5" t="str">
        <f>IF(Table1[[#This Row],[customer_rating]]&gt;=9,"Promoter",IF(Table1[[#This Row],[customer_rating]]&gt;=7,"Passive","Detractor"))</f>
        <v>Detractor</v>
      </c>
      <c r="R677" s="5"/>
    </row>
    <row r="678" spans="1:18">
      <c r="A678" t="s">
        <v>704</v>
      </c>
      <c r="B678" t="s">
        <v>14</v>
      </c>
      <c r="C678" t="s">
        <v>15</v>
      </c>
      <c r="D678" s="5">
        <v>45950</v>
      </c>
      <c r="E678" s="5">
        <v>45953</v>
      </c>
      <c r="F678" s="5">
        <v>45958</v>
      </c>
      <c r="G678" s="5">
        <v>45962</v>
      </c>
      <c r="H678" t="s">
        <v>16</v>
      </c>
      <c r="I678" t="s">
        <v>17</v>
      </c>
      <c r="J678" s="5">
        <v>45990</v>
      </c>
      <c r="K678" s="15">
        <f t="shared" si="33"/>
        <v>3</v>
      </c>
      <c r="L678">
        <f t="shared" si="31"/>
        <v>5</v>
      </c>
      <c r="M678">
        <f t="shared" si="32"/>
        <v>4</v>
      </c>
      <c r="N678">
        <v>10</v>
      </c>
      <c r="O678">
        <f>DATEDIF(Table1[[#This Row],[lead_date]], Table1[[#This Row],[delivery_date]], "d")</f>
        <v>12</v>
      </c>
      <c r="P678" s="5" t="str">
        <f>IF(AND(Table1[[#This Row],[customer_rating]]&gt;=8, Table1[[#This Row],[Tat_day]]&lt;=7, Table1[[#This Row],[lead_type]]="Hot"), "High", "Normal")</f>
        <v>Normal</v>
      </c>
      <c r="Q678" s="5" t="str">
        <f>IF(Table1[[#This Row],[customer_rating]]&gt;=9,"Promoter",IF(Table1[[#This Row],[customer_rating]]&gt;=7,"Passive","Detractor"))</f>
        <v>Promoter</v>
      </c>
      <c r="R678" s="5"/>
    </row>
    <row r="679" spans="1:18">
      <c r="A679" t="s">
        <v>705</v>
      </c>
      <c r="B679" t="s">
        <v>14</v>
      </c>
      <c r="C679" t="s">
        <v>22</v>
      </c>
      <c r="D679" s="5">
        <v>45956</v>
      </c>
      <c r="H679" t="s">
        <v>23</v>
      </c>
      <c r="I679" t="s">
        <v>24</v>
      </c>
      <c r="K679" s="15" t="str">
        <f t="shared" si="33"/>
        <v/>
      </c>
      <c r="L679" t="str">
        <f t="shared" si="31"/>
        <v/>
      </c>
      <c r="M679" t="str">
        <f t="shared" si="32"/>
        <v/>
      </c>
      <c r="O679"/>
      <c r="P679" s="5" t="str">
        <f>IF(AND(Table1[[#This Row],[customer_rating]]&gt;=8, Table1[[#This Row],[Tat_day]]&lt;=7, Table1[[#This Row],[lead_type]]="Hot"), "High", "Normal")</f>
        <v>Normal</v>
      </c>
      <c r="Q679" s="5" t="str">
        <f>IF(Table1[[#This Row],[customer_rating]]&gt;=9,"Promoter",IF(Table1[[#This Row],[customer_rating]]&gt;=7,"Passive","Detractor"))</f>
        <v>Detractor</v>
      </c>
      <c r="R679" s="5"/>
    </row>
    <row r="680" spans="1:18">
      <c r="A680" t="s">
        <v>706</v>
      </c>
      <c r="B680" t="s">
        <v>32</v>
      </c>
      <c r="C680" t="s">
        <v>15</v>
      </c>
      <c r="D680" s="5">
        <v>45942</v>
      </c>
      <c r="E680" s="5">
        <v>45945</v>
      </c>
      <c r="F680" s="5">
        <v>45949</v>
      </c>
      <c r="G680" s="5">
        <v>45953</v>
      </c>
      <c r="H680" t="s">
        <v>23</v>
      </c>
      <c r="I680" t="s">
        <v>63</v>
      </c>
      <c r="K680" s="15">
        <f t="shared" si="33"/>
        <v>3</v>
      </c>
      <c r="L680">
        <f t="shared" si="31"/>
        <v>4</v>
      </c>
      <c r="M680">
        <f t="shared" si="32"/>
        <v>4</v>
      </c>
      <c r="O680">
        <f>DATEDIF(Table1[[#This Row],[lead_date]], Table1[[#This Row],[delivery_date]], "d")</f>
        <v>11</v>
      </c>
      <c r="P680" s="5" t="str">
        <f>IF(AND(Table1[[#This Row],[customer_rating]]&gt;=8, Table1[[#This Row],[Tat_day]]&lt;=7, Table1[[#This Row],[lead_type]]="Hot"), "High", "Normal")</f>
        <v>Normal</v>
      </c>
      <c r="Q680" s="5" t="str">
        <f>IF(Table1[[#This Row],[customer_rating]]&gt;=9,"Promoter",IF(Table1[[#This Row],[customer_rating]]&gt;=7,"Passive","Detractor"))</f>
        <v>Detractor</v>
      </c>
      <c r="R680" s="5"/>
    </row>
    <row r="681" spans="1:18">
      <c r="A681" t="s">
        <v>707</v>
      </c>
      <c r="B681" t="s">
        <v>19</v>
      </c>
      <c r="C681" t="s">
        <v>15</v>
      </c>
      <c r="D681" s="5">
        <v>45938</v>
      </c>
      <c r="E681" s="5">
        <v>45942</v>
      </c>
      <c r="F681" s="5">
        <v>45945</v>
      </c>
      <c r="G681" s="5">
        <v>45947</v>
      </c>
      <c r="H681" t="s">
        <v>16</v>
      </c>
      <c r="I681" t="s">
        <v>17</v>
      </c>
      <c r="J681" s="5">
        <v>45976</v>
      </c>
      <c r="K681" s="15">
        <f t="shared" si="33"/>
        <v>4</v>
      </c>
      <c r="L681">
        <f t="shared" si="31"/>
        <v>3</v>
      </c>
      <c r="M681">
        <f t="shared" si="32"/>
        <v>2</v>
      </c>
      <c r="N681">
        <v>10</v>
      </c>
      <c r="O681">
        <f>DATEDIF(Table1[[#This Row],[lead_date]], Table1[[#This Row],[delivery_date]], "d")</f>
        <v>9</v>
      </c>
      <c r="P681" s="5" t="str">
        <f>IF(AND(Table1[[#This Row],[customer_rating]]&gt;=8, Table1[[#This Row],[Tat_day]]&lt;=7, Table1[[#This Row],[lead_type]]="Hot"), "High", "Normal")</f>
        <v>Normal</v>
      </c>
      <c r="Q681" s="5" t="str">
        <f>IF(Table1[[#This Row],[customer_rating]]&gt;=9,"Promoter",IF(Table1[[#This Row],[customer_rating]]&gt;=7,"Passive","Detractor"))</f>
        <v>Promoter</v>
      </c>
      <c r="R681" s="5"/>
    </row>
    <row r="682" spans="1:18">
      <c r="A682" t="s">
        <v>708</v>
      </c>
      <c r="B682" t="s">
        <v>19</v>
      </c>
      <c r="C682" t="s">
        <v>15</v>
      </c>
      <c r="D682" s="5">
        <v>45951</v>
      </c>
      <c r="E682" s="5">
        <v>45952</v>
      </c>
      <c r="F682" s="5">
        <v>45953</v>
      </c>
      <c r="G682" s="5">
        <v>45959</v>
      </c>
      <c r="H682" t="s">
        <v>16</v>
      </c>
      <c r="I682" t="s">
        <v>17</v>
      </c>
      <c r="J682" s="5">
        <v>45971</v>
      </c>
      <c r="K682" s="15">
        <f t="shared" si="33"/>
        <v>1</v>
      </c>
      <c r="L682">
        <f t="shared" si="31"/>
        <v>1</v>
      </c>
      <c r="M682">
        <f t="shared" si="32"/>
        <v>6</v>
      </c>
      <c r="N682">
        <v>2</v>
      </c>
      <c r="O682">
        <f>DATEDIF(Table1[[#This Row],[lead_date]], Table1[[#This Row],[delivery_date]], "d")</f>
        <v>8</v>
      </c>
      <c r="P682" s="5" t="str">
        <f>IF(AND(Table1[[#This Row],[customer_rating]]&gt;=8, Table1[[#This Row],[Tat_day]]&lt;=7, Table1[[#This Row],[lead_type]]="Hot"), "High", "Normal")</f>
        <v>Normal</v>
      </c>
      <c r="Q682" s="5" t="str">
        <f>IF(Table1[[#This Row],[customer_rating]]&gt;=9,"Promoter",IF(Table1[[#This Row],[customer_rating]]&gt;=7,"Passive","Detractor"))</f>
        <v>Detractor</v>
      </c>
      <c r="R682" s="5"/>
    </row>
    <row r="683" spans="1:18">
      <c r="A683" t="s">
        <v>709</v>
      </c>
      <c r="B683" t="s">
        <v>32</v>
      </c>
      <c r="C683" t="s">
        <v>15</v>
      </c>
      <c r="D683" s="5">
        <v>45937</v>
      </c>
      <c r="E683" s="5">
        <v>45942</v>
      </c>
      <c r="F683" s="5">
        <v>45943</v>
      </c>
      <c r="G683" s="5">
        <v>45948</v>
      </c>
      <c r="H683" t="s">
        <v>16</v>
      </c>
      <c r="I683" t="s">
        <v>17</v>
      </c>
      <c r="J683" s="5">
        <v>45973</v>
      </c>
      <c r="K683" s="15">
        <f t="shared" si="33"/>
        <v>5</v>
      </c>
      <c r="L683">
        <f t="shared" si="31"/>
        <v>1</v>
      </c>
      <c r="M683">
        <f t="shared" si="32"/>
        <v>5</v>
      </c>
      <c r="N683">
        <v>9</v>
      </c>
      <c r="O683">
        <f>DATEDIF(Table1[[#This Row],[lead_date]], Table1[[#This Row],[delivery_date]], "d")</f>
        <v>11</v>
      </c>
      <c r="P683" s="5" t="str">
        <f>IF(AND(Table1[[#This Row],[customer_rating]]&gt;=8, Table1[[#This Row],[Tat_day]]&lt;=7, Table1[[#This Row],[lead_type]]="Hot"), "High", "Normal")</f>
        <v>Normal</v>
      </c>
      <c r="Q683" s="5" t="str">
        <f>IF(Table1[[#This Row],[customer_rating]]&gt;=9,"Promoter",IF(Table1[[#This Row],[customer_rating]]&gt;=7,"Passive","Detractor"))</f>
        <v>Promoter</v>
      </c>
      <c r="R683" s="5"/>
    </row>
    <row r="684" spans="1:18">
      <c r="A684" t="s">
        <v>710</v>
      </c>
      <c r="B684" t="s">
        <v>21</v>
      </c>
      <c r="C684" t="s">
        <v>30</v>
      </c>
      <c r="D684" s="5">
        <v>45950</v>
      </c>
      <c r="E684" s="5">
        <v>45952</v>
      </c>
      <c r="F684" s="5">
        <v>45955</v>
      </c>
      <c r="G684" s="5">
        <v>45957</v>
      </c>
      <c r="H684" t="s">
        <v>16</v>
      </c>
      <c r="I684" t="s">
        <v>17</v>
      </c>
      <c r="J684" s="5">
        <v>45973</v>
      </c>
      <c r="K684" s="15">
        <f t="shared" si="33"/>
        <v>2</v>
      </c>
      <c r="L684">
        <f t="shared" si="31"/>
        <v>3</v>
      </c>
      <c r="M684">
        <f t="shared" si="32"/>
        <v>2</v>
      </c>
      <c r="N684">
        <v>8</v>
      </c>
      <c r="O684">
        <f>DATEDIF(Table1[[#This Row],[lead_date]], Table1[[#This Row],[delivery_date]], "d")</f>
        <v>7</v>
      </c>
      <c r="P684" s="5" t="str">
        <f>IF(AND(Table1[[#This Row],[customer_rating]]&gt;=8, Table1[[#This Row],[Tat_day]]&lt;=7, Table1[[#This Row],[lead_type]]="Hot"), "High", "Normal")</f>
        <v>High</v>
      </c>
      <c r="Q684" s="5" t="str">
        <f>IF(Table1[[#This Row],[customer_rating]]&gt;=9,"Promoter",IF(Table1[[#This Row],[customer_rating]]&gt;=7,"Passive","Detractor"))</f>
        <v>Passive</v>
      </c>
      <c r="R684" s="5"/>
    </row>
    <row r="685" spans="1:18">
      <c r="A685" t="s">
        <v>711</v>
      </c>
      <c r="B685" t="s">
        <v>14</v>
      </c>
      <c r="C685" t="s">
        <v>22</v>
      </c>
      <c r="D685" s="5">
        <v>45939</v>
      </c>
      <c r="H685" t="s">
        <v>23</v>
      </c>
      <c r="I685" t="s">
        <v>101</v>
      </c>
      <c r="K685" s="15" t="str">
        <f t="shared" si="33"/>
        <v/>
      </c>
      <c r="L685" t="str">
        <f t="shared" si="31"/>
        <v/>
      </c>
      <c r="M685" t="str">
        <f t="shared" si="32"/>
        <v/>
      </c>
      <c r="O685"/>
      <c r="P685" s="5" t="str">
        <f>IF(AND(Table1[[#This Row],[customer_rating]]&gt;=8, Table1[[#This Row],[Tat_day]]&lt;=7, Table1[[#This Row],[lead_type]]="Hot"), "High", "Normal")</f>
        <v>Normal</v>
      </c>
      <c r="Q685" s="5" t="str">
        <f>IF(Table1[[#This Row],[customer_rating]]&gt;=9,"Promoter",IF(Table1[[#This Row],[customer_rating]]&gt;=7,"Passive","Detractor"))</f>
        <v>Detractor</v>
      </c>
      <c r="R685" s="5"/>
    </row>
    <row r="686" spans="1:18">
      <c r="A686" t="s">
        <v>712</v>
      </c>
      <c r="B686" t="s">
        <v>32</v>
      </c>
      <c r="C686" t="s">
        <v>22</v>
      </c>
      <c r="D686" s="5">
        <v>45952</v>
      </c>
      <c r="H686" t="s">
        <v>23</v>
      </c>
      <c r="I686" t="s">
        <v>101</v>
      </c>
      <c r="K686" s="15" t="str">
        <f t="shared" si="33"/>
        <v/>
      </c>
      <c r="L686" t="str">
        <f t="shared" si="31"/>
        <v/>
      </c>
      <c r="M686" t="str">
        <f t="shared" si="32"/>
        <v/>
      </c>
      <c r="O686"/>
      <c r="P686" s="5" t="str">
        <f>IF(AND(Table1[[#This Row],[customer_rating]]&gt;=8, Table1[[#This Row],[Tat_day]]&lt;=7, Table1[[#This Row],[lead_type]]="Hot"), "High", "Normal")</f>
        <v>Normal</v>
      </c>
      <c r="Q686" s="5" t="str">
        <f>IF(Table1[[#This Row],[customer_rating]]&gt;=9,"Promoter",IF(Table1[[#This Row],[customer_rating]]&gt;=7,"Passive","Detractor"))</f>
        <v>Detractor</v>
      </c>
      <c r="R686" s="5"/>
    </row>
    <row r="687" spans="1:18">
      <c r="A687" t="s">
        <v>713</v>
      </c>
      <c r="B687" t="s">
        <v>14</v>
      </c>
      <c r="C687" t="s">
        <v>15</v>
      </c>
      <c r="D687" s="5">
        <v>45955</v>
      </c>
      <c r="E687" s="5">
        <v>45960</v>
      </c>
      <c r="F687" s="5">
        <v>45965</v>
      </c>
      <c r="G687" s="5">
        <v>45969</v>
      </c>
      <c r="H687" t="s">
        <v>16</v>
      </c>
      <c r="I687" t="s">
        <v>17</v>
      </c>
      <c r="J687" s="5">
        <v>45995</v>
      </c>
      <c r="K687" s="15">
        <f t="shared" si="33"/>
        <v>5</v>
      </c>
      <c r="L687">
        <f t="shared" si="31"/>
        <v>5</v>
      </c>
      <c r="M687">
        <f t="shared" si="32"/>
        <v>4</v>
      </c>
      <c r="N687">
        <v>5</v>
      </c>
      <c r="O687">
        <f>DATEDIF(Table1[[#This Row],[lead_date]], Table1[[#This Row],[delivery_date]], "d")</f>
        <v>14</v>
      </c>
      <c r="P687" s="5" t="str">
        <f>IF(AND(Table1[[#This Row],[customer_rating]]&gt;=8, Table1[[#This Row],[Tat_day]]&lt;=7, Table1[[#This Row],[lead_type]]="Hot"), "High", "Normal")</f>
        <v>Normal</v>
      </c>
      <c r="Q687" s="5" t="str">
        <f>IF(Table1[[#This Row],[customer_rating]]&gt;=9,"Promoter",IF(Table1[[#This Row],[customer_rating]]&gt;=7,"Passive","Detractor"))</f>
        <v>Detractor</v>
      </c>
      <c r="R687" s="5"/>
    </row>
    <row r="688" spans="1:18">
      <c r="A688" t="s">
        <v>714</v>
      </c>
      <c r="B688" t="s">
        <v>21</v>
      </c>
      <c r="C688" t="s">
        <v>22</v>
      </c>
      <c r="D688" s="5">
        <v>45954</v>
      </c>
      <c r="H688" t="s">
        <v>23</v>
      </c>
      <c r="I688" t="s">
        <v>33</v>
      </c>
      <c r="K688" s="15" t="str">
        <f t="shared" si="33"/>
        <v/>
      </c>
      <c r="L688" t="str">
        <f t="shared" si="31"/>
        <v/>
      </c>
      <c r="M688" t="str">
        <f t="shared" si="32"/>
        <v/>
      </c>
      <c r="O688"/>
      <c r="P688" s="5" t="str">
        <f>IF(AND(Table1[[#This Row],[customer_rating]]&gt;=8, Table1[[#This Row],[Tat_day]]&lt;=7, Table1[[#This Row],[lead_type]]="Hot"), "High", "Normal")</f>
        <v>Normal</v>
      </c>
      <c r="Q688" s="5" t="str">
        <f>IF(Table1[[#This Row],[customer_rating]]&gt;=9,"Promoter",IF(Table1[[#This Row],[customer_rating]]&gt;=7,"Passive","Detractor"))</f>
        <v>Detractor</v>
      </c>
      <c r="R688" s="5"/>
    </row>
    <row r="689" spans="1:18">
      <c r="A689" t="s">
        <v>715</v>
      </c>
      <c r="B689" t="s">
        <v>14</v>
      </c>
      <c r="C689" t="s">
        <v>22</v>
      </c>
      <c r="D689" s="5">
        <v>45955</v>
      </c>
      <c r="H689" t="s">
        <v>23</v>
      </c>
      <c r="I689" t="s">
        <v>24</v>
      </c>
      <c r="K689" s="15" t="str">
        <f t="shared" si="33"/>
        <v/>
      </c>
      <c r="L689" t="str">
        <f t="shared" si="31"/>
        <v/>
      </c>
      <c r="M689" t="str">
        <f t="shared" si="32"/>
        <v/>
      </c>
      <c r="O689"/>
      <c r="P689" s="5" t="str">
        <f>IF(AND(Table1[[#This Row],[customer_rating]]&gt;=8, Table1[[#This Row],[Tat_day]]&lt;=7, Table1[[#This Row],[lead_type]]="Hot"), "High", "Normal")</f>
        <v>Normal</v>
      </c>
      <c r="Q689" s="5" t="str">
        <f>IF(Table1[[#This Row],[customer_rating]]&gt;=9,"Promoter",IF(Table1[[#This Row],[customer_rating]]&gt;=7,"Passive","Detractor"))</f>
        <v>Detractor</v>
      </c>
      <c r="R689" s="5"/>
    </row>
    <row r="690" spans="1:18">
      <c r="A690" t="s">
        <v>716</v>
      </c>
      <c r="B690" t="s">
        <v>32</v>
      </c>
      <c r="C690" t="s">
        <v>15</v>
      </c>
      <c r="D690" s="5">
        <v>45952</v>
      </c>
      <c r="E690" s="5">
        <v>45955</v>
      </c>
      <c r="F690" s="5">
        <v>45960</v>
      </c>
      <c r="G690" s="5">
        <v>45963</v>
      </c>
      <c r="H690" t="s">
        <v>16</v>
      </c>
      <c r="I690" t="s">
        <v>17</v>
      </c>
      <c r="J690" s="5">
        <v>45976</v>
      </c>
      <c r="K690" s="15">
        <f t="shared" si="33"/>
        <v>3</v>
      </c>
      <c r="L690">
        <f t="shared" si="31"/>
        <v>5</v>
      </c>
      <c r="M690">
        <f t="shared" si="32"/>
        <v>3</v>
      </c>
      <c r="N690">
        <v>5</v>
      </c>
      <c r="O690">
        <f>DATEDIF(Table1[[#This Row],[lead_date]], Table1[[#This Row],[delivery_date]], "d")</f>
        <v>11</v>
      </c>
      <c r="P690" s="5" t="str">
        <f>IF(AND(Table1[[#This Row],[customer_rating]]&gt;=8, Table1[[#This Row],[Tat_day]]&lt;=7, Table1[[#This Row],[lead_type]]="Hot"), "High", "Normal")</f>
        <v>Normal</v>
      </c>
      <c r="Q690" s="5" t="str">
        <f>IF(Table1[[#This Row],[customer_rating]]&gt;=9,"Promoter",IF(Table1[[#This Row],[customer_rating]]&gt;=7,"Passive","Detractor"))</f>
        <v>Detractor</v>
      </c>
      <c r="R690" s="5"/>
    </row>
    <row r="691" spans="1:18">
      <c r="A691" t="s">
        <v>717</v>
      </c>
      <c r="B691" t="s">
        <v>14</v>
      </c>
      <c r="C691" t="s">
        <v>30</v>
      </c>
      <c r="D691" s="5">
        <v>45952</v>
      </c>
      <c r="E691" s="5">
        <v>45956</v>
      </c>
      <c r="F691" s="5">
        <v>45957</v>
      </c>
      <c r="G691" s="5">
        <v>45961</v>
      </c>
      <c r="H691" t="s">
        <v>16</v>
      </c>
      <c r="I691" t="s">
        <v>17</v>
      </c>
      <c r="J691" s="5">
        <v>45983</v>
      </c>
      <c r="K691" s="15">
        <f t="shared" si="33"/>
        <v>4</v>
      </c>
      <c r="L691">
        <f t="shared" si="31"/>
        <v>1</v>
      </c>
      <c r="M691">
        <f t="shared" si="32"/>
        <v>4</v>
      </c>
      <c r="N691">
        <v>2</v>
      </c>
      <c r="O691">
        <f>DATEDIF(Table1[[#This Row],[lead_date]], Table1[[#This Row],[delivery_date]], "d")</f>
        <v>9</v>
      </c>
      <c r="P691" s="5" t="str">
        <f>IF(AND(Table1[[#This Row],[customer_rating]]&gt;=8, Table1[[#This Row],[Tat_day]]&lt;=7, Table1[[#This Row],[lead_type]]="Hot"), "High", "Normal")</f>
        <v>Normal</v>
      </c>
      <c r="Q691" s="5" t="str">
        <f>IF(Table1[[#This Row],[customer_rating]]&gt;=9,"Promoter",IF(Table1[[#This Row],[customer_rating]]&gt;=7,"Passive","Detractor"))</f>
        <v>Detractor</v>
      </c>
      <c r="R691" s="5"/>
    </row>
    <row r="692" spans="1:18">
      <c r="A692" t="s">
        <v>718</v>
      </c>
      <c r="B692" t="s">
        <v>19</v>
      </c>
      <c r="C692" t="s">
        <v>15</v>
      </c>
      <c r="D692" s="5">
        <v>45957</v>
      </c>
      <c r="E692" s="5">
        <v>45960</v>
      </c>
      <c r="F692" s="5">
        <v>45962</v>
      </c>
      <c r="G692" s="5">
        <v>45968</v>
      </c>
      <c r="H692" t="s">
        <v>16</v>
      </c>
      <c r="I692" t="s">
        <v>17</v>
      </c>
      <c r="J692" s="5">
        <v>45994</v>
      </c>
      <c r="K692" s="15">
        <f t="shared" si="33"/>
        <v>3</v>
      </c>
      <c r="L692">
        <f t="shared" si="31"/>
        <v>2</v>
      </c>
      <c r="M692">
        <f t="shared" si="32"/>
        <v>6</v>
      </c>
      <c r="N692">
        <v>7</v>
      </c>
      <c r="O692">
        <f>DATEDIF(Table1[[#This Row],[lead_date]], Table1[[#This Row],[delivery_date]], "d")</f>
        <v>11</v>
      </c>
      <c r="P692" s="5" t="str">
        <f>IF(AND(Table1[[#This Row],[customer_rating]]&gt;=8, Table1[[#This Row],[Tat_day]]&lt;=7, Table1[[#This Row],[lead_type]]="Hot"), "High", "Normal")</f>
        <v>Normal</v>
      </c>
      <c r="Q692" s="5" t="str">
        <f>IF(Table1[[#This Row],[customer_rating]]&gt;=9,"Promoter",IF(Table1[[#This Row],[customer_rating]]&gt;=7,"Passive","Detractor"))</f>
        <v>Passive</v>
      </c>
      <c r="R692" s="5"/>
    </row>
    <row r="693" spans="1:18">
      <c r="A693" t="s">
        <v>719</v>
      </c>
      <c r="B693" t="s">
        <v>21</v>
      </c>
      <c r="C693" t="s">
        <v>15</v>
      </c>
      <c r="D693" s="5">
        <v>45935</v>
      </c>
      <c r="E693" s="5">
        <v>45938</v>
      </c>
      <c r="F693" s="5">
        <v>45941</v>
      </c>
      <c r="G693" s="5">
        <v>45945</v>
      </c>
      <c r="H693" t="s">
        <v>16</v>
      </c>
      <c r="I693" t="s">
        <v>17</v>
      </c>
      <c r="J693" s="5">
        <v>45964</v>
      </c>
      <c r="K693" s="15">
        <f t="shared" si="33"/>
        <v>3</v>
      </c>
      <c r="L693">
        <f t="shared" si="31"/>
        <v>3</v>
      </c>
      <c r="M693">
        <f t="shared" si="32"/>
        <v>4</v>
      </c>
      <c r="N693">
        <v>3</v>
      </c>
      <c r="O693">
        <f>DATEDIF(Table1[[#This Row],[lead_date]], Table1[[#This Row],[delivery_date]], "d")</f>
        <v>10</v>
      </c>
      <c r="P693" s="5" t="str">
        <f>IF(AND(Table1[[#This Row],[customer_rating]]&gt;=8, Table1[[#This Row],[Tat_day]]&lt;=7, Table1[[#This Row],[lead_type]]="Hot"), "High", "Normal")</f>
        <v>Normal</v>
      </c>
      <c r="Q693" s="5" t="str">
        <f>IF(Table1[[#This Row],[customer_rating]]&gt;=9,"Promoter",IF(Table1[[#This Row],[customer_rating]]&gt;=7,"Passive","Detractor"))</f>
        <v>Detractor</v>
      </c>
      <c r="R693" s="5"/>
    </row>
    <row r="694" spans="1:18">
      <c r="A694" t="s">
        <v>720</v>
      </c>
      <c r="B694" t="s">
        <v>21</v>
      </c>
      <c r="C694" t="s">
        <v>30</v>
      </c>
      <c r="D694" s="5">
        <v>45951</v>
      </c>
      <c r="E694" s="5">
        <v>45953</v>
      </c>
      <c r="F694" s="5">
        <v>45954</v>
      </c>
      <c r="G694" s="5">
        <v>45961</v>
      </c>
      <c r="H694" t="s">
        <v>16</v>
      </c>
      <c r="I694" t="s">
        <v>17</v>
      </c>
      <c r="J694" s="5">
        <v>45984</v>
      </c>
      <c r="K694" s="15">
        <f t="shared" si="33"/>
        <v>2</v>
      </c>
      <c r="L694">
        <f t="shared" si="31"/>
        <v>1</v>
      </c>
      <c r="M694">
        <f t="shared" si="32"/>
        <v>7</v>
      </c>
      <c r="N694">
        <v>8</v>
      </c>
      <c r="O694">
        <f>DATEDIF(Table1[[#This Row],[lead_date]], Table1[[#This Row],[delivery_date]], "d")</f>
        <v>10</v>
      </c>
      <c r="P694" s="5" t="str">
        <f>IF(AND(Table1[[#This Row],[customer_rating]]&gt;=8, Table1[[#This Row],[Tat_day]]&lt;=7, Table1[[#This Row],[lead_type]]="Hot"), "High", "Normal")</f>
        <v>Normal</v>
      </c>
      <c r="Q694" s="5" t="str">
        <f>IF(Table1[[#This Row],[customer_rating]]&gt;=9,"Promoter",IF(Table1[[#This Row],[customer_rating]]&gt;=7,"Passive","Detractor"))</f>
        <v>Passive</v>
      </c>
      <c r="R694" s="5"/>
    </row>
    <row r="695" spans="1:18">
      <c r="A695" t="s">
        <v>721</v>
      </c>
      <c r="B695" t="s">
        <v>21</v>
      </c>
      <c r="C695" t="s">
        <v>30</v>
      </c>
      <c r="D695" s="5">
        <v>45934</v>
      </c>
      <c r="E695" s="5">
        <v>45935</v>
      </c>
      <c r="F695" s="5">
        <v>45937</v>
      </c>
      <c r="G695" s="5">
        <v>45943</v>
      </c>
      <c r="H695" t="s">
        <v>16</v>
      </c>
      <c r="I695" t="s">
        <v>17</v>
      </c>
      <c r="J695" s="5">
        <v>45954</v>
      </c>
      <c r="K695" s="15">
        <f t="shared" si="33"/>
        <v>1</v>
      </c>
      <c r="L695">
        <f t="shared" si="31"/>
        <v>2</v>
      </c>
      <c r="M695">
        <f t="shared" si="32"/>
        <v>6</v>
      </c>
      <c r="N695">
        <v>7</v>
      </c>
      <c r="O695">
        <f>DATEDIF(Table1[[#This Row],[lead_date]], Table1[[#This Row],[delivery_date]], "d")</f>
        <v>9</v>
      </c>
      <c r="P695" s="5" t="str">
        <f>IF(AND(Table1[[#This Row],[customer_rating]]&gt;=8, Table1[[#This Row],[Tat_day]]&lt;=7, Table1[[#This Row],[lead_type]]="Hot"), "High", "Normal")</f>
        <v>Normal</v>
      </c>
      <c r="Q695" s="5" t="str">
        <f>IF(Table1[[#This Row],[customer_rating]]&gt;=9,"Promoter",IF(Table1[[#This Row],[customer_rating]]&gt;=7,"Passive","Detractor"))</f>
        <v>Passive</v>
      </c>
      <c r="R695" s="5"/>
    </row>
    <row r="696" spans="1:18">
      <c r="A696" t="s">
        <v>722</v>
      </c>
      <c r="B696" t="s">
        <v>32</v>
      </c>
      <c r="C696" t="s">
        <v>15</v>
      </c>
      <c r="D696" s="5">
        <v>45959</v>
      </c>
      <c r="E696" s="5">
        <v>45960</v>
      </c>
      <c r="F696" s="5">
        <v>45965</v>
      </c>
      <c r="G696" s="5">
        <v>45968</v>
      </c>
      <c r="H696" t="s">
        <v>16</v>
      </c>
      <c r="I696" t="s">
        <v>17</v>
      </c>
      <c r="J696" s="5">
        <v>45982</v>
      </c>
      <c r="K696" s="15">
        <f t="shared" si="33"/>
        <v>1</v>
      </c>
      <c r="L696">
        <f t="shared" si="31"/>
        <v>5</v>
      </c>
      <c r="M696">
        <f t="shared" si="32"/>
        <v>3</v>
      </c>
      <c r="N696">
        <v>2</v>
      </c>
      <c r="O696">
        <f>DATEDIF(Table1[[#This Row],[lead_date]], Table1[[#This Row],[delivery_date]], "d")</f>
        <v>9</v>
      </c>
      <c r="P696" s="5" t="str">
        <f>IF(AND(Table1[[#This Row],[customer_rating]]&gt;=8, Table1[[#This Row],[Tat_day]]&lt;=7, Table1[[#This Row],[lead_type]]="Hot"), "High", "Normal")</f>
        <v>Normal</v>
      </c>
      <c r="Q696" s="5" t="str">
        <f>IF(Table1[[#This Row],[customer_rating]]&gt;=9,"Promoter",IF(Table1[[#This Row],[customer_rating]]&gt;=7,"Passive","Detractor"))</f>
        <v>Detractor</v>
      </c>
      <c r="R696" s="5"/>
    </row>
    <row r="697" spans="1:18">
      <c r="A697" t="s">
        <v>723</v>
      </c>
      <c r="B697" t="s">
        <v>21</v>
      </c>
      <c r="C697" t="s">
        <v>30</v>
      </c>
      <c r="D697" s="5">
        <v>45951</v>
      </c>
      <c r="E697" s="5">
        <v>45953</v>
      </c>
      <c r="F697" s="5">
        <v>45955</v>
      </c>
      <c r="G697" s="5">
        <v>45960</v>
      </c>
      <c r="H697" t="s">
        <v>16</v>
      </c>
      <c r="I697" t="s">
        <v>17</v>
      </c>
      <c r="J697" s="5">
        <v>45974</v>
      </c>
      <c r="K697" s="15">
        <f t="shared" si="33"/>
        <v>2</v>
      </c>
      <c r="L697">
        <f t="shared" si="31"/>
        <v>2</v>
      </c>
      <c r="M697">
        <f t="shared" si="32"/>
        <v>5</v>
      </c>
      <c r="N697">
        <v>2</v>
      </c>
      <c r="O697">
        <f>DATEDIF(Table1[[#This Row],[lead_date]], Table1[[#This Row],[delivery_date]], "d")</f>
        <v>9</v>
      </c>
      <c r="P697" s="5" t="str">
        <f>IF(AND(Table1[[#This Row],[customer_rating]]&gt;=8, Table1[[#This Row],[Tat_day]]&lt;=7, Table1[[#This Row],[lead_type]]="Hot"), "High", "Normal")</f>
        <v>Normal</v>
      </c>
      <c r="Q697" s="5" t="str">
        <f>IF(Table1[[#This Row],[customer_rating]]&gt;=9,"Promoter",IF(Table1[[#This Row],[customer_rating]]&gt;=7,"Passive","Detractor"))</f>
        <v>Detractor</v>
      </c>
      <c r="R697" s="5"/>
    </row>
    <row r="698" spans="1:18">
      <c r="A698" t="s">
        <v>724</v>
      </c>
      <c r="B698" t="s">
        <v>19</v>
      </c>
      <c r="C698" t="s">
        <v>15</v>
      </c>
      <c r="D698" s="5">
        <v>45951</v>
      </c>
      <c r="E698" s="5">
        <v>45955</v>
      </c>
      <c r="F698" s="5">
        <v>45959</v>
      </c>
      <c r="G698" s="5">
        <v>45963</v>
      </c>
      <c r="H698" t="s">
        <v>16</v>
      </c>
      <c r="I698" t="s">
        <v>17</v>
      </c>
      <c r="J698" s="5">
        <v>45979</v>
      </c>
      <c r="K698" s="15">
        <f t="shared" si="33"/>
        <v>4</v>
      </c>
      <c r="L698">
        <f t="shared" si="31"/>
        <v>4</v>
      </c>
      <c r="M698">
        <f t="shared" si="32"/>
        <v>4</v>
      </c>
      <c r="N698">
        <v>9</v>
      </c>
      <c r="O698">
        <f>DATEDIF(Table1[[#This Row],[lead_date]], Table1[[#This Row],[delivery_date]], "d")</f>
        <v>12</v>
      </c>
      <c r="P698" s="5" t="str">
        <f>IF(AND(Table1[[#This Row],[customer_rating]]&gt;=8, Table1[[#This Row],[Tat_day]]&lt;=7, Table1[[#This Row],[lead_type]]="Hot"), "High", "Normal")</f>
        <v>Normal</v>
      </c>
      <c r="Q698" s="5" t="str">
        <f>IF(Table1[[#This Row],[customer_rating]]&gt;=9,"Promoter",IF(Table1[[#This Row],[customer_rating]]&gt;=7,"Passive","Detractor"))</f>
        <v>Promoter</v>
      </c>
      <c r="R698" s="5"/>
    </row>
    <row r="699" spans="1:18">
      <c r="A699" t="s">
        <v>725</v>
      </c>
      <c r="B699" t="s">
        <v>32</v>
      </c>
      <c r="C699" t="s">
        <v>22</v>
      </c>
      <c r="D699" s="5">
        <v>45932</v>
      </c>
      <c r="H699" t="s">
        <v>23</v>
      </c>
      <c r="I699" t="s">
        <v>101</v>
      </c>
      <c r="K699" s="15" t="str">
        <f t="shared" si="33"/>
        <v/>
      </c>
      <c r="L699" t="str">
        <f t="shared" si="31"/>
        <v/>
      </c>
      <c r="M699" t="str">
        <f t="shared" si="32"/>
        <v/>
      </c>
      <c r="O699"/>
      <c r="P699" s="5" t="str">
        <f>IF(AND(Table1[[#This Row],[customer_rating]]&gt;=8, Table1[[#This Row],[Tat_day]]&lt;=7, Table1[[#This Row],[lead_type]]="Hot"), "High", "Normal")</f>
        <v>Normal</v>
      </c>
      <c r="Q699" s="5" t="str">
        <f>IF(Table1[[#This Row],[customer_rating]]&gt;=9,"Promoter",IF(Table1[[#This Row],[customer_rating]]&gt;=7,"Passive","Detractor"))</f>
        <v>Detractor</v>
      </c>
      <c r="R699" s="5"/>
    </row>
    <row r="700" spans="1:18">
      <c r="A700" t="s">
        <v>726</v>
      </c>
      <c r="B700" t="s">
        <v>19</v>
      </c>
      <c r="C700" t="s">
        <v>22</v>
      </c>
      <c r="D700" s="5">
        <v>45940</v>
      </c>
      <c r="H700" t="s">
        <v>23</v>
      </c>
      <c r="I700" t="s">
        <v>101</v>
      </c>
      <c r="K700" s="15" t="str">
        <f t="shared" si="33"/>
        <v/>
      </c>
      <c r="L700" t="str">
        <f t="shared" si="31"/>
        <v/>
      </c>
      <c r="M700" t="str">
        <f t="shared" si="32"/>
        <v/>
      </c>
      <c r="O700"/>
      <c r="P700" s="5" t="str">
        <f>IF(AND(Table1[[#This Row],[customer_rating]]&gt;=8, Table1[[#This Row],[Tat_day]]&lt;=7, Table1[[#This Row],[lead_type]]="Hot"), "High", "Normal")</f>
        <v>Normal</v>
      </c>
      <c r="Q700" s="5" t="str">
        <f>IF(Table1[[#This Row],[customer_rating]]&gt;=9,"Promoter",IF(Table1[[#This Row],[customer_rating]]&gt;=7,"Passive","Detractor"))</f>
        <v>Detractor</v>
      </c>
      <c r="R700" s="5"/>
    </row>
    <row r="701" spans="1:18">
      <c r="A701" t="s">
        <v>727</v>
      </c>
      <c r="B701" t="s">
        <v>14</v>
      </c>
      <c r="C701" t="s">
        <v>30</v>
      </c>
      <c r="D701" s="5">
        <v>45956</v>
      </c>
      <c r="E701" s="5">
        <v>45961</v>
      </c>
      <c r="F701" s="5">
        <v>45962</v>
      </c>
      <c r="G701" s="5">
        <v>45968</v>
      </c>
      <c r="H701" t="s">
        <v>16</v>
      </c>
      <c r="I701" t="s">
        <v>17</v>
      </c>
      <c r="J701" s="5">
        <v>45988</v>
      </c>
      <c r="K701" s="15">
        <f t="shared" si="33"/>
        <v>5</v>
      </c>
      <c r="L701">
        <f t="shared" si="31"/>
        <v>1</v>
      </c>
      <c r="M701">
        <f t="shared" si="32"/>
        <v>6</v>
      </c>
      <c r="N701">
        <v>7</v>
      </c>
      <c r="O701">
        <f>DATEDIF(Table1[[#This Row],[lead_date]], Table1[[#This Row],[delivery_date]], "d")</f>
        <v>12</v>
      </c>
      <c r="P701" s="5" t="str">
        <f>IF(AND(Table1[[#This Row],[customer_rating]]&gt;=8, Table1[[#This Row],[Tat_day]]&lt;=7, Table1[[#This Row],[lead_type]]="Hot"), "High", "Normal")</f>
        <v>Normal</v>
      </c>
      <c r="Q701" s="5" t="str">
        <f>IF(Table1[[#This Row],[customer_rating]]&gt;=9,"Promoter",IF(Table1[[#This Row],[customer_rating]]&gt;=7,"Passive","Detractor"))</f>
        <v>Passive</v>
      </c>
      <c r="R701" s="5"/>
    </row>
    <row r="702" spans="1:18">
      <c r="A702" t="s">
        <v>728</v>
      </c>
      <c r="B702" t="s">
        <v>14</v>
      </c>
      <c r="C702" t="s">
        <v>22</v>
      </c>
      <c r="D702" s="5">
        <v>45945</v>
      </c>
      <c r="H702" t="s">
        <v>23</v>
      </c>
      <c r="I702" t="s">
        <v>63</v>
      </c>
      <c r="K702" s="15" t="str">
        <f t="shared" si="33"/>
        <v/>
      </c>
      <c r="L702" t="str">
        <f t="shared" si="31"/>
        <v/>
      </c>
      <c r="M702" t="str">
        <f t="shared" si="32"/>
        <v/>
      </c>
      <c r="O702"/>
      <c r="P702" s="5" t="str">
        <f>IF(AND(Table1[[#This Row],[customer_rating]]&gt;=8, Table1[[#This Row],[Tat_day]]&lt;=7, Table1[[#This Row],[lead_type]]="Hot"), "High", "Normal")</f>
        <v>Normal</v>
      </c>
      <c r="Q702" s="5" t="str">
        <f>IF(Table1[[#This Row],[customer_rating]]&gt;=9,"Promoter",IF(Table1[[#This Row],[customer_rating]]&gt;=7,"Passive","Detractor"))</f>
        <v>Detractor</v>
      </c>
      <c r="R702" s="5"/>
    </row>
    <row r="703" spans="1:18">
      <c r="A703" t="s">
        <v>729</v>
      </c>
      <c r="B703" t="s">
        <v>14</v>
      </c>
      <c r="C703" t="s">
        <v>30</v>
      </c>
      <c r="D703" s="5">
        <v>45932</v>
      </c>
      <c r="E703" s="5">
        <v>45936</v>
      </c>
      <c r="F703" s="5">
        <v>45939</v>
      </c>
      <c r="G703" s="5">
        <v>45944</v>
      </c>
      <c r="H703" t="s">
        <v>16</v>
      </c>
      <c r="I703" t="s">
        <v>17</v>
      </c>
      <c r="J703" s="5">
        <v>45967</v>
      </c>
      <c r="K703" s="15">
        <f t="shared" si="33"/>
        <v>4</v>
      </c>
      <c r="L703">
        <f t="shared" si="31"/>
        <v>3</v>
      </c>
      <c r="M703">
        <f t="shared" si="32"/>
        <v>5</v>
      </c>
      <c r="N703">
        <v>9</v>
      </c>
      <c r="O703">
        <f>DATEDIF(Table1[[#This Row],[lead_date]], Table1[[#This Row],[delivery_date]], "d")</f>
        <v>12</v>
      </c>
      <c r="P703" s="5" t="str">
        <f>IF(AND(Table1[[#This Row],[customer_rating]]&gt;=8, Table1[[#This Row],[Tat_day]]&lt;=7, Table1[[#This Row],[lead_type]]="Hot"), "High", "Normal")</f>
        <v>Normal</v>
      </c>
      <c r="Q703" s="5" t="str">
        <f>IF(Table1[[#This Row],[customer_rating]]&gt;=9,"Promoter",IF(Table1[[#This Row],[customer_rating]]&gt;=7,"Passive","Detractor"))</f>
        <v>Promoter</v>
      </c>
      <c r="R703" s="5"/>
    </row>
    <row r="704" spans="1:18">
      <c r="A704" t="s">
        <v>730</v>
      </c>
      <c r="B704" t="s">
        <v>14</v>
      </c>
      <c r="C704" t="s">
        <v>30</v>
      </c>
      <c r="D704" s="5">
        <v>45949</v>
      </c>
      <c r="E704" s="5">
        <v>45954</v>
      </c>
      <c r="F704" s="5">
        <v>45956</v>
      </c>
      <c r="G704" s="5">
        <v>45959</v>
      </c>
      <c r="H704" t="s">
        <v>23</v>
      </c>
      <c r="I704" t="s">
        <v>1028</v>
      </c>
      <c r="K704" s="15">
        <f t="shared" si="33"/>
        <v>5</v>
      </c>
      <c r="L704">
        <f t="shared" si="31"/>
        <v>2</v>
      </c>
      <c r="M704">
        <f t="shared" si="32"/>
        <v>3</v>
      </c>
      <c r="O704">
        <f>DATEDIF(Table1[[#This Row],[lead_date]], Table1[[#This Row],[delivery_date]], "d")</f>
        <v>10</v>
      </c>
      <c r="P704" s="5" t="str">
        <f>IF(AND(Table1[[#This Row],[customer_rating]]&gt;=8, Table1[[#This Row],[Tat_day]]&lt;=7, Table1[[#This Row],[lead_type]]="Hot"), "High", "Normal")</f>
        <v>Normal</v>
      </c>
      <c r="Q704" s="5" t="str">
        <f>IF(Table1[[#This Row],[customer_rating]]&gt;=9,"Promoter",IF(Table1[[#This Row],[customer_rating]]&gt;=7,"Passive","Detractor"))</f>
        <v>Detractor</v>
      </c>
      <c r="R704" s="5"/>
    </row>
    <row r="705" spans="1:18">
      <c r="A705" t="s">
        <v>731</v>
      </c>
      <c r="B705" t="s">
        <v>19</v>
      </c>
      <c r="C705" t="s">
        <v>15</v>
      </c>
      <c r="D705" s="5">
        <v>45942</v>
      </c>
      <c r="E705" s="5">
        <v>45943</v>
      </c>
      <c r="F705" s="5">
        <v>45948</v>
      </c>
      <c r="G705" s="5">
        <v>45955</v>
      </c>
      <c r="H705" t="s">
        <v>16</v>
      </c>
      <c r="I705" t="s">
        <v>17</v>
      </c>
      <c r="J705" s="5">
        <v>45983</v>
      </c>
      <c r="K705" s="15">
        <f t="shared" si="33"/>
        <v>1</v>
      </c>
      <c r="L705">
        <f t="shared" si="31"/>
        <v>5</v>
      </c>
      <c r="M705">
        <f t="shared" si="32"/>
        <v>7</v>
      </c>
      <c r="N705">
        <v>2</v>
      </c>
      <c r="O705">
        <f>DATEDIF(Table1[[#This Row],[lead_date]], Table1[[#This Row],[delivery_date]], "d")</f>
        <v>13</v>
      </c>
      <c r="P705" s="5" t="str">
        <f>IF(AND(Table1[[#This Row],[customer_rating]]&gt;=8, Table1[[#This Row],[Tat_day]]&lt;=7, Table1[[#This Row],[lead_type]]="Hot"), "High", "Normal")</f>
        <v>Normal</v>
      </c>
      <c r="Q705" s="5" t="str">
        <f>IF(Table1[[#This Row],[customer_rating]]&gt;=9,"Promoter",IF(Table1[[#This Row],[customer_rating]]&gt;=7,"Passive","Detractor"))</f>
        <v>Detractor</v>
      </c>
      <c r="R705" s="5"/>
    </row>
    <row r="706" spans="1:18">
      <c r="A706" t="s">
        <v>732</v>
      </c>
      <c r="B706" t="s">
        <v>32</v>
      </c>
      <c r="C706" t="s">
        <v>15</v>
      </c>
      <c r="D706" s="5">
        <v>45954</v>
      </c>
      <c r="E706" s="5">
        <v>45957</v>
      </c>
      <c r="F706" s="5">
        <v>45959</v>
      </c>
      <c r="G706" s="5">
        <v>45965</v>
      </c>
      <c r="H706" t="s">
        <v>16</v>
      </c>
      <c r="I706" t="s">
        <v>17</v>
      </c>
      <c r="J706" s="5">
        <v>45989</v>
      </c>
      <c r="K706" s="15">
        <f t="shared" si="33"/>
        <v>3</v>
      </c>
      <c r="L706">
        <f t="shared" si="31"/>
        <v>2</v>
      </c>
      <c r="M706">
        <f t="shared" si="32"/>
        <v>6</v>
      </c>
      <c r="N706">
        <v>9</v>
      </c>
      <c r="O706">
        <f>DATEDIF(Table1[[#This Row],[lead_date]], Table1[[#This Row],[delivery_date]], "d")</f>
        <v>11</v>
      </c>
      <c r="P706" s="5" t="str">
        <f>IF(AND(Table1[[#This Row],[customer_rating]]&gt;=8, Table1[[#This Row],[Tat_day]]&lt;=7, Table1[[#This Row],[lead_type]]="Hot"), "High", "Normal")</f>
        <v>Normal</v>
      </c>
      <c r="Q706" s="5" t="str">
        <f>IF(Table1[[#This Row],[customer_rating]]&gt;=9,"Promoter",IF(Table1[[#This Row],[customer_rating]]&gt;=7,"Passive","Detractor"))</f>
        <v>Promoter</v>
      </c>
      <c r="R706" s="5"/>
    </row>
    <row r="707" spans="1:18">
      <c r="A707" t="s">
        <v>733</v>
      </c>
      <c r="B707" t="s">
        <v>32</v>
      </c>
      <c r="C707" t="s">
        <v>15</v>
      </c>
      <c r="D707" s="5">
        <v>45935</v>
      </c>
      <c r="E707" s="5">
        <v>45938</v>
      </c>
      <c r="F707" s="5">
        <v>45943</v>
      </c>
      <c r="G707" s="5">
        <v>45946</v>
      </c>
      <c r="H707" t="s">
        <v>16</v>
      </c>
      <c r="I707" t="s">
        <v>17</v>
      </c>
      <c r="J707" s="5">
        <v>45960</v>
      </c>
      <c r="K707" s="15">
        <f t="shared" si="33"/>
        <v>3</v>
      </c>
      <c r="L707">
        <f t="shared" ref="L707:L770" si="34">IF(OR(E707="", F707=""), "", INT(F707 - E707))</f>
        <v>5</v>
      </c>
      <c r="M707">
        <f t="shared" ref="M707:M770" si="35">IF(OR(F707="", G707=""), "", INT(G707 - F707))</f>
        <v>3</v>
      </c>
      <c r="N707">
        <v>2</v>
      </c>
      <c r="O707">
        <f>DATEDIF(Table1[[#This Row],[lead_date]], Table1[[#This Row],[delivery_date]], "d")</f>
        <v>11</v>
      </c>
      <c r="P707" s="5" t="str">
        <f>IF(AND(Table1[[#This Row],[customer_rating]]&gt;=8, Table1[[#This Row],[Tat_day]]&lt;=7, Table1[[#This Row],[lead_type]]="Hot"), "High", "Normal")</f>
        <v>Normal</v>
      </c>
      <c r="Q707" s="5" t="str">
        <f>IF(Table1[[#This Row],[customer_rating]]&gt;=9,"Promoter",IF(Table1[[#This Row],[customer_rating]]&gt;=7,"Passive","Detractor"))</f>
        <v>Detractor</v>
      </c>
      <c r="R707" s="5"/>
    </row>
    <row r="708" spans="1:18">
      <c r="A708" t="s">
        <v>734</v>
      </c>
      <c r="B708" t="s">
        <v>21</v>
      </c>
      <c r="C708" t="s">
        <v>15</v>
      </c>
      <c r="D708" s="5">
        <v>45933</v>
      </c>
      <c r="E708" s="5">
        <v>45937</v>
      </c>
      <c r="F708" s="5">
        <v>45941</v>
      </c>
      <c r="G708" s="5">
        <v>45944</v>
      </c>
      <c r="H708" t="s">
        <v>16</v>
      </c>
      <c r="I708" t="s">
        <v>17</v>
      </c>
      <c r="J708" s="5">
        <v>45964</v>
      </c>
      <c r="K708" s="15">
        <f t="shared" si="33"/>
        <v>4</v>
      </c>
      <c r="L708">
        <f t="shared" si="34"/>
        <v>4</v>
      </c>
      <c r="M708">
        <f t="shared" si="35"/>
        <v>3</v>
      </c>
      <c r="N708">
        <v>6</v>
      </c>
      <c r="O708">
        <f>DATEDIF(Table1[[#This Row],[lead_date]], Table1[[#This Row],[delivery_date]], "d")</f>
        <v>11</v>
      </c>
      <c r="P708" s="5" t="str">
        <f>IF(AND(Table1[[#This Row],[customer_rating]]&gt;=8, Table1[[#This Row],[Tat_day]]&lt;=7, Table1[[#This Row],[lead_type]]="Hot"), "High", "Normal")</f>
        <v>Normal</v>
      </c>
      <c r="Q708" s="5" t="str">
        <f>IF(Table1[[#This Row],[customer_rating]]&gt;=9,"Promoter",IF(Table1[[#This Row],[customer_rating]]&gt;=7,"Passive","Detractor"))</f>
        <v>Detractor</v>
      </c>
      <c r="R708" s="5"/>
    </row>
    <row r="709" spans="1:18">
      <c r="A709" t="s">
        <v>735</v>
      </c>
      <c r="B709" t="s">
        <v>19</v>
      </c>
      <c r="C709" t="s">
        <v>30</v>
      </c>
      <c r="D709" s="5">
        <v>45960</v>
      </c>
      <c r="E709" s="5">
        <v>45962</v>
      </c>
      <c r="F709" s="5">
        <v>45967</v>
      </c>
      <c r="G709" s="5">
        <v>45969</v>
      </c>
      <c r="H709" t="s">
        <v>23</v>
      </c>
      <c r="I709" t="s">
        <v>33</v>
      </c>
      <c r="K709" s="15">
        <f t="shared" si="33"/>
        <v>2</v>
      </c>
      <c r="L709">
        <f t="shared" si="34"/>
        <v>5</v>
      </c>
      <c r="M709">
        <f t="shared" si="35"/>
        <v>2</v>
      </c>
      <c r="O709">
        <f>DATEDIF(Table1[[#This Row],[lead_date]], Table1[[#This Row],[delivery_date]], "d")</f>
        <v>9</v>
      </c>
      <c r="P709" s="5" t="str">
        <f>IF(AND(Table1[[#This Row],[customer_rating]]&gt;=8, Table1[[#This Row],[Tat_day]]&lt;=7, Table1[[#This Row],[lead_type]]="Hot"), "High", "Normal")</f>
        <v>Normal</v>
      </c>
      <c r="Q709" s="5" t="str">
        <f>IF(Table1[[#This Row],[customer_rating]]&gt;=9,"Promoter",IF(Table1[[#This Row],[customer_rating]]&gt;=7,"Passive","Detractor"))</f>
        <v>Detractor</v>
      </c>
      <c r="R709" s="5"/>
    </row>
    <row r="710" spans="1:18">
      <c r="A710" t="s">
        <v>736</v>
      </c>
      <c r="B710" t="s">
        <v>14</v>
      </c>
      <c r="C710" t="s">
        <v>30</v>
      </c>
      <c r="D710" s="5">
        <v>45940</v>
      </c>
      <c r="E710" s="5">
        <v>45945</v>
      </c>
      <c r="F710" s="5">
        <v>45948</v>
      </c>
      <c r="G710" s="5">
        <v>45953</v>
      </c>
      <c r="H710" t="s">
        <v>16</v>
      </c>
      <c r="I710" t="s">
        <v>17</v>
      </c>
      <c r="J710" s="5">
        <v>45968</v>
      </c>
      <c r="K710" s="15">
        <f t="shared" si="33"/>
        <v>5</v>
      </c>
      <c r="L710">
        <f t="shared" si="34"/>
        <v>3</v>
      </c>
      <c r="M710">
        <f t="shared" si="35"/>
        <v>5</v>
      </c>
      <c r="N710">
        <v>2</v>
      </c>
      <c r="O710">
        <f>DATEDIF(Table1[[#This Row],[lead_date]], Table1[[#This Row],[delivery_date]], "d")</f>
        <v>13</v>
      </c>
      <c r="P710" s="5" t="str">
        <f>IF(AND(Table1[[#This Row],[customer_rating]]&gt;=8, Table1[[#This Row],[Tat_day]]&lt;=7, Table1[[#This Row],[lead_type]]="Hot"), "High", "Normal")</f>
        <v>Normal</v>
      </c>
      <c r="Q710" s="5" t="str">
        <f>IF(Table1[[#This Row],[customer_rating]]&gt;=9,"Promoter",IF(Table1[[#This Row],[customer_rating]]&gt;=7,"Passive","Detractor"))</f>
        <v>Detractor</v>
      </c>
      <c r="R710" s="5"/>
    </row>
    <row r="711" spans="1:18">
      <c r="A711" t="s">
        <v>737</v>
      </c>
      <c r="B711" t="s">
        <v>19</v>
      </c>
      <c r="C711" t="s">
        <v>15</v>
      </c>
      <c r="D711" s="5">
        <v>45941</v>
      </c>
      <c r="E711" s="5">
        <v>45944</v>
      </c>
      <c r="F711" s="5">
        <v>45948</v>
      </c>
      <c r="G711" s="5">
        <v>45950</v>
      </c>
      <c r="H711" t="s">
        <v>16</v>
      </c>
      <c r="I711" t="s">
        <v>17</v>
      </c>
      <c r="J711" s="5">
        <v>45962</v>
      </c>
      <c r="K711" s="15">
        <f t="shared" si="33"/>
        <v>3</v>
      </c>
      <c r="L711">
        <f t="shared" si="34"/>
        <v>4</v>
      </c>
      <c r="M711">
        <f t="shared" si="35"/>
        <v>2</v>
      </c>
      <c r="N711">
        <v>6</v>
      </c>
      <c r="O711">
        <f>DATEDIF(Table1[[#This Row],[lead_date]], Table1[[#This Row],[delivery_date]], "d")</f>
        <v>9</v>
      </c>
      <c r="P711" s="5" t="str">
        <f>IF(AND(Table1[[#This Row],[customer_rating]]&gt;=8, Table1[[#This Row],[Tat_day]]&lt;=7, Table1[[#This Row],[lead_type]]="Hot"), "High", "Normal")</f>
        <v>Normal</v>
      </c>
      <c r="Q711" s="5" t="str">
        <f>IF(Table1[[#This Row],[customer_rating]]&gt;=9,"Promoter",IF(Table1[[#This Row],[customer_rating]]&gt;=7,"Passive","Detractor"))</f>
        <v>Detractor</v>
      </c>
      <c r="R711" s="5"/>
    </row>
    <row r="712" spans="1:18">
      <c r="A712" t="s">
        <v>738</v>
      </c>
      <c r="B712" t="s">
        <v>21</v>
      </c>
      <c r="C712" t="s">
        <v>15</v>
      </c>
      <c r="D712" s="5">
        <v>45954</v>
      </c>
      <c r="E712" s="5">
        <v>45958</v>
      </c>
      <c r="F712" s="5">
        <v>45960</v>
      </c>
      <c r="G712" s="5">
        <v>45963</v>
      </c>
      <c r="H712" t="s">
        <v>16</v>
      </c>
      <c r="I712" t="s">
        <v>17</v>
      </c>
      <c r="J712" s="5">
        <v>45988</v>
      </c>
      <c r="K712" s="15">
        <f t="shared" si="33"/>
        <v>4</v>
      </c>
      <c r="L712">
        <f t="shared" si="34"/>
        <v>2</v>
      </c>
      <c r="M712">
        <f t="shared" si="35"/>
        <v>3</v>
      </c>
      <c r="N712">
        <v>8</v>
      </c>
      <c r="O712">
        <f>DATEDIF(Table1[[#This Row],[lead_date]], Table1[[#This Row],[delivery_date]], "d")</f>
        <v>9</v>
      </c>
      <c r="P712" s="5" t="str">
        <f>IF(AND(Table1[[#This Row],[customer_rating]]&gt;=8, Table1[[#This Row],[Tat_day]]&lt;=7, Table1[[#This Row],[lead_type]]="Hot"), "High", "Normal")</f>
        <v>Normal</v>
      </c>
      <c r="Q712" s="5" t="str">
        <f>IF(Table1[[#This Row],[customer_rating]]&gt;=9,"Promoter",IF(Table1[[#This Row],[customer_rating]]&gt;=7,"Passive","Detractor"))</f>
        <v>Passive</v>
      </c>
      <c r="R712" s="5"/>
    </row>
    <row r="713" spans="1:18">
      <c r="A713" t="s">
        <v>739</v>
      </c>
      <c r="B713" t="s">
        <v>21</v>
      </c>
      <c r="C713" t="s">
        <v>15</v>
      </c>
      <c r="D713" s="5">
        <v>45944</v>
      </c>
      <c r="E713" s="5">
        <v>45946</v>
      </c>
      <c r="F713" s="5">
        <v>45947</v>
      </c>
      <c r="G713" s="5">
        <v>45953</v>
      </c>
      <c r="H713" t="s">
        <v>16</v>
      </c>
      <c r="I713" t="s">
        <v>17</v>
      </c>
      <c r="J713" s="5">
        <v>45973</v>
      </c>
      <c r="K713" s="15">
        <f t="shared" ref="K713:K776" si="36">IF(OR(D713="",E713=""),"",INT(E713-D713))</f>
        <v>2</v>
      </c>
      <c r="L713">
        <f t="shared" si="34"/>
        <v>1</v>
      </c>
      <c r="M713">
        <f t="shared" si="35"/>
        <v>6</v>
      </c>
      <c r="N713">
        <v>2</v>
      </c>
      <c r="O713">
        <f>DATEDIF(Table1[[#This Row],[lead_date]], Table1[[#This Row],[delivery_date]], "d")</f>
        <v>9</v>
      </c>
      <c r="P713" s="5" t="str">
        <f>IF(AND(Table1[[#This Row],[customer_rating]]&gt;=8, Table1[[#This Row],[Tat_day]]&lt;=7, Table1[[#This Row],[lead_type]]="Hot"), "High", "Normal")</f>
        <v>Normal</v>
      </c>
      <c r="Q713" s="5" t="str">
        <f>IF(Table1[[#This Row],[customer_rating]]&gt;=9,"Promoter",IF(Table1[[#This Row],[customer_rating]]&gt;=7,"Passive","Detractor"))</f>
        <v>Detractor</v>
      </c>
      <c r="R713" s="5"/>
    </row>
    <row r="714" spans="1:18">
      <c r="A714" t="s">
        <v>740</v>
      </c>
      <c r="B714" t="s">
        <v>19</v>
      </c>
      <c r="C714" t="s">
        <v>30</v>
      </c>
      <c r="D714" s="5">
        <v>45936</v>
      </c>
      <c r="E714" s="5">
        <v>45937</v>
      </c>
      <c r="F714" s="5">
        <v>45942</v>
      </c>
      <c r="G714" s="5">
        <v>45946</v>
      </c>
      <c r="H714" t="s">
        <v>16</v>
      </c>
      <c r="I714" t="s">
        <v>17</v>
      </c>
      <c r="J714" s="5">
        <v>45976</v>
      </c>
      <c r="K714" s="15">
        <f t="shared" si="36"/>
        <v>1</v>
      </c>
      <c r="L714">
        <f t="shared" si="34"/>
        <v>5</v>
      </c>
      <c r="M714">
        <f t="shared" si="35"/>
        <v>4</v>
      </c>
      <c r="N714">
        <v>5</v>
      </c>
      <c r="O714">
        <f>DATEDIF(Table1[[#This Row],[lead_date]], Table1[[#This Row],[delivery_date]], "d")</f>
        <v>10</v>
      </c>
      <c r="P714" s="5" t="str">
        <f>IF(AND(Table1[[#This Row],[customer_rating]]&gt;=8, Table1[[#This Row],[Tat_day]]&lt;=7, Table1[[#This Row],[lead_type]]="Hot"), "High", "Normal")</f>
        <v>Normal</v>
      </c>
      <c r="Q714" s="5" t="str">
        <f>IF(Table1[[#This Row],[customer_rating]]&gt;=9,"Promoter",IF(Table1[[#This Row],[customer_rating]]&gt;=7,"Passive","Detractor"))</f>
        <v>Detractor</v>
      </c>
      <c r="R714" s="5"/>
    </row>
    <row r="715" spans="1:18">
      <c r="A715" t="s">
        <v>741</v>
      </c>
      <c r="B715" t="s">
        <v>19</v>
      </c>
      <c r="C715" t="s">
        <v>15</v>
      </c>
      <c r="D715" s="5">
        <v>45937</v>
      </c>
      <c r="E715" s="5">
        <v>45939</v>
      </c>
      <c r="F715" s="5">
        <v>45942</v>
      </c>
      <c r="G715" s="5">
        <v>45949</v>
      </c>
      <c r="H715" t="s">
        <v>16</v>
      </c>
      <c r="I715" t="s">
        <v>17</v>
      </c>
      <c r="J715" s="5">
        <v>45964</v>
      </c>
      <c r="K715" s="15">
        <f t="shared" si="36"/>
        <v>2</v>
      </c>
      <c r="L715">
        <f t="shared" si="34"/>
        <v>3</v>
      </c>
      <c r="M715">
        <f t="shared" si="35"/>
        <v>7</v>
      </c>
      <c r="N715">
        <v>8</v>
      </c>
      <c r="O715">
        <f>DATEDIF(Table1[[#This Row],[lead_date]], Table1[[#This Row],[delivery_date]], "d")</f>
        <v>12</v>
      </c>
      <c r="P715" s="5" t="str">
        <f>IF(AND(Table1[[#This Row],[customer_rating]]&gt;=8, Table1[[#This Row],[Tat_day]]&lt;=7, Table1[[#This Row],[lead_type]]="Hot"), "High", "Normal")</f>
        <v>Normal</v>
      </c>
      <c r="Q715" s="5" t="str">
        <f>IF(Table1[[#This Row],[customer_rating]]&gt;=9,"Promoter",IF(Table1[[#This Row],[customer_rating]]&gt;=7,"Passive","Detractor"))</f>
        <v>Passive</v>
      </c>
      <c r="R715" s="5"/>
    </row>
    <row r="716" spans="1:18">
      <c r="A716" t="s">
        <v>742</v>
      </c>
      <c r="B716" t="s">
        <v>19</v>
      </c>
      <c r="C716" t="s">
        <v>30</v>
      </c>
      <c r="D716" s="5">
        <v>45935</v>
      </c>
      <c r="E716" s="5">
        <v>45936</v>
      </c>
      <c r="F716" s="5">
        <v>45937</v>
      </c>
      <c r="G716" s="5">
        <v>45944</v>
      </c>
      <c r="H716" t="s">
        <v>16</v>
      </c>
      <c r="I716" t="s">
        <v>17</v>
      </c>
      <c r="J716" s="5">
        <v>45964</v>
      </c>
      <c r="K716" s="15">
        <f t="shared" si="36"/>
        <v>1</v>
      </c>
      <c r="L716">
        <f t="shared" si="34"/>
        <v>1</v>
      </c>
      <c r="M716">
        <f t="shared" si="35"/>
        <v>7</v>
      </c>
      <c r="N716">
        <v>7</v>
      </c>
      <c r="O716">
        <f>DATEDIF(Table1[[#This Row],[lead_date]], Table1[[#This Row],[delivery_date]], "d")</f>
        <v>9</v>
      </c>
      <c r="P716" s="5" t="str">
        <f>IF(AND(Table1[[#This Row],[customer_rating]]&gt;=8, Table1[[#This Row],[Tat_day]]&lt;=7, Table1[[#This Row],[lead_type]]="Hot"), "High", "Normal")</f>
        <v>Normal</v>
      </c>
      <c r="Q716" s="5" t="str">
        <f>IF(Table1[[#This Row],[customer_rating]]&gt;=9,"Promoter",IF(Table1[[#This Row],[customer_rating]]&gt;=7,"Passive","Detractor"))</f>
        <v>Passive</v>
      </c>
      <c r="R716" s="5"/>
    </row>
    <row r="717" spans="1:18">
      <c r="A717" t="s">
        <v>743</v>
      </c>
      <c r="B717" t="s">
        <v>32</v>
      </c>
      <c r="C717" t="s">
        <v>30</v>
      </c>
      <c r="D717" s="5">
        <v>45956</v>
      </c>
      <c r="E717" s="5">
        <v>45960</v>
      </c>
      <c r="F717" s="5">
        <v>45961</v>
      </c>
      <c r="G717" s="5">
        <v>45963</v>
      </c>
      <c r="H717" t="s">
        <v>16</v>
      </c>
      <c r="I717" t="s">
        <v>17</v>
      </c>
      <c r="J717" s="5">
        <v>45993</v>
      </c>
      <c r="K717" s="15">
        <f t="shared" si="36"/>
        <v>4</v>
      </c>
      <c r="L717">
        <f t="shared" si="34"/>
        <v>1</v>
      </c>
      <c r="M717">
        <f t="shared" si="35"/>
        <v>2</v>
      </c>
      <c r="N717">
        <v>7</v>
      </c>
      <c r="O717">
        <f>DATEDIF(Table1[[#This Row],[lead_date]], Table1[[#This Row],[delivery_date]], "d")</f>
        <v>7</v>
      </c>
      <c r="P717" s="5" t="str">
        <f>IF(AND(Table1[[#This Row],[customer_rating]]&gt;=8, Table1[[#This Row],[Tat_day]]&lt;=7, Table1[[#This Row],[lead_type]]="Hot"), "High", "Normal")</f>
        <v>Normal</v>
      </c>
      <c r="Q717" s="5" t="str">
        <f>IF(Table1[[#This Row],[customer_rating]]&gt;=9,"Promoter",IF(Table1[[#This Row],[customer_rating]]&gt;=7,"Passive","Detractor"))</f>
        <v>Passive</v>
      </c>
      <c r="R717" s="5"/>
    </row>
    <row r="718" spans="1:18">
      <c r="A718" t="s">
        <v>744</v>
      </c>
      <c r="B718" t="s">
        <v>14</v>
      </c>
      <c r="C718" t="s">
        <v>15</v>
      </c>
      <c r="D718" s="5">
        <v>45948</v>
      </c>
      <c r="E718" s="5">
        <v>45950</v>
      </c>
      <c r="F718" s="5">
        <v>45954</v>
      </c>
      <c r="G718" s="5">
        <v>45958</v>
      </c>
      <c r="H718" t="s">
        <v>16</v>
      </c>
      <c r="I718" t="s">
        <v>17</v>
      </c>
      <c r="J718" s="5">
        <v>45969</v>
      </c>
      <c r="K718" s="15">
        <f t="shared" si="36"/>
        <v>2</v>
      </c>
      <c r="L718">
        <f t="shared" si="34"/>
        <v>4</v>
      </c>
      <c r="M718">
        <f t="shared" si="35"/>
        <v>4</v>
      </c>
      <c r="N718">
        <v>9</v>
      </c>
      <c r="O718">
        <f>DATEDIF(Table1[[#This Row],[lead_date]], Table1[[#This Row],[delivery_date]], "d")</f>
        <v>10</v>
      </c>
      <c r="P718" s="5" t="str">
        <f>IF(AND(Table1[[#This Row],[customer_rating]]&gt;=8, Table1[[#This Row],[Tat_day]]&lt;=7, Table1[[#This Row],[lead_type]]="Hot"), "High", "Normal")</f>
        <v>Normal</v>
      </c>
      <c r="Q718" s="5" t="str">
        <f>IF(Table1[[#This Row],[customer_rating]]&gt;=9,"Promoter",IF(Table1[[#This Row],[customer_rating]]&gt;=7,"Passive","Detractor"))</f>
        <v>Promoter</v>
      </c>
      <c r="R718" s="5"/>
    </row>
    <row r="719" spans="1:18">
      <c r="A719" t="s">
        <v>745</v>
      </c>
      <c r="B719" t="s">
        <v>19</v>
      </c>
      <c r="C719" t="s">
        <v>30</v>
      </c>
      <c r="D719" s="5">
        <v>45959</v>
      </c>
      <c r="E719" s="5">
        <v>45963</v>
      </c>
      <c r="F719" s="5">
        <v>45965</v>
      </c>
      <c r="G719" s="5">
        <v>45967</v>
      </c>
      <c r="H719" t="s">
        <v>16</v>
      </c>
      <c r="I719" t="s">
        <v>17</v>
      </c>
      <c r="J719" s="5">
        <v>45977</v>
      </c>
      <c r="K719" s="15">
        <f t="shared" si="36"/>
        <v>4</v>
      </c>
      <c r="L719">
        <f t="shared" si="34"/>
        <v>2</v>
      </c>
      <c r="M719">
        <f t="shared" si="35"/>
        <v>2</v>
      </c>
      <c r="N719">
        <v>7</v>
      </c>
      <c r="O719">
        <f>DATEDIF(Table1[[#This Row],[lead_date]], Table1[[#This Row],[delivery_date]], "d")</f>
        <v>8</v>
      </c>
      <c r="P719" s="5" t="str">
        <f>IF(AND(Table1[[#This Row],[customer_rating]]&gt;=8, Table1[[#This Row],[Tat_day]]&lt;=7, Table1[[#This Row],[lead_type]]="Hot"), "High", "Normal")</f>
        <v>Normal</v>
      </c>
      <c r="Q719" s="5" t="str">
        <f>IF(Table1[[#This Row],[customer_rating]]&gt;=9,"Promoter",IF(Table1[[#This Row],[customer_rating]]&gt;=7,"Passive","Detractor"))</f>
        <v>Passive</v>
      </c>
      <c r="R719" s="5"/>
    </row>
    <row r="720" spans="1:18">
      <c r="A720" t="s">
        <v>746</v>
      </c>
      <c r="B720" t="s">
        <v>19</v>
      </c>
      <c r="C720" t="s">
        <v>30</v>
      </c>
      <c r="D720" s="5">
        <v>45942</v>
      </c>
      <c r="E720" s="5">
        <v>45943</v>
      </c>
      <c r="F720" s="5">
        <v>45944</v>
      </c>
      <c r="G720" s="5">
        <v>45951</v>
      </c>
      <c r="H720" t="s">
        <v>16</v>
      </c>
      <c r="I720" t="s">
        <v>17</v>
      </c>
      <c r="J720" s="5">
        <v>45975</v>
      </c>
      <c r="K720" s="15">
        <f t="shared" si="36"/>
        <v>1</v>
      </c>
      <c r="L720">
        <f t="shared" si="34"/>
        <v>1</v>
      </c>
      <c r="M720">
        <f t="shared" si="35"/>
        <v>7</v>
      </c>
      <c r="N720">
        <v>2</v>
      </c>
      <c r="O720">
        <f>DATEDIF(Table1[[#This Row],[lead_date]], Table1[[#This Row],[delivery_date]], "d")</f>
        <v>9</v>
      </c>
      <c r="P720" s="5" t="str">
        <f>IF(AND(Table1[[#This Row],[customer_rating]]&gt;=8, Table1[[#This Row],[Tat_day]]&lt;=7, Table1[[#This Row],[lead_type]]="Hot"), "High", "Normal")</f>
        <v>Normal</v>
      </c>
      <c r="Q720" s="5" t="str">
        <f>IF(Table1[[#This Row],[customer_rating]]&gt;=9,"Promoter",IF(Table1[[#This Row],[customer_rating]]&gt;=7,"Passive","Detractor"))</f>
        <v>Detractor</v>
      </c>
      <c r="R720" s="5"/>
    </row>
    <row r="721" spans="1:18">
      <c r="A721" t="s">
        <v>747</v>
      </c>
      <c r="B721" t="s">
        <v>19</v>
      </c>
      <c r="C721" t="s">
        <v>15</v>
      </c>
      <c r="D721" s="5">
        <v>45947</v>
      </c>
      <c r="E721" s="5">
        <v>45950</v>
      </c>
      <c r="F721" s="5">
        <v>45953</v>
      </c>
      <c r="G721" s="5">
        <v>45958</v>
      </c>
      <c r="H721" t="s">
        <v>16</v>
      </c>
      <c r="I721" t="s">
        <v>17</v>
      </c>
      <c r="J721" s="5">
        <v>45976</v>
      </c>
      <c r="K721" s="15">
        <f t="shared" si="36"/>
        <v>3</v>
      </c>
      <c r="L721">
        <f t="shared" si="34"/>
        <v>3</v>
      </c>
      <c r="M721">
        <f t="shared" si="35"/>
        <v>5</v>
      </c>
      <c r="N721">
        <v>7</v>
      </c>
      <c r="O721">
        <f>DATEDIF(Table1[[#This Row],[lead_date]], Table1[[#This Row],[delivery_date]], "d")</f>
        <v>11</v>
      </c>
      <c r="P721" s="5" t="str">
        <f>IF(AND(Table1[[#This Row],[customer_rating]]&gt;=8, Table1[[#This Row],[Tat_day]]&lt;=7, Table1[[#This Row],[lead_type]]="Hot"), "High", "Normal")</f>
        <v>Normal</v>
      </c>
      <c r="Q721" s="5" t="str">
        <f>IF(Table1[[#This Row],[customer_rating]]&gt;=9,"Promoter",IF(Table1[[#This Row],[customer_rating]]&gt;=7,"Passive","Detractor"))</f>
        <v>Passive</v>
      </c>
      <c r="R721" s="5"/>
    </row>
    <row r="722" spans="1:18">
      <c r="A722" t="s">
        <v>748</v>
      </c>
      <c r="B722" t="s">
        <v>21</v>
      </c>
      <c r="C722" t="s">
        <v>15</v>
      </c>
      <c r="D722" s="5">
        <v>45947</v>
      </c>
      <c r="E722" s="5">
        <v>45950</v>
      </c>
      <c r="F722" s="5">
        <v>45955</v>
      </c>
      <c r="G722" s="5">
        <v>45962</v>
      </c>
      <c r="H722" t="s">
        <v>16</v>
      </c>
      <c r="I722" t="s">
        <v>17</v>
      </c>
      <c r="J722" s="5">
        <v>45978</v>
      </c>
      <c r="K722" s="15">
        <f t="shared" si="36"/>
        <v>3</v>
      </c>
      <c r="L722">
        <f t="shared" si="34"/>
        <v>5</v>
      </c>
      <c r="M722">
        <f t="shared" si="35"/>
        <v>7</v>
      </c>
      <c r="N722">
        <v>4</v>
      </c>
      <c r="O722">
        <f>DATEDIF(Table1[[#This Row],[lead_date]], Table1[[#This Row],[delivery_date]], "d")</f>
        <v>15</v>
      </c>
      <c r="P722" s="5" t="str">
        <f>IF(AND(Table1[[#This Row],[customer_rating]]&gt;=8, Table1[[#This Row],[Tat_day]]&lt;=7, Table1[[#This Row],[lead_type]]="Hot"), "High", "Normal")</f>
        <v>Normal</v>
      </c>
      <c r="Q722" s="5" t="str">
        <f>IF(Table1[[#This Row],[customer_rating]]&gt;=9,"Promoter",IF(Table1[[#This Row],[customer_rating]]&gt;=7,"Passive","Detractor"))</f>
        <v>Detractor</v>
      </c>
      <c r="R722" s="5"/>
    </row>
    <row r="723" spans="1:18">
      <c r="A723" t="s">
        <v>749</v>
      </c>
      <c r="B723" t="s">
        <v>21</v>
      </c>
      <c r="C723" t="s">
        <v>15</v>
      </c>
      <c r="D723" s="5">
        <v>45960</v>
      </c>
      <c r="E723" s="5">
        <v>45961</v>
      </c>
      <c r="F723" s="5">
        <v>45966</v>
      </c>
      <c r="G723" s="5">
        <v>45973</v>
      </c>
      <c r="H723" t="s">
        <v>16</v>
      </c>
      <c r="I723" t="s">
        <v>17</v>
      </c>
      <c r="J723" s="5">
        <v>45988</v>
      </c>
      <c r="K723" s="15">
        <f t="shared" si="36"/>
        <v>1</v>
      </c>
      <c r="L723">
        <f t="shared" si="34"/>
        <v>5</v>
      </c>
      <c r="M723">
        <f t="shared" si="35"/>
        <v>7</v>
      </c>
      <c r="N723">
        <v>6</v>
      </c>
      <c r="O723">
        <f>DATEDIF(Table1[[#This Row],[lead_date]], Table1[[#This Row],[delivery_date]], "d")</f>
        <v>13</v>
      </c>
      <c r="P723" s="5" t="str">
        <f>IF(AND(Table1[[#This Row],[customer_rating]]&gt;=8, Table1[[#This Row],[Tat_day]]&lt;=7, Table1[[#This Row],[lead_type]]="Hot"), "High", "Normal")</f>
        <v>Normal</v>
      </c>
      <c r="Q723" s="5" t="str">
        <f>IF(Table1[[#This Row],[customer_rating]]&gt;=9,"Promoter",IF(Table1[[#This Row],[customer_rating]]&gt;=7,"Passive","Detractor"))</f>
        <v>Detractor</v>
      </c>
      <c r="R723" s="5"/>
    </row>
    <row r="724" spans="1:18">
      <c r="A724" t="s">
        <v>750</v>
      </c>
      <c r="B724" t="s">
        <v>32</v>
      </c>
      <c r="C724" t="s">
        <v>30</v>
      </c>
      <c r="D724" s="5">
        <v>45939</v>
      </c>
      <c r="E724" s="5">
        <v>45944</v>
      </c>
      <c r="F724" s="5">
        <v>45949</v>
      </c>
      <c r="G724" s="5">
        <v>45953</v>
      </c>
      <c r="H724" t="s">
        <v>16</v>
      </c>
      <c r="I724" t="s">
        <v>17</v>
      </c>
      <c r="J724" s="5">
        <v>45981</v>
      </c>
      <c r="K724" s="15">
        <f t="shared" si="36"/>
        <v>5</v>
      </c>
      <c r="L724">
        <f t="shared" si="34"/>
        <v>5</v>
      </c>
      <c r="M724">
        <f t="shared" si="35"/>
        <v>4</v>
      </c>
      <c r="N724">
        <v>3</v>
      </c>
      <c r="O724">
        <f>DATEDIF(Table1[[#This Row],[lead_date]], Table1[[#This Row],[delivery_date]], "d")</f>
        <v>14</v>
      </c>
      <c r="P724" s="5" t="str">
        <f>IF(AND(Table1[[#This Row],[customer_rating]]&gt;=8, Table1[[#This Row],[Tat_day]]&lt;=7, Table1[[#This Row],[lead_type]]="Hot"), "High", "Normal")</f>
        <v>Normal</v>
      </c>
      <c r="Q724" s="5" t="str">
        <f>IF(Table1[[#This Row],[customer_rating]]&gt;=9,"Promoter",IF(Table1[[#This Row],[customer_rating]]&gt;=7,"Passive","Detractor"))</f>
        <v>Detractor</v>
      </c>
      <c r="R724" s="5"/>
    </row>
    <row r="725" spans="1:18">
      <c r="A725" t="s">
        <v>751</v>
      </c>
      <c r="B725" t="s">
        <v>14</v>
      </c>
      <c r="C725" t="s">
        <v>30</v>
      </c>
      <c r="D725" s="5">
        <v>45957</v>
      </c>
      <c r="E725" s="5">
        <v>45962</v>
      </c>
      <c r="F725" s="5">
        <v>45966</v>
      </c>
      <c r="G725" s="5">
        <v>45968</v>
      </c>
      <c r="H725" t="s">
        <v>16</v>
      </c>
      <c r="I725" t="s">
        <v>17</v>
      </c>
      <c r="J725" s="5">
        <v>45983</v>
      </c>
      <c r="K725" s="15">
        <f t="shared" si="36"/>
        <v>5</v>
      </c>
      <c r="L725">
        <f t="shared" si="34"/>
        <v>4</v>
      </c>
      <c r="M725">
        <f t="shared" si="35"/>
        <v>2</v>
      </c>
      <c r="N725">
        <v>4</v>
      </c>
      <c r="O725">
        <f>DATEDIF(Table1[[#This Row],[lead_date]], Table1[[#This Row],[delivery_date]], "d")</f>
        <v>11</v>
      </c>
      <c r="P725" s="5" t="str">
        <f>IF(AND(Table1[[#This Row],[customer_rating]]&gt;=8, Table1[[#This Row],[Tat_day]]&lt;=7, Table1[[#This Row],[lead_type]]="Hot"), "High", "Normal")</f>
        <v>Normal</v>
      </c>
      <c r="Q725" s="5" t="str">
        <f>IF(Table1[[#This Row],[customer_rating]]&gt;=9,"Promoter",IF(Table1[[#This Row],[customer_rating]]&gt;=7,"Passive","Detractor"))</f>
        <v>Detractor</v>
      </c>
      <c r="R725" s="5"/>
    </row>
    <row r="726" spans="1:18">
      <c r="A726" t="s">
        <v>752</v>
      </c>
      <c r="B726" t="s">
        <v>32</v>
      </c>
      <c r="C726" t="s">
        <v>30</v>
      </c>
      <c r="D726" s="5">
        <v>45936</v>
      </c>
      <c r="E726" s="5">
        <v>45939</v>
      </c>
      <c r="F726" s="5">
        <v>45942</v>
      </c>
      <c r="G726" s="5">
        <v>45945</v>
      </c>
      <c r="H726" t="s">
        <v>16</v>
      </c>
      <c r="I726" t="s">
        <v>17</v>
      </c>
      <c r="J726" s="5">
        <v>45970</v>
      </c>
      <c r="K726" s="15">
        <f t="shared" si="36"/>
        <v>3</v>
      </c>
      <c r="L726">
        <f t="shared" si="34"/>
        <v>3</v>
      </c>
      <c r="M726">
        <f t="shared" si="35"/>
        <v>3</v>
      </c>
      <c r="N726">
        <v>10</v>
      </c>
      <c r="O726">
        <f>DATEDIF(Table1[[#This Row],[lead_date]], Table1[[#This Row],[delivery_date]], "d")</f>
        <v>9</v>
      </c>
      <c r="P726" s="5" t="str">
        <f>IF(AND(Table1[[#This Row],[customer_rating]]&gt;=8, Table1[[#This Row],[Tat_day]]&lt;=7, Table1[[#This Row],[lead_type]]="Hot"), "High", "Normal")</f>
        <v>Normal</v>
      </c>
      <c r="Q726" s="5" t="str">
        <f>IF(Table1[[#This Row],[customer_rating]]&gt;=9,"Promoter",IF(Table1[[#This Row],[customer_rating]]&gt;=7,"Passive","Detractor"))</f>
        <v>Promoter</v>
      </c>
      <c r="R726" s="5"/>
    </row>
    <row r="727" spans="1:18">
      <c r="A727" t="s">
        <v>753</v>
      </c>
      <c r="B727" t="s">
        <v>14</v>
      </c>
      <c r="C727" t="s">
        <v>30</v>
      </c>
      <c r="D727" s="5">
        <v>45939</v>
      </c>
      <c r="E727" s="5">
        <v>45942</v>
      </c>
      <c r="F727" s="5">
        <v>45943</v>
      </c>
      <c r="G727" s="5">
        <v>45949</v>
      </c>
      <c r="H727" t="s">
        <v>16</v>
      </c>
      <c r="I727" t="s">
        <v>17</v>
      </c>
      <c r="J727" s="5">
        <v>45961</v>
      </c>
      <c r="K727" s="15">
        <f t="shared" si="36"/>
        <v>3</v>
      </c>
      <c r="L727">
        <f t="shared" si="34"/>
        <v>1</v>
      </c>
      <c r="M727">
        <f t="shared" si="35"/>
        <v>6</v>
      </c>
      <c r="N727">
        <v>8</v>
      </c>
      <c r="O727">
        <f>DATEDIF(Table1[[#This Row],[lead_date]], Table1[[#This Row],[delivery_date]], "d")</f>
        <v>10</v>
      </c>
      <c r="P727" s="5" t="str">
        <f>IF(AND(Table1[[#This Row],[customer_rating]]&gt;=8, Table1[[#This Row],[Tat_day]]&lt;=7, Table1[[#This Row],[lead_type]]="Hot"), "High", "Normal")</f>
        <v>Normal</v>
      </c>
      <c r="Q727" s="5" t="str">
        <f>IF(Table1[[#This Row],[customer_rating]]&gt;=9,"Promoter",IF(Table1[[#This Row],[customer_rating]]&gt;=7,"Passive","Detractor"))</f>
        <v>Passive</v>
      </c>
      <c r="R727" s="5"/>
    </row>
    <row r="728" spans="1:18">
      <c r="A728" t="s">
        <v>754</v>
      </c>
      <c r="B728" t="s">
        <v>21</v>
      </c>
      <c r="C728" t="s">
        <v>15</v>
      </c>
      <c r="D728" s="5">
        <v>45960</v>
      </c>
      <c r="E728" s="5">
        <v>45962</v>
      </c>
      <c r="F728" s="5">
        <v>45965</v>
      </c>
      <c r="G728" s="5">
        <v>45968</v>
      </c>
      <c r="H728" t="s">
        <v>16</v>
      </c>
      <c r="I728" t="s">
        <v>17</v>
      </c>
      <c r="J728" s="5">
        <v>45982</v>
      </c>
      <c r="K728" s="15">
        <f t="shared" si="36"/>
        <v>2</v>
      </c>
      <c r="L728">
        <f t="shared" si="34"/>
        <v>3</v>
      </c>
      <c r="M728">
        <f t="shared" si="35"/>
        <v>3</v>
      </c>
      <c r="N728">
        <v>10</v>
      </c>
      <c r="O728">
        <f>DATEDIF(Table1[[#This Row],[lead_date]], Table1[[#This Row],[delivery_date]], "d")</f>
        <v>8</v>
      </c>
      <c r="P728" s="5" t="str">
        <f>IF(AND(Table1[[#This Row],[customer_rating]]&gt;=8, Table1[[#This Row],[Tat_day]]&lt;=7, Table1[[#This Row],[lead_type]]="Hot"), "High", "Normal")</f>
        <v>Normal</v>
      </c>
      <c r="Q728" s="5" t="str">
        <f>IF(Table1[[#This Row],[customer_rating]]&gt;=9,"Promoter",IF(Table1[[#This Row],[customer_rating]]&gt;=7,"Passive","Detractor"))</f>
        <v>Promoter</v>
      </c>
      <c r="R728" s="5"/>
    </row>
    <row r="729" spans="1:18">
      <c r="A729" t="s">
        <v>755</v>
      </c>
      <c r="B729" t="s">
        <v>21</v>
      </c>
      <c r="C729" t="s">
        <v>22</v>
      </c>
      <c r="D729" s="5">
        <v>45957</v>
      </c>
      <c r="H729" t="s">
        <v>23</v>
      </c>
      <c r="I729" t="s">
        <v>33</v>
      </c>
      <c r="K729" s="15" t="str">
        <f t="shared" si="36"/>
        <v/>
      </c>
      <c r="L729" t="str">
        <f t="shared" si="34"/>
        <v/>
      </c>
      <c r="M729" t="str">
        <f t="shared" si="35"/>
        <v/>
      </c>
      <c r="O729"/>
      <c r="P729" s="5" t="str">
        <f>IF(AND(Table1[[#This Row],[customer_rating]]&gt;=8, Table1[[#This Row],[Tat_day]]&lt;=7, Table1[[#This Row],[lead_type]]="Hot"), "High", "Normal")</f>
        <v>Normal</v>
      </c>
      <c r="Q729" s="5" t="str">
        <f>IF(Table1[[#This Row],[customer_rating]]&gt;=9,"Promoter",IF(Table1[[#This Row],[customer_rating]]&gt;=7,"Passive","Detractor"))</f>
        <v>Detractor</v>
      </c>
      <c r="R729" s="5"/>
    </row>
    <row r="730" spans="1:18">
      <c r="A730" t="s">
        <v>756</v>
      </c>
      <c r="B730" t="s">
        <v>21</v>
      </c>
      <c r="C730" t="s">
        <v>15</v>
      </c>
      <c r="D730" s="5">
        <v>45961</v>
      </c>
      <c r="E730" s="5">
        <v>45963</v>
      </c>
      <c r="F730" s="5">
        <v>45967</v>
      </c>
      <c r="G730" s="5">
        <v>45972</v>
      </c>
      <c r="H730" t="s">
        <v>16</v>
      </c>
      <c r="I730" t="s">
        <v>17</v>
      </c>
      <c r="J730" s="5">
        <v>46001</v>
      </c>
      <c r="K730" s="15">
        <f t="shared" si="36"/>
        <v>2</v>
      </c>
      <c r="L730">
        <f t="shared" si="34"/>
        <v>4</v>
      </c>
      <c r="M730">
        <f t="shared" si="35"/>
        <v>5</v>
      </c>
      <c r="N730">
        <v>3</v>
      </c>
      <c r="O730">
        <f>DATEDIF(Table1[[#This Row],[lead_date]], Table1[[#This Row],[delivery_date]], "d")</f>
        <v>11</v>
      </c>
      <c r="P730" s="5" t="str">
        <f>IF(AND(Table1[[#This Row],[customer_rating]]&gt;=8, Table1[[#This Row],[Tat_day]]&lt;=7, Table1[[#This Row],[lead_type]]="Hot"), "High", "Normal")</f>
        <v>Normal</v>
      </c>
      <c r="Q730" s="5" t="str">
        <f>IF(Table1[[#This Row],[customer_rating]]&gt;=9,"Promoter",IF(Table1[[#This Row],[customer_rating]]&gt;=7,"Passive","Detractor"))</f>
        <v>Detractor</v>
      </c>
      <c r="R730" s="5"/>
    </row>
    <row r="731" spans="1:18">
      <c r="A731" t="s">
        <v>757</v>
      </c>
      <c r="B731" t="s">
        <v>32</v>
      </c>
      <c r="C731" t="s">
        <v>15</v>
      </c>
      <c r="D731" s="5">
        <v>45946</v>
      </c>
      <c r="E731" s="5">
        <v>45949</v>
      </c>
      <c r="F731" s="5">
        <v>45953</v>
      </c>
      <c r="G731" s="5">
        <v>45958</v>
      </c>
      <c r="H731" t="s">
        <v>16</v>
      </c>
      <c r="I731" t="s">
        <v>17</v>
      </c>
      <c r="J731" s="5">
        <v>45981</v>
      </c>
      <c r="K731" s="15">
        <f t="shared" si="36"/>
        <v>3</v>
      </c>
      <c r="L731">
        <f t="shared" si="34"/>
        <v>4</v>
      </c>
      <c r="M731">
        <f t="shared" si="35"/>
        <v>5</v>
      </c>
      <c r="N731">
        <v>9</v>
      </c>
      <c r="O731">
        <f>DATEDIF(Table1[[#This Row],[lead_date]], Table1[[#This Row],[delivery_date]], "d")</f>
        <v>12</v>
      </c>
      <c r="P731" s="5" t="str">
        <f>IF(AND(Table1[[#This Row],[customer_rating]]&gt;=8, Table1[[#This Row],[Tat_day]]&lt;=7, Table1[[#This Row],[lead_type]]="Hot"), "High", "Normal")</f>
        <v>Normal</v>
      </c>
      <c r="Q731" s="5" t="str">
        <f>IF(Table1[[#This Row],[customer_rating]]&gt;=9,"Promoter",IF(Table1[[#This Row],[customer_rating]]&gt;=7,"Passive","Detractor"))</f>
        <v>Promoter</v>
      </c>
      <c r="R731" s="5"/>
    </row>
    <row r="732" spans="1:18">
      <c r="A732" t="s">
        <v>758</v>
      </c>
      <c r="B732" t="s">
        <v>19</v>
      </c>
      <c r="C732" t="s">
        <v>15</v>
      </c>
      <c r="D732" s="5">
        <v>45961</v>
      </c>
      <c r="E732" s="5">
        <v>45966</v>
      </c>
      <c r="F732" s="5">
        <v>45968</v>
      </c>
      <c r="G732" s="5">
        <v>45970</v>
      </c>
      <c r="H732" t="s">
        <v>16</v>
      </c>
      <c r="I732" t="s">
        <v>17</v>
      </c>
      <c r="J732" s="5">
        <v>46000</v>
      </c>
      <c r="K732" s="15">
        <f t="shared" si="36"/>
        <v>5</v>
      </c>
      <c r="L732">
        <f t="shared" si="34"/>
        <v>2</v>
      </c>
      <c r="M732">
        <f t="shared" si="35"/>
        <v>2</v>
      </c>
      <c r="N732">
        <v>1</v>
      </c>
      <c r="O732">
        <f>DATEDIF(Table1[[#This Row],[lead_date]], Table1[[#This Row],[delivery_date]], "d")</f>
        <v>9</v>
      </c>
      <c r="P732" s="5" t="str">
        <f>IF(AND(Table1[[#This Row],[customer_rating]]&gt;=8, Table1[[#This Row],[Tat_day]]&lt;=7, Table1[[#This Row],[lead_type]]="Hot"), "High", "Normal")</f>
        <v>Normal</v>
      </c>
      <c r="Q732" s="5" t="str">
        <f>IF(Table1[[#This Row],[customer_rating]]&gt;=9,"Promoter",IF(Table1[[#This Row],[customer_rating]]&gt;=7,"Passive","Detractor"))</f>
        <v>Detractor</v>
      </c>
      <c r="R732" s="5"/>
    </row>
    <row r="733" spans="1:18">
      <c r="A733" t="s">
        <v>759</v>
      </c>
      <c r="B733" t="s">
        <v>19</v>
      </c>
      <c r="C733" t="s">
        <v>15</v>
      </c>
      <c r="D733" s="5">
        <v>45956</v>
      </c>
      <c r="E733" s="5">
        <v>45958</v>
      </c>
      <c r="F733" s="5">
        <v>45961</v>
      </c>
      <c r="G733" s="5">
        <v>45964</v>
      </c>
      <c r="H733" t="s">
        <v>16</v>
      </c>
      <c r="I733" t="s">
        <v>17</v>
      </c>
      <c r="J733" s="5">
        <v>45987</v>
      </c>
      <c r="K733" s="15">
        <f t="shared" si="36"/>
        <v>2</v>
      </c>
      <c r="L733">
        <f t="shared" si="34"/>
        <v>3</v>
      </c>
      <c r="M733">
        <f t="shared" si="35"/>
        <v>3</v>
      </c>
      <c r="N733">
        <v>8</v>
      </c>
      <c r="O733">
        <f>DATEDIF(Table1[[#This Row],[lead_date]], Table1[[#This Row],[delivery_date]], "d")</f>
        <v>8</v>
      </c>
      <c r="P733" s="5" t="str">
        <f>IF(AND(Table1[[#This Row],[customer_rating]]&gt;=8, Table1[[#This Row],[Tat_day]]&lt;=7, Table1[[#This Row],[lead_type]]="Hot"), "High", "Normal")</f>
        <v>Normal</v>
      </c>
      <c r="Q733" s="5" t="str">
        <f>IF(Table1[[#This Row],[customer_rating]]&gt;=9,"Promoter",IF(Table1[[#This Row],[customer_rating]]&gt;=7,"Passive","Detractor"))</f>
        <v>Passive</v>
      </c>
      <c r="R733" s="5"/>
    </row>
    <row r="734" spans="1:18">
      <c r="A734" t="s">
        <v>760</v>
      </c>
      <c r="B734" t="s">
        <v>21</v>
      </c>
      <c r="C734" t="s">
        <v>15</v>
      </c>
      <c r="D734" s="5">
        <v>45940</v>
      </c>
      <c r="E734" s="5">
        <v>45941</v>
      </c>
      <c r="F734" s="5">
        <v>45946</v>
      </c>
      <c r="G734" s="5">
        <v>45953</v>
      </c>
      <c r="H734" t="s">
        <v>16</v>
      </c>
      <c r="I734" t="s">
        <v>17</v>
      </c>
      <c r="J734" s="5">
        <v>45975</v>
      </c>
      <c r="K734" s="15">
        <f t="shared" si="36"/>
        <v>1</v>
      </c>
      <c r="L734">
        <f t="shared" si="34"/>
        <v>5</v>
      </c>
      <c r="M734">
        <f t="shared" si="35"/>
        <v>7</v>
      </c>
      <c r="N734">
        <v>6</v>
      </c>
      <c r="O734">
        <f>DATEDIF(Table1[[#This Row],[lead_date]], Table1[[#This Row],[delivery_date]], "d")</f>
        <v>13</v>
      </c>
      <c r="P734" s="5" t="str">
        <f>IF(AND(Table1[[#This Row],[customer_rating]]&gt;=8, Table1[[#This Row],[Tat_day]]&lt;=7, Table1[[#This Row],[lead_type]]="Hot"), "High", "Normal")</f>
        <v>Normal</v>
      </c>
      <c r="Q734" s="5" t="str">
        <f>IF(Table1[[#This Row],[customer_rating]]&gt;=9,"Promoter",IF(Table1[[#This Row],[customer_rating]]&gt;=7,"Passive","Detractor"))</f>
        <v>Detractor</v>
      </c>
      <c r="R734" s="5"/>
    </row>
    <row r="735" spans="1:18">
      <c r="A735" t="s">
        <v>761</v>
      </c>
      <c r="B735" t="s">
        <v>19</v>
      </c>
      <c r="C735" t="s">
        <v>15</v>
      </c>
      <c r="D735" s="5">
        <v>45954</v>
      </c>
      <c r="E735" s="5">
        <v>45956</v>
      </c>
      <c r="F735" s="5">
        <v>45960</v>
      </c>
      <c r="G735" s="5">
        <v>45964</v>
      </c>
      <c r="H735" t="s">
        <v>16</v>
      </c>
      <c r="I735" t="s">
        <v>17</v>
      </c>
      <c r="J735" s="5">
        <v>45987</v>
      </c>
      <c r="K735" s="15">
        <f t="shared" si="36"/>
        <v>2</v>
      </c>
      <c r="L735">
        <f t="shared" si="34"/>
        <v>4</v>
      </c>
      <c r="M735">
        <f t="shared" si="35"/>
        <v>4</v>
      </c>
      <c r="N735">
        <v>4</v>
      </c>
      <c r="O735">
        <f>DATEDIF(Table1[[#This Row],[lead_date]], Table1[[#This Row],[delivery_date]], "d")</f>
        <v>10</v>
      </c>
      <c r="P735" s="5" t="str">
        <f>IF(AND(Table1[[#This Row],[customer_rating]]&gt;=8, Table1[[#This Row],[Tat_day]]&lt;=7, Table1[[#This Row],[lead_type]]="Hot"), "High", "Normal")</f>
        <v>Normal</v>
      </c>
      <c r="Q735" s="5" t="str">
        <f>IF(Table1[[#This Row],[customer_rating]]&gt;=9,"Promoter",IF(Table1[[#This Row],[customer_rating]]&gt;=7,"Passive","Detractor"))</f>
        <v>Detractor</v>
      </c>
      <c r="R735" s="5"/>
    </row>
    <row r="736" spans="1:18">
      <c r="A736" t="s">
        <v>762</v>
      </c>
      <c r="B736" t="s">
        <v>19</v>
      </c>
      <c r="C736" t="s">
        <v>15</v>
      </c>
      <c r="D736" s="5">
        <v>45958</v>
      </c>
      <c r="E736" s="5">
        <v>45960</v>
      </c>
      <c r="F736" s="5">
        <v>45964</v>
      </c>
      <c r="G736" s="5">
        <v>45966</v>
      </c>
      <c r="H736" t="s">
        <v>16</v>
      </c>
      <c r="I736" t="s">
        <v>17</v>
      </c>
      <c r="J736" s="5">
        <v>45991</v>
      </c>
      <c r="K736" s="15">
        <f t="shared" si="36"/>
        <v>2</v>
      </c>
      <c r="L736">
        <f t="shared" si="34"/>
        <v>4</v>
      </c>
      <c r="M736">
        <f t="shared" si="35"/>
        <v>2</v>
      </c>
      <c r="N736">
        <v>4</v>
      </c>
      <c r="O736">
        <f>DATEDIF(Table1[[#This Row],[lead_date]], Table1[[#This Row],[delivery_date]], "d")</f>
        <v>8</v>
      </c>
      <c r="P736" s="5" t="str">
        <f>IF(AND(Table1[[#This Row],[customer_rating]]&gt;=8, Table1[[#This Row],[Tat_day]]&lt;=7, Table1[[#This Row],[lead_type]]="Hot"), "High", "Normal")</f>
        <v>Normal</v>
      </c>
      <c r="Q736" s="5" t="str">
        <f>IF(Table1[[#This Row],[customer_rating]]&gt;=9,"Promoter",IF(Table1[[#This Row],[customer_rating]]&gt;=7,"Passive","Detractor"))</f>
        <v>Detractor</v>
      </c>
      <c r="R736" s="5"/>
    </row>
    <row r="737" spans="1:18">
      <c r="A737" t="s">
        <v>763</v>
      </c>
      <c r="B737" t="s">
        <v>32</v>
      </c>
      <c r="C737" t="s">
        <v>30</v>
      </c>
      <c r="D737" s="5">
        <v>45941</v>
      </c>
      <c r="E737" s="5">
        <v>45943</v>
      </c>
      <c r="F737" s="5">
        <v>45945</v>
      </c>
      <c r="G737" s="5">
        <v>45947</v>
      </c>
      <c r="H737" t="s">
        <v>16</v>
      </c>
      <c r="I737" t="s">
        <v>17</v>
      </c>
      <c r="J737" s="5">
        <v>45969</v>
      </c>
      <c r="K737" s="15">
        <f t="shared" si="36"/>
        <v>2</v>
      </c>
      <c r="L737">
        <f t="shared" si="34"/>
        <v>2</v>
      </c>
      <c r="M737">
        <f t="shared" si="35"/>
        <v>2</v>
      </c>
      <c r="N737">
        <v>9</v>
      </c>
      <c r="O737">
        <f>DATEDIF(Table1[[#This Row],[lead_date]], Table1[[#This Row],[delivery_date]], "d")</f>
        <v>6</v>
      </c>
      <c r="P737" s="5" t="str">
        <f>IF(AND(Table1[[#This Row],[customer_rating]]&gt;=8, Table1[[#This Row],[Tat_day]]&lt;=7, Table1[[#This Row],[lead_type]]="Hot"), "High", "Normal")</f>
        <v>High</v>
      </c>
      <c r="Q737" s="5" t="str">
        <f>IF(Table1[[#This Row],[customer_rating]]&gt;=9,"Promoter",IF(Table1[[#This Row],[customer_rating]]&gt;=7,"Passive","Detractor"))</f>
        <v>Promoter</v>
      </c>
      <c r="R737" s="5"/>
    </row>
    <row r="738" spans="1:18">
      <c r="A738" t="s">
        <v>764</v>
      </c>
      <c r="B738" t="s">
        <v>14</v>
      </c>
      <c r="C738" t="s">
        <v>15</v>
      </c>
      <c r="D738" s="5">
        <v>45956</v>
      </c>
      <c r="E738" s="5">
        <v>45960</v>
      </c>
      <c r="F738" s="5">
        <v>45965</v>
      </c>
      <c r="G738" s="5">
        <v>45968</v>
      </c>
      <c r="H738" t="s">
        <v>16</v>
      </c>
      <c r="I738" t="s">
        <v>17</v>
      </c>
      <c r="J738" s="5">
        <v>45978</v>
      </c>
      <c r="K738" s="15">
        <f t="shared" si="36"/>
        <v>4</v>
      </c>
      <c r="L738">
        <f t="shared" si="34"/>
        <v>5</v>
      </c>
      <c r="M738">
        <f t="shared" si="35"/>
        <v>3</v>
      </c>
      <c r="N738">
        <v>0</v>
      </c>
      <c r="O738">
        <f>DATEDIF(Table1[[#This Row],[lead_date]], Table1[[#This Row],[delivery_date]], "d")</f>
        <v>12</v>
      </c>
      <c r="P738" s="5" t="str">
        <f>IF(AND(Table1[[#This Row],[customer_rating]]&gt;=8, Table1[[#This Row],[Tat_day]]&lt;=7, Table1[[#This Row],[lead_type]]="Hot"), "High", "Normal")</f>
        <v>Normal</v>
      </c>
      <c r="Q738" s="5" t="str">
        <f>IF(Table1[[#This Row],[customer_rating]]&gt;=9,"Promoter",IF(Table1[[#This Row],[customer_rating]]&gt;=7,"Passive","Detractor"))</f>
        <v>Detractor</v>
      </c>
      <c r="R738" s="5"/>
    </row>
    <row r="739" spans="1:18">
      <c r="A739" t="s">
        <v>765</v>
      </c>
      <c r="B739" t="s">
        <v>21</v>
      </c>
      <c r="C739" t="s">
        <v>22</v>
      </c>
      <c r="D739" s="5">
        <v>45934</v>
      </c>
      <c r="H739" t="s">
        <v>23</v>
      </c>
      <c r="I739" t="s">
        <v>1028</v>
      </c>
      <c r="K739" s="15" t="str">
        <f t="shared" si="36"/>
        <v/>
      </c>
      <c r="L739" t="str">
        <f t="shared" si="34"/>
        <v/>
      </c>
      <c r="M739" t="str">
        <f t="shared" si="35"/>
        <v/>
      </c>
      <c r="O739"/>
      <c r="P739" s="5" t="str">
        <f>IF(AND(Table1[[#This Row],[customer_rating]]&gt;=8, Table1[[#This Row],[Tat_day]]&lt;=7, Table1[[#This Row],[lead_type]]="Hot"), "High", "Normal")</f>
        <v>Normal</v>
      </c>
      <c r="Q739" s="5" t="str">
        <f>IF(Table1[[#This Row],[customer_rating]]&gt;=9,"Promoter",IF(Table1[[#This Row],[customer_rating]]&gt;=7,"Passive","Detractor"))</f>
        <v>Detractor</v>
      </c>
      <c r="R739" s="5"/>
    </row>
    <row r="740" spans="1:18">
      <c r="A740" t="s">
        <v>766</v>
      </c>
      <c r="B740" t="s">
        <v>21</v>
      </c>
      <c r="C740" t="s">
        <v>30</v>
      </c>
      <c r="D740" s="5">
        <v>45945</v>
      </c>
      <c r="E740" s="5">
        <v>45946</v>
      </c>
      <c r="F740" s="5">
        <v>45950</v>
      </c>
      <c r="G740" s="5">
        <v>45956</v>
      </c>
      <c r="H740" t="s">
        <v>16</v>
      </c>
      <c r="I740" t="s">
        <v>17</v>
      </c>
      <c r="J740" s="5">
        <v>45967</v>
      </c>
      <c r="K740" s="15">
        <f t="shared" si="36"/>
        <v>1</v>
      </c>
      <c r="L740">
        <f t="shared" si="34"/>
        <v>4</v>
      </c>
      <c r="M740">
        <f t="shared" si="35"/>
        <v>6</v>
      </c>
      <c r="N740">
        <v>7</v>
      </c>
      <c r="O740">
        <f>DATEDIF(Table1[[#This Row],[lead_date]], Table1[[#This Row],[delivery_date]], "d")</f>
        <v>11</v>
      </c>
      <c r="P740" s="5" t="str">
        <f>IF(AND(Table1[[#This Row],[customer_rating]]&gt;=8, Table1[[#This Row],[Tat_day]]&lt;=7, Table1[[#This Row],[lead_type]]="Hot"), "High", "Normal")</f>
        <v>Normal</v>
      </c>
      <c r="Q740" s="5" t="str">
        <f>IF(Table1[[#This Row],[customer_rating]]&gt;=9,"Promoter",IF(Table1[[#This Row],[customer_rating]]&gt;=7,"Passive","Detractor"))</f>
        <v>Passive</v>
      </c>
      <c r="R740" s="5"/>
    </row>
    <row r="741" spans="1:18">
      <c r="A741" t="s">
        <v>767</v>
      </c>
      <c r="B741" t="s">
        <v>32</v>
      </c>
      <c r="C741" t="s">
        <v>30</v>
      </c>
      <c r="D741" s="5">
        <v>45961</v>
      </c>
      <c r="E741" s="5">
        <v>45964</v>
      </c>
      <c r="F741" s="5">
        <v>45965</v>
      </c>
      <c r="G741" s="5">
        <v>45970</v>
      </c>
      <c r="H741" t="s">
        <v>16</v>
      </c>
      <c r="I741" t="s">
        <v>17</v>
      </c>
      <c r="J741" s="5">
        <v>45997</v>
      </c>
      <c r="K741" s="15">
        <f t="shared" si="36"/>
        <v>3</v>
      </c>
      <c r="L741">
        <f t="shared" si="34"/>
        <v>1</v>
      </c>
      <c r="M741">
        <f t="shared" si="35"/>
        <v>5</v>
      </c>
      <c r="N741">
        <v>7</v>
      </c>
      <c r="O741">
        <f>DATEDIF(Table1[[#This Row],[lead_date]], Table1[[#This Row],[delivery_date]], "d")</f>
        <v>9</v>
      </c>
      <c r="P741" s="5" t="str">
        <f>IF(AND(Table1[[#This Row],[customer_rating]]&gt;=8, Table1[[#This Row],[Tat_day]]&lt;=7, Table1[[#This Row],[lead_type]]="Hot"), "High", "Normal")</f>
        <v>Normal</v>
      </c>
      <c r="Q741" s="5" t="str">
        <f>IF(Table1[[#This Row],[customer_rating]]&gt;=9,"Promoter",IF(Table1[[#This Row],[customer_rating]]&gt;=7,"Passive","Detractor"))</f>
        <v>Passive</v>
      </c>
      <c r="R741" s="5"/>
    </row>
    <row r="742" spans="1:18">
      <c r="A742" t="s">
        <v>768</v>
      </c>
      <c r="B742" t="s">
        <v>32</v>
      </c>
      <c r="C742" t="s">
        <v>15</v>
      </c>
      <c r="D742" s="5">
        <v>45933</v>
      </c>
      <c r="E742" s="5">
        <v>45938</v>
      </c>
      <c r="F742" s="5">
        <v>45943</v>
      </c>
      <c r="G742" s="5">
        <v>45950</v>
      </c>
      <c r="H742" t="s">
        <v>16</v>
      </c>
      <c r="I742" t="s">
        <v>17</v>
      </c>
      <c r="J742" s="5">
        <v>45966</v>
      </c>
      <c r="K742" s="15">
        <f t="shared" si="36"/>
        <v>5</v>
      </c>
      <c r="L742">
        <f t="shared" si="34"/>
        <v>5</v>
      </c>
      <c r="M742">
        <f t="shared" si="35"/>
        <v>7</v>
      </c>
      <c r="N742">
        <v>1</v>
      </c>
      <c r="O742">
        <f>DATEDIF(Table1[[#This Row],[lead_date]], Table1[[#This Row],[delivery_date]], "d")</f>
        <v>17</v>
      </c>
      <c r="P742" s="5" t="str">
        <f>IF(AND(Table1[[#This Row],[customer_rating]]&gt;=8, Table1[[#This Row],[Tat_day]]&lt;=7, Table1[[#This Row],[lead_type]]="Hot"), "High", "Normal")</f>
        <v>Normal</v>
      </c>
      <c r="Q742" s="5" t="str">
        <f>IF(Table1[[#This Row],[customer_rating]]&gt;=9,"Promoter",IF(Table1[[#This Row],[customer_rating]]&gt;=7,"Passive","Detractor"))</f>
        <v>Detractor</v>
      </c>
      <c r="R742" s="5"/>
    </row>
    <row r="743" spans="1:18">
      <c r="A743" t="s">
        <v>769</v>
      </c>
      <c r="B743" t="s">
        <v>19</v>
      </c>
      <c r="C743" t="s">
        <v>15</v>
      </c>
      <c r="D743" s="5">
        <v>45935</v>
      </c>
      <c r="E743" s="5">
        <v>45940</v>
      </c>
      <c r="F743" s="5">
        <v>45943</v>
      </c>
      <c r="G743" s="5">
        <v>45947</v>
      </c>
      <c r="H743" t="s">
        <v>16</v>
      </c>
      <c r="I743" t="s">
        <v>17</v>
      </c>
      <c r="J743" s="5">
        <v>45968</v>
      </c>
      <c r="K743" s="15">
        <f t="shared" si="36"/>
        <v>5</v>
      </c>
      <c r="L743">
        <f t="shared" si="34"/>
        <v>3</v>
      </c>
      <c r="M743">
        <f t="shared" si="35"/>
        <v>4</v>
      </c>
      <c r="N743">
        <v>2</v>
      </c>
      <c r="O743">
        <f>DATEDIF(Table1[[#This Row],[lead_date]], Table1[[#This Row],[delivery_date]], "d")</f>
        <v>12</v>
      </c>
      <c r="P743" s="5" t="str">
        <f>IF(AND(Table1[[#This Row],[customer_rating]]&gt;=8, Table1[[#This Row],[Tat_day]]&lt;=7, Table1[[#This Row],[lead_type]]="Hot"), "High", "Normal")</f>
        <v>Normal</v>
      </c>
      <c r="Q743" s="5" t="str">
        <f>IF(Table1[[#This Row],[customer_rating]]&gt;=9,"Promoter",IF(Table1[[#This Row],[customer_rating]]&gt;=7,"Passive","Detractor"))</f>
        <v>Detractor</v>
      </c>
      <c r="R743" s="5"/>
    </row>
    <row r="744" spans="1:18">
      <c r="A744" t="s">
        <v>770</v>
      </c>
      <c r="B744" t="s">
        <v>21</v>
      </c>
      <c r="C744" t="s">
        <v>15</v>
      </c>
      <c r="D744" s="5">
        <v>45955</v>
      </c>
      <c r="E744" s="5">
        <v>45958</v>
      </c>
      <c r="F744" s="5">
        <v>45960</v>
      </c>
      <c r="G744" s="5">
        <v>45965</v>
      </c>
      <c r="H744" t="s">
        <v>16</v>
      </c>
      <c r="I744" t="s">
        <v>17</v>
      </c>
      <c r="J744" s="5">
        <v>45975</v>
      </c>
      <c r="K744" s="15">
        <f t="shared" si="36"/>
        <v>3</v>
      </c>
      <c r="L744">
        <f t="shared" si="34"/>
        <v>2</v>
      </c>
      <c r="M744">
        <f t="shared" si="35"/>
        <v>5</v>
      </c>
      <c r="N744">
        <v>2</v>
      </c>
      <c r="O744">
        <f>DATEDIF(Table1[[#This Row],[lead_date]], Table1[[#This Row],[delivery_date]], "d")</f>
        <v>10</v>
      </c>
      <c r="P744" s="5" t="str">
        <f>IF(AND(Table1[[#This Row],[customer_rating]]&gt;=8, Table1[[#This Row],[Tat_day]]&lt;=7, Table1[[#This Row],[lead_type]]="Hot"), "High", "Normal")</f>
        <v>Normal</v>
      </c>
      <c r="Q744" s="5" t="str">
        <f>IF(Table1[[#This Row],[customer_rating]]&gt;=9,"Promoter",IF(Table1[[#This Row],[customer_rating]]&gt;=7,"Passive","Detractor"))</f>
        <v>Detractor</v>
      </c>
      <c r="R744" s="5"/>
    </row>
    <row r="745" spans="1:18">
      <c r="A745" t="s">
        <v>771</v>
      </c>
      <c r="B745" t="s">
        <v>14</v>
      </c>
      <c r="C745" t="s">
        <v>15</v>
      </c>
      <c r="D745" s="5">
        <v>45961</v>
      </c>
      <c r="E745" s="5">
        <v>45965</v>
      </c>
      <c r="F745" s="5">
        <v>45966</v>
      </c>
      <c r="G745" s="5">
        <v>45973</v>
      </c>
      <c r="H745" t="s">
        <v>16</v>
      </c>
      <c r="I745" t="s">
        <v>17</v>
      </c>
      <c r="J745" s="5">
        <v>45993</v>
      </c>
      <c r="K745" s="15">
        <f t="shared" si="36"/>
        <v>4</v>
      </c>
      <c r="L745">
        <f t="shared" si="34"/>
        <v>1</v>
      </c>
      <c r="M745">
        <f t="shared" si="35"/>
        <v>7</v>
      </c>
      <c r="N745">
        <v>1</v>
      </c>
      <c r="O745">
        <f>DATEDIF(Table1[[#This Row],[lead_date]], Table1[[#This Row],[delivery_date]], "d")</f>
        <v>12</v>
      </c>
      <c r="P745" s="5" t="str">
        <f>IF(AND(Table1[[#This Row],[customer_rating]]&gt;=8, Table1[[#This Row],[Tat_day]]&lt;=7, Table1[[#This Row],[lead_type]]="Hot"), "High", "Normal")</f>
        <v>Normal</v>
      </c>
      <c r="Q745" s="5" t="str">
        <f>IF(Table1[[#This Row],[customer_rating]]&gt;=9,"Promoter",IF(Table1[[#This Row],[customer_rating]]&gt;=7,"Passive","Detractor"))</f>
        <v>Detractor</v>
      </c>
      <c r="R745" s="5"/>
    </row>
    <row r="746" spans="1:18">
      <c r="A746" t="s">
        <v>772</v>
      </c>
      <c r="B746" t="s">
        <v>32</v>
      </c>
      <c r="C746" t="s">
        <v>30</v>
      </c>
      <c r="D746" s="5">
        <v>45938</v>
      </c>
      <c r="E746" s="5">
        <v>45943</v>
      </c>
      <c r="F746" s="5">
        <v>45944</v>
      </c>
      <c r="G746" s="5">
        <v>45946</v>
      </c>
      <c r="H746" t="s">
        <v>16</v>
      </c>
      <c r="I746" t="s">
        <v>17</v>
      </c>
      <c r="J746" s="5">
        <v>45972</v>
      </c>
      <c r="K746" s="15">
        <f t="shared" si="36"/>
        <v>5</v>
      </c>
      <c r="L746">
        <f t="shared" si="34"/>
        <v>1</v>
      </c>
      <c r="M746">
        <f t="shared" si="35"/>
        <v>2</v>
      </c>
      <c r="N746">
        <v>5</v>
      </c>
      <c r="O746">
        <f>DATEDIF(Table1[[#This Row],[lead_date]], Table1[[#This Row],[delivery_date]], "d")</f>
        <v>8</v>
      </c>
      <c r="P746" s="5" t="str">
        <f>IF(AND(Table1[[#This Row],[customer_rating]]&gt;=8, Table1[[#This Row],[Tat_day]]&lt;=7, Table1[[#This Row],[lead_type]]="Hot"), "High", "Normal")</f>
        <v>Normal</v>
      </c>
      <c r="Q746" s="5" t="str">
        <f>IF(Table1[[#This Row],[customer_rating]]&gt;=9,"Promoter",IF(Table1[[#This Row],[customer_rating]]&gt;=7,"Passive","Detractor"))</f>
        <v>Detractor</v>
      </c>
      <c r="R746" s="5"/>
    </row>
    <row r="747" spans="1:18">
      <c r="A747" t="s">
        <v>773</v>
      </c>
      <c r="B747" t="s">
        <v>14</v>
      </c>
      <c r="C747" t="s">
        <v>15</v>
      </c>
      <c r="D747" s="5">
        <v>45958</v>
      </c>
      <c r="E747" s="5">
        <v>45960</v>
      </c>
      <c r="F747" s="5">
        <v>45963</v>
      </c>
      <c r="G747" s="5">
        <v>45969</v>
      </c>
      <c r="H747" t="s">
        <v>16</v>
      </c>
      <c r="I747" t="s">
        <v>17</v>
      </c>
      <c r="J747" s="5">
        <v>45985</v>
      </c>
      <c r="K747" s="15">
        <f t="shared" si="36"/>
        <v>2</v>
      </c>
      <c r="L747">
        <f t="shared" si="34"/>
        <v>3</v>
      </c>
      <c r="M747">
        <f t="shared" si="35"/>
        <v>6</v>
      </c>
      <c r="N747">
        <v>9</v>
      </c>
      <c r="O747">
        <f>DATEDIF(Table1[[#This Row],[lead_date]], Table1[[#This Row],[delivery_date]], "d")</f>
        <v>11</v>
      </c>
      <c r="P747" s="5" t="str">
        <f>IF(AND(Table1[[#This Row],[customer_rating]]&gt;=8, Table1[[#This Row],[Tat_day]]&lt;=7, Table1[[#This Row],[lead_type]]="Hot"), "High", "Normal")</f>
        <v>Normal</v>
      </c>
      <c r="Q747" s="5" t="str">
        <f>IF(Table1[[#This Row],[customer_rating]]&gt;=9,"Promoter",IF(Table1[[#This Row],[customer_rating]]&gt;=7,"Passive","Detractor"))</f>
        <v>Promoter</v>
      </c>
      <c r="R747" s="5"/>
    </row>
    <row r="748" spans="1:18">
      <c r="A748" t="s">
        <v>774</v>
      </c>
      <c r="B748" t="s">
        <v>14</v>
      </c>
      <c r="C748" t="s">
        <v>15</v>
      </c>
      <c r="D748" s="5">
        <v>45952</v>
      </c>
      <c r="E748" s="5">
        <v>45957</v>
      </c>
      <c r="F748" s="5">
        <v>45959</v>
      </c>
      <c r="G748" s="5">
        <v>45961</v>
      </c>
      <c r="H748" t="s">
        <v>23</v>
      </c>
      <c r="I748" t="s">
        <v>101</v>
      </c>
      <c r="K748" s="15">
        <f t="shared" si="36"/>
        <v>5</v>
      </c>
      <c r="L748">
        <f t="shared" si="34"/>
        <v>2</v>
      </c>
      <c r="M748">
        <f t="shared" si="35"/>
        <v>2</v>
      </c>
      <c r="O748">
        <f>DATEDIF(Table1[[#This Row],[lead_date]], Table1[[#This Row],[delivery_date]], "d")</f>
        <v>9</v>
      </c>
      <c r="P748" s="5" t="str">
        <f>IF(AND(Table1[[#This Row],[customer_rating]]&gt;=8, Table1[[#This Row],[Tat_day]]&lt;=7, Table1[[#This Row],[lead_type]]="Hot"), "High", "Normal")</f>
        <v>Normal</v>
      </c>
      <c r="Q748" s="5" t="str">
        <f>IF(Table1[[#This Row],[customer_rating]]&gt;=9,"Promoter",IF(Table1[[#This Row],[customer_rating]]&gt;=7,"Passive","Detractor"))</f>
        <v>Detractor</v>
      </c>
      <c r="R748" s="5"/>
    </row>
    <row r="749" spans="1:18">
      <c r="A749" t="s">
        <v>775</v>
      </c>
      <c r="B749" t="s">
        <v>21</v>
      </c>
      <c r="C749" t="s">
        <v>22</v>
      </c>
      <c r="D749" s="5">
        <v>45954</v>
      </c>
      <c r="H749" t="s">
        <v>23</v>
      </c>
      <c r="I749" t="s">
        <v>63</v>
      </c>
      <c r="K749" s="15" t="str">
        <f t="shared" si="36"/>
        <v/>
      </c>
      <c r="L749" t="str">
        <f t="shared" si="34"/>
        <v/>
      </c>
      <c r="M749" t="str">
        <f t="shared" si="35"/>
        <v/>
      </c>
      <c r="O749"/>
      <c r="P749" s="5" t="str">
        <f>IF(AND(Table1[[#This Row],[customer_rating]]&gt;=8, Table1[[#This Row],[Tat_day]]&lt;=7, Table1[[#This Row],[lead_type]]="Hot"), "High", "Normal")</f>
        <v>Normal</v>
      </c>
      <c r="Q749" s="5" t="str">
        <f>IF(Table1[[#This Row],[customer_rating]]&gt;=9,"Promoter",IF(Table1[[#This Row],[customer_rating]]&gt;=7,"Passive","Detractor"))</f>
        <v>Detractor</v>
      </c>
      <c r="R749" s="5"/>
    </row>
    <row r="750" spans="1:18">
      <c r="A750" t="s">
        <v>776</v>
      </c>
      <c r="B750" t="s">
        <v>21</v>
      </c>
      <c r="C750" t="s">
        <v>15</v>
      </c>
      <c r="D750" s="5">
        <v>45952</v>
      </c>
      <c r="E750" s="5">
        <v>45953</v>
      </c>
      <c r="F750" s="5">
        <v>45957</v>
      </c>
      <c r="G750" s="5">
        <v>45963</v>
      </c>
      <c r="H750" t="s">
        <v>16</v>
      </c>
      <c r="I750" t="s">
        <v>17</v>
      </c>
      <c r="J750" s="5">
        <v>45973</v>
      </c>
      <c r="K750" s="15">
        <f t="shared" si="36"/>
        <v>1</v>
      </c>
      <c r="L750">
        <f t="shared" si="34"/>
        <v>4</v>
      </c>
      <c r="M750">
        <f t="shared" si="35"/>
        <v>6</v>
      </c>
      <c r="N750">
        <v>7</v>
      </c>
      <c r="O750">
        <f>DATEDIF(Table1[[#This Row],[lead_date]], Table1[[#This Row],[delivery_date]], "d")</f>
        <v>11</v>
      </c>
      <c r="P750" s="5" t="str">
        <f>IF(AND(Table1[[#This Row],[customer_rating]]&gt;=8, Table1[[#This Row],[Tat_day]]&lt;=7, Table1[[#This Row],[lead_type]]="Hot"), "High", "Normal")</f>
        <v>Normal</v>
      </c>
      <c r="Q750" s="5" t="str">
        <f>IF(Table1[[#This Row],[customer_rating]]&gt;=9,"Promoter",IF(Table1[[#This Row],[customer_rating]]&gt;=7,"Passive","Detractor"))</f>
        <v>Passive</v>
      </c>
      <c r="R750" s="5"/>
    </row>
    <row r="751" spans="1:18">
      <c r="A751" t="s">
        <v>777</v>
      </c>
      <c r="B751" t="s">
        <v>32</v>
      </c>
      <c r="C751" t="s">
        <v>30</v>
      </c>
      <c r="D751" s="5">
        <v>45943</v>
      </c>
      <c r="E751" s="5">
        <v>45944</v>
      </c>
      <c r="F751" s="5">
        <v>45946</v>
      </c>
      <c r="G751" s="5">
        <v>45949</v>
      </c>
      <c r="H751" t="s">
        <v>16</v>
      </c>
      <c r="I751" t="s">
        <v>17</v>
      </c>
      <c r="J751" s="5">
        <v>45959</v>
      </c>
      <c r="K751" s="15">
        <f t="shared" si="36"/>
        <v>1</v>
      </c>
      <c r="L751">
        <f t="shared" si="34"/>
        <v>2</v>
      </c>
      <c r="M751">
        <f t="shared" si="35"/>
        <v>3</v>
      </c>
      <c r="N751">
        <v>0</v>
      </c>
      <c r="O751">
        <f>DATEDIF(Table1[[#This Row],[lead_date]], Table1[[#This Row],[delivery_date]], "d")</f>
        <v>6</v>
      </c>
      <c r="P751" s="5" t="str">
        <f>IF(AND(Table1[[#This Row],[customer_rating]]&gt;=8, Table1[[#This Row],[Tat_day]]&lt;=7, Table1[[#This Row],[lead_type]]="Hot"), "High", "Normal")</f>
        <v>Normal</v>
      </c>
      <c r="Q751" s="5" t="str">
        <f>IF(Table1[[#This Row],[customer_rating]]&gt;=9,"Promoter",IF(Table1[[#This Row],[customer_rating]]&gt;=7,"Passive","Detractor"))</f>
        <v>Detractor</v>
      </c>
      <c r="R751" s="5"/>
    </row>
    <row r="752" spans="1:18">
      <c r="A752" t="s">
        <v>778</v>
      </c>
      <c r="B752" t="s">
        <v>21</v>
      </c>
      <c r="C752" t="s">
        <v>30</v>
      </c>
      <c r="D752" s="5">
        <v>45961</v>
      </c>
      <c r="E752" s="5">
        <v>45964</v>
      </c>
      <c r="F752" s="5">
        <v>45968</v>
      </c>
      <c r="G752" s="5">
        <v>45975</v>
      </c>
      <c r="H752" t="s">
        <v>16</v>
      </c>
      <c r="I752" t="s">
        <v>17</v>
      </c>
      <c r="J752" s="5">
        <v>46005</v>
      </c>
      <c r="K752" s="15">
        <f t="shared" si="36"/>
        <v>3</v>
      </c>
      <c r="L752">
        <f t="shared" si="34"/>
        <v>4</v>
      </c>
      <c r="M752">
        <f t="shared" si="35"/>
        <v>7</v>
      </c>
      <c r="N752">
        <v>7</v>
      </c>
      <c r="O752">
        <f>DATEDIF(Table1[[#This Row],[lead_date]], Table1[[#This Row],[delivery_date]], "d")</f>
        <v>14</v>
      </c>
      <c r="P752" s="5" t="str">
        <f>IF(AND(Table1[[#This Row],[customer_rating]]&gt;=8, Table1[[#This Row],[Tat_day]]&lt;=7, Table1[[#This Row],[lead_type]]="Hot"), "High", "Normal")</f>
        <v>Normal</v>
      </c>
      <c r="Q752" s="5" t="str">
        <f>IF(Table1[[#This Row],[customer_rating]]&gt;=9,"Promoter",IF(Table1[[#This Row],[customer_rating]]&gt;=7,"Passive","Detractor"))</f>
        <v>Passive</v>
      </c>
      <c r="R752" s="5"/>
    </row>
    <row r="753" spans="1:18">
      <c r="A753" t="s">
        <v>779</v>
      </c>
      <c r="B753" t="s">
        <v>21</v>
      </c>
      <c r="C753" t="s">
        <v>30</v>
      </c>
      <c r="D753" s="5">
        <v>45958</v>
      </c>
      <c r="E753" s="5">
        <v>45962</v>
      </c>
      <c r="F753" s="5">
        <v>45965</v>
      </c>
      <c r="G753" s="5">
        <v>45970</v>
      </c>
      <c r="H753" t="s">
        <v>16</v>
      </c>
      <c r="I753" t="s">
        <v>17</v>
      </c>
      <c r="J753" s="5">
        <v>45987</v>
      </c>
      <c r="K753" s="15">
        <f t="shared" si="36"/>
        <v>4</v>
      </c>
      <c r="L753">
        <f t="shared" si="34"/>
        <v>3</v>
      </c>
      <c r="M753">
        <f t="shared" si="35"/>
        <v>5</v>
      </c>
      <c r="N753">
        <v>4</v>
      </c>
      <c r="O753">
        <f>DATEDIF(Table1[[#This Row],[lead_date]], Table1[[#This Row],[delivery_date]], "d")</f>
        <v>12</v>
      </c>
      <c r="P753" s="5" t="str">
        <f>IF(AND(Table1[[#This Row],[customer_rating]]&gt;=8, Table1[[#This Row],[Tat_day]]&lt;=7, Table1[[#This Row],[lead_type]]="Hot"), "High", "Normal")</f>
        <v>Normal</v>
      </c>
      <c r="Q753" s="5" t="str">
        <f>IF(Table1[[#This Row],[customer_rating]]&gt;=9,"Promoter",IF(Table1[[#This Row],[customer_rating]]&gt;=7,"Passive","Detractor"))</f>
        <v>Detractor</v>
      </c>
      <c r="R753" s="5"/>
    </row>
    <row r="754" spans="1:18">
      <c r="A754" t="s">
        <v>780</v>
      </c>
      <c r="B754" t="s">
        <v>21</v>
      </c>
      <c r="C754" t="s">
        <v>15</v>
      </c>
      <c r="D754" s="5">
        <v>45956</v>
      </c>
      <c r="E754" s="5">
        <v>45960</v>
      </c>
      <c r="F754" s="5">
        <v>45963</v>
      </c>
      <c r="G754" s="5">
        <v>45965</v>
      </c>
      <c r="H754" t="s">
        <v>16</v>
      </c>
      <c r="I754" t="s">
        <v>17</v>
      </c>
      <c r="J754" s="5">
        <v>45982</v>
      </c>
      <c r="K754" s="15">
        <f t="shared" si="36"/>
        <v>4</v>
      </c>
      <c r="L754">
        <f t="shared" si="34"/>
        <v>3</v>
      </c>
      <c r="M754">
        <f t="shared" si="35"/>
        <v>2</v>
      </c>
      <c r="N754">
        <v>4</v>
      </c>
      <c r="O754">
        <f>DATEDIF(Table1[[#This Row],[lead_date]], Table1[[#This Row],[delivery_date]], "d")</f>
        <v>9</v>
      </c>
      <c r="P754" s="5" t="str">
        <f>IF(AND(Table1[[#This Row],[customer_rating]]&gt;=8, Table1[[#This Row],[Tat_day]]&lt;=7, Table1[[#This Row],[lead_type]]="Hot"), "High", "Normal")</f>
        <v>Normal</v>
      </c>
      <c r="Q754" s="5" t="str">
        <f>IF(Table1[[#This Row],[customer_rating]]&gt;=9,"Promoter",IF(Table1[[#This Row],[customer_rating]]&gt;=7,"Passive","Detractor"))</f>
        <v>Detractor</v>
      </c>
      <c r="R754" s="5"/>
    </row>
    <row r="755" spans="1:18">
      <c r="A755" t="s">
        <v>781</v>
      </c>
      <c r="B755" t="s">
        <v>14</v>
      </c>
      <c r="C755" t="s">
        <v>30</v>
      </c>
      <c r="D755" s="5">
        <v>45948</v>
      </c>
      <c r="E755" s="5">
        <v>45953</v>
      </c>
      <c r="F755" s="5">
        <v>45954</v>
      </c>
      <c r="G755" s="5">
        <v>45960</v>
      </c>
      <c r="H755" t="s">
        <v>16</v>
      </c>
      <c r="I755" t="s">
        <v>17</v>
      </c>
      <c r="J755" s="5">
        <v>45981</v>
      </c>
      <c r="K755" s="15">
        <f t="shared" si="36"/>
        <v>5</v>
      </c>
      <c r="L755">
        <f t="shared" si="34"/>
        <v>1</v>
      </c>
      <c r="M755">
        <f t="shared" si="35"/>
        <v>6</v>
      </c>
      <c r="N755">
        <v>9</v>
      </c>
      <c r="O755">
        <f>DATEDIF(Table1[[#This Row],[lead_date]], Table1[[#This Row],[delivery_date]], "d")</f>
        <v>12</v>
      </c>
      <c r="P755" s="5" t="str">
        <f>IF(AND(Table1[[#This Row],[customer_rating]]&gt;=8, Table1[[#This Row],[Tat_day]]&lt;=7, Table1[[#This Row],[lead_type]]="Hot"), "High", "Normal")</f>
        <v>Normal</v>
      </c>
      <c r="Q755" s="5" t="str">
        <f>IF(Table1[[#This Row],[customer_rating]]&gt;=9,"Promoter",IF(Table1[[#This Row],[customer_rating]]&gt;=7,"Passive","Detractor"))</f>
        <v>Promoter</v>
      </c>
      <c r="R755" s="5"/>
    </row>
    <row r="756" spans="1:18">
      <c r="A756" t="s">
        <v>782</v>
      </c>
      <c r="B756" t="s">
        <v>32</v>
      </c>
      <c r="C756" t="s">
        <v>15</v>
      </c>
      <c r="D756" s="5">
        <v>45942</v>
      </c>
      <c r="E756" s="5">
        <v>45946</v>
      </c>
      <c r="F756" s="5">
        <v>45947</v>
      </c>
      <c r="G756" s="5">
        <v>45953</v>
      </c>
      <c r="H756" t="s">
        <v>16</v>
      </c>
      <c r="I756" t="s">
        <v>17</v>
      </c>
      <c r="J756" s="5">
        <v>45972</v>
      </c>
      <c r="K756" s="15">
        <f t="shared" si="36"/>
        <v>4</v>
      </c>
      <c r="L756">
        <f t="shared" si="34"/>
        <v>1</v>
      </c>
      <c r="M756">
        <f t="shared" si="35"/>
        <v>6</v>
      </c>
      <c r="N756">
        <v>6</v>
      </c>
      <c r="O756">
        <f>DATEDIF(Table1[[#This Row],[lead_date]], Table1[[#This Row],[delivery_date]], "d")</f>
        <v>11</v>
      </c>
      <c r="P756" s="5" t="str">
        <f>IF(AND(Table1[[#This Row],[customer_rating]]&gt;=8, Table1[[#This Row],[Tat_day]]&lt;=7, Table1[[#This Row],[lead_type]]="Hot"), "High", "Normal")</f>
        <v>Normal</v>
      </c>
      <c r="Q756" s="5" t="str">
        <f>IF(Table1[[#This Row],[customer_rating]]&gt;=9,"Promoter",IF(Table1[[#This Row],[customer_rating]]&gt;=7,"Passive","Detractor"))</f>
        <v>Detractor</v>
      </c>
      <c r="R756" s="5"/>
    </row>
    <row r="757" spans="1:18">
      <c r="A757" t="s">
        <v>783</v>
      </c>
      <c r="B757" t="s">
        <v>19</v>
      </c>
      <c r="C757" t="s">
        <v>15</v>
      </c>
      <c r="D757" s="5">
        <v>45933</v>
      </c>
      <c r="E757" s="5">
        <v>45937</v>
      </c>
      <c r="F757" s="5">
        <v>45938</v>
      </c>
      <c r="G757" s="5">
        <v>45940</v>
      </c>
      <c r="H757" t="s">
        <v>16</v>
      </c>
      <c r="I757" t="s">
        <v>17</v>
      </c>
      <c r="J757" s="5">
        <v>45954</v>
      </c>
      <c r="K757" s="15">
        <f t="shared" si="36"/>
        <v>4</v>
      </c>
      <c r="L757">
        <f t="shared" si="34"/>
        <v>1</v>
      </c>
      <c r="M757">
        <f t="shared" si="35"/>
        <v>2</v>
      </c>
      <c r="N757">
        <v>5</v>
      </c>
      <c r="O757">
        <f>DATEDIF(Table1[[#This Row],[lead_date]], Table1[[#This Row],[delivery_date]], "d")</f>
        <v>7</v>
      </c>
      <c r="P757" s="5" t="str">
        <f>IF(AND(Table1[[#This Row],[customer_rating]]&gt;=8, Table1[[#This Row],[Tat_day]]&lt;=7, Table1[[#This Row],[lead_type]]="Hot"), "High", "Normal")</f>
        <v>Normal</v>
      </c>
      <c r="Q757" s="5" t="str">
        <f>IF(Table1[[#This Row],[customer_rating]]&gt;=9,"Promoter",IF(Table1[[#This Row],[customer_rating]]&gt;=7,"Passive","Detractor"))</f>
        <v>Detractor</v>
      </c>
      <c r="R757" s="5"/>
    </row>
    <row r="758" spans="1:18">
      <c r="A758" t="s">
        <v>784</v>
      </c>
      <c r="B758" t="s">
        <v>14</v>
      </c>
      <c r="C758" t="s">
        <v>30</v>
      </c>
      <c r="D758" s="5">
        <v>45956</v>
      </c>
      <c r="E758" s="5">
        <v>45961</v>
      </c>
      <c r="F758" s="5">
        <v>45964</v>
      </c>
      <c r="G758" s="5">
        <v>45969</v>
      </c>
      <c r="H758" t="s">
        <v>16</v>
      </c>
      <c r="I758" t="s">
        <v>17</v>
      </c>
      <c r="J758" s="5">
        <v>45982</v>
      </c>
      <c r="K758" s="15">
        <f t="shared" si="36"/>
        <v>5</v>
      </c>
      <c r="L758">
        <f t="shared" si="34"/>
        <v>3</v>
      </c>
      <c r="M758">
        <f t="shared" si="35"/>
        <v>5</v>
      </c>
      <c r="N758">
        <v>7</v>
      </c>
      <c r="O758">
        <f>DATEDIF(Table1[[#This Row],[lead_date]], Table1[[#This Row],[delivery_date]], "d")</f>
        <v>13</v>
      </c>
      <c r="P758" s="5" t="str">
        <f>IF(AND(Table1[[#This Row],[customer_rating]]&gt;=8, Table1[[#This Row],[Tat_day]]&lt;=7, Table1[[#This Row],[lead_type]]="Hot"), "High", "Normal")</f>
        <v>Normal</v>
      </c>
      <c r="Q758" s="5" t="str">
        <f>IF(Table1[[#This Row],[customer_rating]]&gt;=9,"Promoter",IF(Table1[[#This Row],[customer_rating]]&gt;=7,"Passive","Detractor"))</f>
        <v>Passive</v>
      </c>
      <c r="R758" s="5"/>
    </row>
    <row r="759" spans="1:18">
      <c r="A759" t="s">
        <v>785</v>
      </c>
      <c r="B759" t="s">
        <v>21</v>
      </c>
      <c r="C759" t="s">
        <v>30</v>
      </c>
      <c r="D759" s="5">
        <v>45943</v>
      </c>
      <c r="E759" s="5">
        <v>45944</v>
      </c>
      <c r="F759" s="5">
        <v>45948</v>
      </c>
      <c r="G759" s="5">
        <v>45955</v>
      </c>
      <c r="H759" t="s">
        <v>16</v>
      </c>
      <c r="I759" t="s">
        <v>17</v>
      </c>
      <c r="J759" s="5">
        <v>45977</v>
      </c>
      <c r="K759" s="15">
        <f t="shared" si="36"/>
        <v>1</v>
      </c>
      <c r="L759">
        <f t="shared" si="34"/>
        <v>4</v>
      </c>
      <c r="M759">
        <f t="shared" si="35"/>
        <v>7</v>
      </c>
      <c r="N759">
        <v>6</v>
      </c>
      <c r="O759">
        <f>DATEDIF(Table1[[#This Row],[lead_date]], Table1[[#This Row],[delivery_date]], "d")</f>
        <v>12</v>
      </c>
      <c r="P759" s="5" t="str">
        <f>IF(AND(Table1[[#This Row],[customer_rating]]&gt;=8, Table1[[#This Row],[Tat_day]]&lt;=7, Table1[[#This Row],[lead_type]]="Hot"), "High", "Normal")</f>
        <v>Normal</v>
      </c>
      <c r="Q759" s="5" t="str">
        <f>IF(Table1[[#This Row],[customer_rating]]&gt;=9,"Promoter",IF(Table1[[#This Row],[customer_rating]]&gt;=7,"Passive","Detractor"))</f>
        <v>Detractor</v>
      </c>
      <c r="R759" s="5"/>
    </row>
    <row r="760" spans="1:18">
      <c r="A760" t="s">
        <v>786</v>
      </c>
      <c r="B760" t="s">
        <v>14</v>
      </c>
      <c r="C760" t="s">
        <v>30</v>
      </c>
      <c r="D760" s="5">
        <v>45931</v>
      </c>
      <c r="E760" s="5">
        <v>45933</v>
      </c>
      <c r="F760" s="5">
        <v>45936</v>
      </c>
      <c r="G760" s="5">
        <v>45939</v>
      </c>
      <c r="H760" t="s">
        <v>16</v>
      </c>
      <c r="I760" t="s">
        <v>17</v>
      </c>
      <c r="J760" s="5">
        <v>45965</v>
      </c>
      <c r="K760" s="15">
        <f t="shared" si="36"/>
        <v>2</v>
      </c>
      <c r="L760">
        <f t="shared" si="34"/>
        <v>3</v>
      </c>
      <c r="M760">
        <f t="shared" si="35"/>
        <v>3</v>
      </c>
      <c r="N760">
        <v>6</v>
      </c>
      <c r="O760">
        <f>DATEDIF(Table1[[#This Row],[lead_date]], Table1[[#This Row],[delivery_date]], "d")</f>
        <v>8</v>
      </c>
      <c r="P760" s="5" t="str">
        <f>IF(AND(Table1[[#This Row],[customer_rating]]&gt;=8, Table1[[#This Row],[Tat_day]]&lt;=7, Table1[[#This Row],[lead_type]]="Hot"), "High", "Normal")</f>
        <v>Normal</v>
      </c>
      <c r="Q760" s="5" t="str">
        <f>IF(Table1[[#This Row],[customer_rating]]&gt;=9,"Promoter",IF(Table1[[#This Row],[customer_rating]]&gt;=7,"Passive","Detractor"))</f>
        <v>Detractor</v>
      </c>
      <c r="R760" s="5"/>
    </row>
    <row r="761" spans="1:18">
      <c r="A761" t="s">
        <v>787</v>
      </c>
      <c r="B761" t="s">
        <v>21</v>
      </c>
      <c r="C761" t="s">
        <v>22</v>
      </c>
      <c r="D761" s="5">
        <v>45939</v>
      </c>
      <c r="H761" t="s">
        <v>23</v>
      </c>
      <c r="I761" t="s">
        <v>63</v>
      </c>
      <c r="K761" s="15" t="str">
        <f t="shared" si="36"/>
        <v/>
      </c>
      <c r="L761" t="str">
        <f t="shared" si="34"/>
        <v/>
      </c>
      <c r="M761" t="str">
        <f t="shared" si="35"/>
        <v/>
      </c>
      <c r="O761"/>
      <c r="P761" s="5" t="str">
        <f>IF(AND(Table1[[#This Row],[customer_rating]]&gt;=8, Table1[[#This Row],[Tat_day]]&lt;=7, Table1[[#This Row],[lead_type]]="Hot"), "High", "Normal")</f>
        <v>Normal</v>
      </c>
      <c r="Q761" s="5" t="str">
        <f>IF(Table1[[#This Row],[customer_rating]]&gt;=9,"Promoter",IF(Table1[[#This Row],[customer_rating]]&gt;=7,"Passive","Detractor"))</f>
        <v>Detractor</v>
      </c>
      <c r="R761" s="5"/>
    </row>
    <row r="762" spans="1:18">
      <c r="A762" t="s">
        <v>788</v>
      </c>
      <c r="B762" t="s">
        <v>21</v>
      </c>
      <c r="C762" t="s">
        <v>30</v>
      </c>
      <c r="D762" s="5">
        <v>45948</v>
      </c>
      <c r="E762" s="5">
        <v>45951</v>
      </c>
      <c r="F762" s="5">
        <v>45954</v>
      </c>
      <c r="G762" s="5">
        <v>45957</v>
      </c>
      <c r="H762" t="s">
        <v>16</v>
      </c>
      <c r="I762" t="s">
        <v>17</v>
      </c>
      <c r="J762" s="5">
        <v>45985</v>
      </c>
      <c r="K762" s="15">
        <f t="shared" si="36"/>
        <v>3</v>
      </c>
      <c r="L762">
        <f t="shared" si="34"/>
        <v>3</v>
      </c>
      <c r="M762">
        <f t="shared" si="35"/>
        <v>3</v>
      </c>
      <c r="N762">
        <v>2</v>
      </c>
      <c r="O762">
        <f>DATEDIF(Table1[[#This Row],[lead_date]], Table1[[#This Row],[delivery_date]], "d")</f>
        <v>9</v>
      </c>
      <c r="P762" s="5" t="str">
        <f>IF(AND(Table1[[#This Row],[customer_rating]]&gt;=8, Table1[[#This Row],[Tat_day]]&lt;=7, Table1[[#This Row],[lead_type]]="Hot"), "High", "Normal")</f>
        <v>Normal</v>
      </c>
      <c r="Q762" s="5" t="str">
        <f>IF(Table1[[#This Row],[customer_rating]]&gt;=9,"Promoter",IF(Table1[[#This Row],[customer_rating]]&gt;=7,"Passive","Detractor"))</f>
        <v>Detractor</v>
      </c>
      <c r="R762" s="5"/>
    </row>
    <row r="763" spans="1:18">
      <c r="A763" t="s">
        <v>789</v>
      </c>
      <c r="B763" t="s">
        <v>14</v>
      </c>
      <c r="C763" t="s">
        <v>15</v>
      </c>
      <c r="D763" s="5">
        <v>45934</v>
      </c>
      <c r="E763" s="5">
        <v>45935</v>
      </c>
      <c r="F763" s="5">
        <v>45936</v>
      </c>
      <c r="G763" s="5">
        <v>45940</v>
      </c>
      <c r="H763" t="s">
        <v>16</v>
      </c>
      <c r="I763" t="s">
        <v>17</v>
      </c>
      <c r="J763" s="5">
        <v>45959</v>
      </c>
      <c r="K763" s="15">
        <f t="shared" si="36"/>
        <v>1</v>
      </c>
      <c r="L763">
        <f t="shared" si="34"/>
        <v>1</v>
      </c>
      <c r="M763">
        <f t="shared" si="35"/>
        <v>4</v>
      </c>
      <c r="N763">
        <v>8</v>
      </c>
      <c r="O763">
        <f>DATEDIF(Table1[[#This Row],[lead_date]], Table1[[#This Row],[delivery_date]], "d")</f>
        <v>6</v>
      </c>
      <c r="P763" s="5" t="str">
        <f>IF(AND(Table1[[#This Row],[customer_rating]]&gt;=8, Table1[[#This Row],[Tat_day]]&lt;=7, Table1[[#This Row],[lead_type]]="Hot"), "High", "Normal")</f>
        <v>Normal</v>
      </c>
      <c r="Q763" s="5" t="str">
        <f>IF(Table1[[#This Row],[customer_rating]]&gt;=9,"Promoter",IF(Table1[[#This Row],[customer_rating]]&gt;=7,"Passive","Detractor"))</f>
        <v>Passive</v>
      </c>
      <c r="R763" s="5"/>
    </row>
    <row r="764" spans="1:18">
      <c r="A764" t="s">
        <v>790</v>
      </c>
      <c r="B764" t="s">
        <v>32</v>
      </c>
      <c r="C764" t="s">
        <v>22</v>
      </c>
      <c r="D764" s="5">
        <v>45945</v>
      </c>
      <c r="H764" t="s">
        <v>23</v>
      </c>
      <c r="I764" t="s">
        <v>33</v>
      </c>
      <c r="K764" s="15" t="str">
        <f t="shared" si="36"/>
        <v/>
      </c>
      <c r="L764" t="str">
        <f t="shared" si="34"/>
        <v/>
      </c>
      <c r="M764" t="str">
        <f t="shared" si="35"/>
        <v/>
      </c>
      <c r="O764"/>
      <c r="P764" s="5" t="str">
        <f>IF(AND(Table1[[#This Row],[customer_rating]]&gt;=8, Table1[[#This Row],[Tat_day]]&lt;=7, Table1[[#This Row],[lead_type]]="Hot"), "High", "Normal")</f>
        <v>Normal</v>
      </c>
      <c r="Q764" s="5" t="str">
        <f>IF(Table1[[#This Row],[customer_rating]]&gt;=9,"Promoter",IF(Table1[[#This Row],[customer_rating]]&gt;=7,"Passive","Detractor"))</f>
        <v>Detractor</v>
      </c>
      <c r="R764" s="5"/>
    </row>
    <row r="765" spans="1:18">
      <c r="A765" t="s">
        <v>791</v>
      </c>
      <c r="B765" t="s">
        <v>21</v>
      </c>
      <c r="C765" t="s">
        <v>15</v>
      </c>
      <c r="D765" s="5">
        <v>45942</v>
      </c>
      <c r="E765" s="5">
        <v>45946</v>
      </c>
      <c r="F765" s="5">
        <v>45948</v>
      </c>
      <c r="G765" s="5">
        <v>45952</v>
      </c>
      <c r="H765" t="s">
        <v>23</v>
      </c>
      <c r="I765" t="s">
        <v>63</v>
      </c>
      <c r="K765" s="15">
        <f t="shared" si="36"/>
        <v>4</v>
      </c>
      <c r="L765">
        <f t="shared" si="34"/>
        <v>2</v>
      </c>
      <c r="M765">
        <f t="shared" si="35"/>
        <v>4</v>
      </c>
      <c r="O765">
        <f>DATEDIF(Table1[[#This Row],[lead_date]], Table1[[#This Row],[delivery_date]], "d")</f>
        <v>10</v>
      </c>
      <c r="P765" s="5" t="str">
        <f>IF(AND(Table1[[#This Row],[customer_rating]]&gt;=8, Table1[[#This Row],[Tat_day]]&lt;=7, Table1[[#This Row],[lead_type]]="Hot"), "High", "Normal")</f>
        <v>Normal</v>
      </c>
      <c r="Q765" s="5" t="str">
        <f>IF(Table1[[#This Row],[customer_rating]]&gt;=9,"Promoter",IF(Table1[[#This Row],[customer_rating]]&gt;=7,"Passive","Detractor"))</f>
        <v>Detractor</v>
      </c>
      <c r="R765" s="5"/>
    </row>
    <row r="766" spans="1:18">
      <c r="A766" t="s">
        <v>792</v>
      </c>
      <c r="B766" t="s">
        <v>32</v>
      </c>
      <c r="C766" t="s">
        <v>22</v>
      </c>
      <c r="D766" s="5">
        <v>45952</v>
      </c>
      <c r="H766" t="s">
        <v>23</v>
      </c>
      <c r="I766" t="s">
        <v>1028</v>
      </c>
      <c r="K766" s="15" t="str">
        <f t="shared" si="36"/>
        <v/>
      </c>
      <c r="L766" t="str">
        <f t="shared" si="34"/>
        <v/>
      </c>
      <c r="M766" t="str">
        <f t="shared" si="35"/>
        <v/>
      </c>
      <c r="O766"/>
      <c r="P766" s="5" t="str">
        <f>IF(AND(Table1[[#This Row],[customer_rating]]&gt;=8, Table1[[#This Row],[Tat_day]]&lt;=7, Table1[[#This Row],[lead_type]]="Hot"), "High", "Normal")</f>
        <v>Normal</v>
      </c>
      <c r="Q766" s="5" t="str">
        <f>IF(Table1[[#This Row],[customer_rating]]&gt;=9,"Promoter",IF(Table1[[#This Row],[customer_rating]]&gt;=7,"Passive","Detractor"))</f>
        <v>Detractor</v>
      </c>
      <c r="R766" s="5"/>
    </row>
    <row r="767" spans="1:18">
      <c r="A767" t="s">
        <v>793</v>
      </c>
      <c r="B767" t="s">
        <v>19</v>
      </c>
      <c r="C767" t="s">
        <v>15</v>
      </c>
      <c r="D767" s="5">
        <v>45954</v>
      </c>
      <c r="E767" s="5">
        <v>45958</v>
      </c>
      <c r="F767" s="5">
        <v>45959</v>
      </c>
      <c r="G767" s="5">
        <v>45963</v>
      </c>
      <c r="H767" t="s">
        <v>16</v>
      </c>
      <c r="I767" t="s">
        <v>17</v>
      </c>
      <c r="J767" s="5">
        <v>45978</v>
      </c>
      <c r="K767" s="15">
        <f t="shared" si="36"/>
        <v>4</v>
      </c>
      <c r="L767">
        <f t="shared" si="34"/>
        <v>1</v>
      </c>
      <c r="M767">
        <f t="shared" si="35"/>
        <v>4</v>
      </c>
      <c r="N767">
        <v>1</v>
      </c>
      <c r="O767">
        <f>DATEDIF(Table1[[#This Row],[lead_date]], Table1[[#This Row],[delivery_date]], "d")</f>
        <v>9</v>
      </c>
      <c r="P767" s="5" t="str">
        <f>IF(AND(Table1[[#This Row],[customer_rating]]&gt;=8, Table1[[#This Row],[Tat_day]]&lt;=7, Table1[[#This Row],[lead_type]]="Hot"), "High", "Normal")</f>
        <v>Normal</v>
      </c>
      <c r="Q767" s="5" t="str">
        <f>IF(Table1[[#This Row],[customer_rating]]&gt;=9,"Promoter",IF(Table1[[#This Row],[customer_rating]]&gt;=7,"Passive","Detractor"))</f>
        <v>Detractor</v>
      </c>
      <c r="R767" s="5"/>
    </row>
    <row r="768" spans="1:18">
      <c r="A768" t="s">
        <v>794</v>
      </c>
      <c r="B768" t="s">
        <v>21</v>
      </c>
      <c r="C768" t="s">
        <v>22</v>
      </c>
      <c r="D768" s="5">
        <v>45952</v>
      </c>
      <c r="H768" t="s">
        <v>23</v>
      </c>
      <c r="I768" t="s">
        <v>101</v>
      </c>
      <c r="K768" s="15" t="str">
        <f t="shared" si="36"/>
        <v/>
      </c>
      <c r="L768" t="str">
        <f t="shared" si="34"/>
        <v/>
      </c>
      <c r="M768" t="str">
        <f t="shared" si="35"/>
        <v/>
      </c>
      <c r="O768"/>
      <c r="P768" s="5" t="str">
        <f>IF(AND(Table1[[#This Row],[customer_rating]]&gt;=8, Table1[[#This Row],[Tat_day]]&lt;=7, Table1[[#This Row],[lead_type]]="Hot"), "High", "Normal")</f>
        <v>Normal</v>
      </c>
      <c r="Q768" s="5" t="str">
        <f>IF(Table1[[#This Row],[customer_rating]]&gt;=9,"Promoter",IF(Table1[[#This Row],[customer_rating]]&gt;=7,"Passive","Detractor"))</f>
        <v>Detractor</v>
      </c>
      <c r="R768" s="5"/>
    </row>
    <row r="769" spans="1:18">
      <c r="A769" t="s">
        <v>795</v>
      </c>
      <c r="B769" t="s">
        <v>32</v>
      </c>
      <c r="C769" t="s">
        <v>30</v>
      </c>
      <c r="D769" s="5">
        <v>45939</v>
      </c>
      <c r="E769" s="5">
        <v>45944</v>
      </c>
      <c r="F769" s="5">
        <v>45946</v>
      </c>
      <c r="G769" s="5">
        <v>45951</v>
      </c>
      <c r="H769" t="s">
        <v>16</v>
      </c>
      <c r="I769" t="s">
        <v>17</v>
      </c>
      <c r="J769" s="5">
        <v>45963</v>
      </c>
      <c r="K769" s="15">
        <f t="shared" si="36"/>
        <v>5</v>
      </c>
      <c r="L769">
        <f t="shared" si="34"/>
        <v>2</v>
      </c>
      <c r="M769">
        <f t="shared" si="35"/>
        <v>5</v>
      </c>
      <c r="N769">
        <v>0</v>
      </c>
      <c r="O769">
        <f>DATEDIF(Table1[[#This Row],[lead_date]], Table1[[#This Row],[delivery_date]], "d")</f>
        <v>12</v>
      </c>
      <c r="P769" s="5" t="str">
        <f>IF(AND(Table1[[#This Row],[customer_rating]]&gt;=8, Table1[[#This Row],[Tat_day]]&lt;=7, Table1[[#This Row],[lead_type]]="Hot"), "High", "Normal")</f>
        <v>Normal</v>
      </c>
      <c r="Q769" s="5" t="str">
        <f>IF(Table1[[#This Row],[customer_rating]]&gt;=9,"Promoter",IF(Table1[[#This Row],[customer_rating]]&gt;=7,"Passive","Detractor"))</f>
        <v>Detractor</v>
      </c>
      <c r="R769" s="5"/>
    </row>
    <row r="770" spans="1:18">
      <c r="A770" t="s">
        <v>796</v>
      </c>
      <c r="B770" t="s">
        <v>32</v>
      </c>
      <c r="C770" t="s">
        <v>30</v>
      </c>
      <c r="D770" s="5">
        <v>45949</v>
      </c>
      <c r="E770" s="5">
        <v>45952</v>
      </c>
      <c r="F770" s="5">
        <v>45956</v>
      </c>
      <c r="G770" s="5">
        <v>45963</v>
      </c>
      <c r="H770" t="s">
        <v>16</v>
      </c>
      <c r="I770" t="s">
        <v>17</v>
      </c>
      <c r="J770" s="5">
        <v>45974</v>
      </c>
      <c r="K770" s="15">
        <f t="shared" si="36"/>
        <v>3</v>
      </c>
      <c r="L770">
        <f t="shared" si="34"/>
        <v>4</v>
      </c>
      <c r="M770">
        <f t="shared" si="35"/>
        <v>7</v>
      </c>
      <c r="N770">
        <v>4</v>
      </c>
      <c r="O770">
        <f>DATEDIF(Table1[[#This Row],[lead_date]], Table1[[#This Row],[delivery_date]], "d")</f>
        <v>14</v>
      </c>
      <c r="P770" s="5" t="str">
        <f>IF(AND(Table1[[#This Row],[customer_rating]]&gt;=8, Table1[[#This Row],[Tat_day]]&lt;=7, Table1[[#This Row],[lead_type]]="Hot"), "High", "Normal")</f>
        <v>Normal</v>
      </c>
      <c r="Q770" s="5" t="str">
        <f>IF(Table1[[#This Row],[customer_rating]]&gt;=9,"Promoter",IF(Table1[[#This Row],[customer_rating]]&gt;=7,"Passive","Detractor"))</f>
        <v>Detractor</v>
      </c>
      <c r="R770" s="5"/>
    </row>
    <row r="771" spans="1:18">
      <c r="A771" t="s">
        <v>797</v>
      </c>
      <c r="B771" t="s">
        <v>19</v>
      </c>
      <c r="C771" t="s">
        <v>15</v>
      </c>
      <c r="D771" s="5">
        <v>45943</v>
      </c>
      <c r="E771" s="5">
        <v>45945</v>
      </c>
      <c r="F771" s="5">
        <v>45949</v>
      </c>
      <c r="G771" s="5">
        <v>45956</v>
      </c>
      <c r="H771" t="s">
        <v>16</v>
      </c>
      <c r="I771" t="s">
        <v>17</v>
      </c>
      <c r="J771" s="5">
        <v>45975</v>
      </c>
      <c r="K771" s="15">
        <f t="shared" si="36"/>
        <v>2</v>
      </c>
      <c r="L771">
        <f t="shared" ref="L771:L834" si="37">IF(OR(E771="", F771=""), "", INT(F771 - E771))</f>
        <v>4</v>
      </c>
      <c r="M771">
        <f t="shared" ref="M771:M834" si="38">IF(OR(F771="", G771=""), "", INT(G771 - F771))</f>
        <v>7</v>
      </c>
      <c r="N771">
        <v>0</v>
      </c>
      <c r="O771">
        <f>DATEDIF(Table1[[#This Row],[lead_date]], Table1[[#This Row],[delivery_date]], "d")</f>
        <v>13</v>
      </c>
      <c r="P771" s="5" t="str">
        <f>IF(AND(Table1[[#This Row],[customer_rating]]&gt;=8, Table1[[#This Row],[Tat_day]]&lt;=7, Table1[[#This Row],[lead_type]]="Hot"), "High", "Normal")</f>
        <v>Normal</v>
      </c>
      <c r="Q771" s="5" t="str">
        <f>IF(Table1[[#This Row],[customer_rating]]&gt;=9,"Promoter",IF(Table1[[#This Row],[customer_rating]]&gt;=7,"Passive","Detractor"))</f>
        <v>Detractor</v>
      </c>
      <c r="R771" s="5"/>
    </row>
    <row r="772" spans="1:18">
      <c r="A772" t="s">
        <v>798</v>
      </c>
      <c r="B772" t="s">
        <v>32</v>
      </c>
      <c r="C772" t="s">
        <v>22</v>
      </c>
      <c r="D772" s="5">
        <v>45957</v>
      </c>
      <c r="H772" t="s">
        <v>23</v>
      </c>
      <c r="I772" t="s">
        <v>1028</v>
      </c>
      <c r="K772" s="15" t="str">
        <f t="shared" si="36"/>
        <v/>
      </c>
      <c r="L772" t="str">
        <f t="shared" si="37"/>
        <v/>
      </c>
      <c r="M772" t="str">
        <f t="shared" si="38"/>
        <v/>
      </c>
      <c r="O772"/>
      <c r="P772" s="5" t="str">
        <f>IF(AND(Table1[[#This Row],[customer_rating]]&gt;=8, Table1[[#This Row],[Tat_day]]&lt;=7, Table1[[#This Row],[lead_type]]="Hot"), "High", "Normal")</f>
        <v>Normal</v>
      </c>
      <c r="Q772" s="5" t="str">
        <f>IF(Table1[[#This Row],[customer_rating]]&gt;=9,"Promoter",IF(Table1[[#This Row],[customer_rating]]&gt;=7,"Passive","Detractor"))</f>
        <v>Detractor</v>
      </c>
      <c r="R772" s="5"/>
    </row>
    <row r="773" spans="1:18">
      <c r="A773" t="s">
        <v>799</v>
      </c>
      <c r="B773" t="s">
        <v>32</v>
      </c>
      <c r="C773" t="s">
        <v>22</v>
      </c>
      <c r="D773" s="5">
        <v>45951</v>
      </c>
      <c r="H773" t="s">
        <v>23</v>
      </c>
      <c r="I773" t="s">
        <v>24</v>
      </c>
      <c r="K773" s="15" t="str">
        <f t="shared" si="36"/>
        <v/>
      </c>
      <c r="L773" t="str">
        <f t="shared" si="37"/>
        <v/>
      </c>
      <c r="M773" t="str">
        <f t="shared" si="38"/>
        <v/>
      </c>
      <c r="O773"/>
      <c r="P773" s="5" t="str">
        <f>IF(AND(Table1[[#This Row],[customer_rating]]&gt;=8, Table1[[#This Row],[Tat_day]]&lt;=7, Table1[[#This Row],[lead_type]]="Hot"), "High", "Normal")</f>
        <v>Normal</v>
      </c>
      <c r="Q773" s="5" t="str">
        <f>IF(Table1[[#This Row],[customer_rating]]&gt;=9,"Promoter",IF(Table1[[#This Row],[customer_rating]]&gt;=7,"Passive","Detractor"))</f>
        <v>Detractor</v>
      </c>
      <c r="R773" s="5"/>
    </row>
    <row r="774" spans="1:18">
      <c r="A774" t="s">
        <v>800</v>
      </c>
      <c r="B774" t="s">
        <v>19</v>
      </c>
      <c r="C774" t="s">
        <v>30</v>
      </c>
      <c r="D774" s="5">
        <v>45961</v>
      </c>
      <c r="E774" s="5">
        <v>45966</v>
      </c>
      <c r="F774" s="5">
        <v>45971</v>
      </c>
      <c r="G774" s="5">
        <v>45975</v>
      </c>
      <c r="H774" t="s">
        <v>16</v>
      </c>
      <c r="I774" t="s">
        <v>17</v>
      </c>
      <c r="J774" s="5">
        <v>45994</v>
      </c>
      <c r="K774" s="15">
        <f t="shared" si="36"/>
        <v>5</v>
      </c>
      <c r="L774">
        <f t="shared" si="37"/>
        <v>5</v>
      </c>
      <c r="M774">
        <f t="shared" si="38"/>
        <v>4</v>
      </c>
      <c r="N774">
        <v>4</v>
      </c>
      <c r="O774">
        <f>DATEDIF(Table1[[#This Row],[lead_date]], Table1[[#This Row],[delivery_date]], "d")</f>
        <v>14</v>
      </c>
      <c r="P774" s="5" t="str">
        <f>IF(AND(Table1[[#This Row],[customer_rating]]&gt;=8, Table1[[#This Row],[Tat_day]]&lt;=7, Table1[[#This Row],[lead_type]]="Hot"), "High", "Normal")</f>
        <v>Normal</v>
      </c>
      <c r="Q774" s="5" t="str">
        <f>IF(Table1[[#This Row],[customer_rating]]&gt;=9,"Promoter",IF(Table1[[#This Row],[customer_rating]]&gt;=7,"Passive","Detractor"))</f>
        <v>Detractor</v>
      </c>
      <c r="R774" s="5"/>
    </row>
    <row r="775" spans="1:18">
      <c r="A775" t="s">
        <v>801</v>
      </c>
      <c r="B775" t="s">
        <v>21</v>
      </c>
      <c r="C775" t="s">
        <v>30</v>
      </c>
      <c r="D775" s="5">
        <v>45942</v>
      </c>
      <c r="E775" s="5">
        <v>45947</v>
      </c>
      <c r="F775" s="5">
        <v>45952</v>
      </c>
      <c r="G775" s="5">
        <v>45956</v>
      </c>
      <c r="H775" t="s">
        <v>16</v>
      </c>
      <c r="I775" t="s">
        <v>17</v>
      </c>
      <c r="J775" s="5">
        <v>45980</v>
      </c>
      <c r="K775" s="15">
        <f t="shared" si="36"/>
        <v>5</v>
      </c>
      <c r="L775">
        <f t="shared" si="37"/>
        <v>5</v>
      </c>
      <c r="M775">
        <f t="shared" si="38"/>
        <v>4</v>
      </c>
      <c r="N775">
        <v>1</v>
      </c>
      <c r="O775">
        <f>DATEDIF(Table1[[#This Row],[lead_date]], Table1[[#This Row],[delivery_date]], "d")</f>
        <v>14</v>
      </c>
      <c r="P775" s="5" t="str">
        <f>IF(AND(Table1[[#This Row],[customer_rating]]&gt;=8, Table1[[#This Row],[Tat_day]]&lt;=7, Table1[[#This Row],[lead_type]]="Hot"), "High", "Normal")</f>
        <v>Normal</v>
      </c>
      <c r="Q775" s="5" t="str">
        <f>IF(Table1[[#This Row],[customer_rating]]&gt;=9,"Promoter",IF(Table1[[#This Row],[customer_rating]]&gt;=7,"Passive","Detractor"))</f>
        <v>Detractor</v>
      </c>
      <c r="R775" s="5"/>
    </row>
    <row r="776" spans="1:18">
      <c r="A776" t="s">
        <v>802</v>
      </c>
      <c r="B776" t="s">
        <v>32</v>
      </c>
      <c r="C776" t="s">
        <v>22</v>
      </c>
      <c r="D776" s="5">
        <v>45934</v>
      </c>
      <c r="H776" t="s">
        <v>23</v>
      </c>
      <c r="I776" t="s">
        <v>33</v>
      </c>
      <c r="K776" s="15" t="str">
        <f t="shared" si="36"/>
        <v/>
      </c>
      <c r="L776" t="str">
        <f t="shared" si="37"/>
        <v/>
      </c>
      <c r="M776" t="str">
        <f t="shared" si="38"/>
        <v/>
      </c>
      <c r="O776"/>
      <c r="P776" s="5" t="str">
        <f>IF(AND(Table1[[#This Row],[customer_rating]]&gt;=8, Table1[[#This Row],[Tat_day]]&lt;=7, Table1[[#This Row],[lead_type]]="Hot"), "High", "Normal")</f>
        <v>Normal</v>
      </c>
      <c r="Q776" s="5" t="str">
        <f>IF(Table1[[#This Row],[customer_rating]]&gt;=9,"Promoter",IF(Table1[[#This Row],[customer_rating]]&gt;=7,"Passive","Detractor"))</f>
        <v>Detractor</v>
      </c>
      <c r="R776" s="5"/>
    </row>
    <row r="777" spans="1:18">
      <c r="A777" t="s">
        <v>803</v>
      </c>
      <c r="B777" t="s">
        <v>32</v>
      </c>
      <c r="C777" t="s">
        <v>30</v>
      </c>
      <c r="D777" s="5">
        <v>45952</v>
      </c>
      <c r="E777" s="5">
        <v>45954</v>
      </c>
      <c r="F777" s="5">
        <v>45959</v>
      </c>
      <c r="G777" s="5">
        <v>45964</v>
      </c>
      <c r="H777" t="s">
        <v>16</v>
      </c>
      <c r="I777" t="s">
        <v>17</v>
      </c>
      <c r="J777" s="5">
        <v>45990</v>
      </c>
      <c r="K777" s="15">
        <f t="shared" ref="K777:K840" si="39">IF(OR(D777="",E777=""),"",INT(E777-D777))</f>
        <v>2</v>
      </c>
      <c r="L777">
        <f t="shared" si="37"/>
        <v>5</v>
      </c>
      <c r="M777">
        <f t="shared" si="38"/>
        <v>5</v>
      </c>
      <c r="N777">
        <v>10</v>
      </c>
      <c r="O777">
        <f>DATEDIF(Table1[[#This Row],[lead_date]], Table1[[#This Row],[delivery_date]], "d")</f>
        <v>12</v>
      </c>
      <c r="P777" s="5" t="str">
        <f>IF(AND(Table1[[#This Row],[customer_rating]]&gt;=8, Table1[[#This Row],[Tat_day]]&lt;=7, Table1[[#This Row],[lead_type]]="Hot"), "High", "Normal")</f>
        <v>Normal</v>
      </c>
      <c r="Q777" s="5" t="str">
        <f>IF(Table1[[#This Row],[customer_rating]]&gt;=9,"Promoter",IF(Table1[[#This Row],[customer_rating]]&gt;=7,"Passive","Detractor"))</f>
        <v>Promoter</v>
      </c>
      <c r="R777" s="5"/>
    </row>
    <row r="778" spans="1:18">
      <c r="A778" t="s">
        <v>804</v>
      </c>
      <c r="B778" t="s">
        <v>32</v>
      </c>
      <c r="C778" t="s">
        <v>15</v>
      </c>
      <c r="D778" s="5">
        <v>45938</v>
      </c>
      <c r="E778" s="5">
        <v>45940</v>
      </c>
      <c r="F778" s="5">
        <v>45944</v>
      </c>
      <c r="G778" s="5">
        <v>45948</v>
      </c>
      <c r="H778" t="s">
        <v>16</v>
      </c>
      <c r="I778" t="s">
        <v>17</v>
      </c>
      <c r="J778" s="5">
        <v>45977</v>
      </c>
      <c r="K778" s="15">
        <f t="shared" si="39"/>
        <v>2</v>
      </c>
      <c r="L778">
        <f t="shared" si="37"/>
        <v>4</v>
      </c>
      <c r="M778">
        <f t="shared" si="38"/>
        <v>4</v>
      </c>
      <c r="N778">
        <v>1</v>
      </c>
      <c r="O778">
        <f>DATEDIF(Table1[[#This Row],[lead_date]], Table1[[#This Row],[delivery_date]], "d")</f>
        <v>10</v>
      </c>
      <c r="P778" s="5" t="str">
        <f>IF(AND(Table1[[#This Row],[customer_rating]]&gt;=8, Table1[[#This Row],[Tat_day]]&lt;=7, Table1[[#This Row],[lead_type]]="Hot"), "High", "Normal")</f>
        <v>Normal</v>
      </c>
      <c r="Q778" s="5" t="str">
        <f>IF(Table1[[#This Row],[customer_rating]]&gt;=9,"Promoter",IF(Table1[[#This Row],[customer_rating]]&gt;=7,"Passive","Detractor"))</f>
        <v>Detractor</v>
      </c>
      <c r="R778" s="5"/>
    </row>
    <row r="779" spans="1:18">
      <c r="A779" t="s">
        <v>805</v>
      </c>
      <c r="B779" t="s">
        <v>14</v>
      </c>
      <c r="C779" t="s">
        <v>22</v>
      </c>
      <c r="D779" s="5">
        <v>45946</v>
      </c>
      <c r="H779" t="s">
        <v>23</v>
      </c>
      <c r="I779" t="s">
        <v>63</v>
      </c>
      <c r="K779" s="15" t="str">
        <f t="shared" si="39"/>
        <v/>
      </c>
      <c r="L779" t="str">
        <f t="shared" si="37"/>
        <v/>
      </c>
      <c r="M779" t="str">
        <f t="shared" si="38"/>
        <v/>
      </c>
      <c r="O779"/>
      <c r="P779" s="5" t="str">
        <f>IF(AND(Table1[[#This Row],[customer_rating]]&gt;=8, Table1[[#This Row],[Tat_day]]&lt;=7, Table1[[#This Row],[lead_type]]="Hot"), "High", "Normal")</f>
        <v>Normal</v>
      </c>
      <c r="Q779" s="5" t="str">
        <f>IF(Table1[[#This Row],[customer_rating]]&gt;=9,"Promoter",IF(Table1[[#This Row],[customer_rating]]&gt;=7,"Passive","Detractor"))</f>
        <v>Detractor</v>
      </c>
      <c r="R779" s="5"/>
    </row>
    <row r="780" spans="1:18">
      <c r="A780" t="s">
        <v>806</v>
      </c>
      <c r="B780" t="s">
        <v>19</v>
      </c>
      <c r="C780" t="s">
        <v>15</v>
      </c>
      <c r="D780" s="5">
        <v>45931</v>
      </c>
      <c r="E780" s="5">
        <v>45935</v>
      </c>
      <c r="F780" s="5">
        <v>45936</v>
      </c>
      <c r="G780" s="5">
        <v>45939</v>
      </c>
      <c r="H780" t="s">
        <v>16</v>
      </c>
      <c r="I780" t="s">
        <v>17</v>
      </c>
      <c r="J780" s="5">
        <v>45965</v>
      </c>
      <c r="K780" s="15">
        <f t="shared" si="39"/>
        <v>4</v>
      </c>
      <c r="L780">
        <f t="shared" si="37"/>
        <v>1</v>
      </c>
      <c r="M780">
        <f t="shared" si="38"/>
        <v>3</v>
      </c>
      <c r="N780">
        <v>3</v>
      </c>
      <c r="O780">
        <f>DATEDIF(Table1[[#This Row],[lead_date]], Table1[[#This Row],[delivery_date]], "d")</f>
        <v>8</v>
      </c>
      <c r="P780" s="5" t="str">
        <f>IF(AND(Table1[[#This Row],[customer_rating]]&gt;=8, Table1[[#This Row],[Tat_day]]&lt;=7, Table1[[#This Row],[lead_type]]="Hot"), "High", "Normal")</f>
        <v>Normal</v>
      </c>
      <c r="Q780" s="5" t="str">
        <f>IF(Table1[[#This Row],[customer_rating]]&gt;=9,"Promoter",IF(Table1[[#This Row],[customer_rating]]&gt;=7,"Passive","Detractor"))</f>
        <v>Detractor</v>
      </c>
      <c r="R780" s="5"/>
    </row>
    <row r="781" spans="1:18">
      <c r="A781" t="s">
        <v>807</v>
      </c>
      <c r="B781" t="s">
        <v>14</v>
      </c>
      <c r="C781" t="s">
        <v>15</v>
      </c>
      <c r="D781" s="5">
        <v>45950</v>
      </c>
      <c r="E781" s="5">
        <v>45955</v>
      </c>
      <c r="F781" s="5">
        <v>45956</v>
      </c>
      <c r="G781" s="5">
        <v>45958</v>
      </c>
      <c r="H781" t="s">
        <v>16</v>
      </c>
      <c r="I781" t="s">
        <v>17</v>
      </c>
      <c r="J781" s="5">
        <v>45978</v>
      </c>
      <c r="K781" s="15">
        <f t="shared" si="39"/>
        <v>5</v>
      </c>
      <c r="L781">
        <f t="shared" si="37"/>
        <v>1</v>
      </c>
      <c r="M781">
        <f t="shared" si="38"/>
        <v>2</v>
      </c>
      <c r="N781">
        <v>2</v>
      </c>
      <c r="O781">
        <f>DATEDIF(Table1[[#This Row],[lead_date]], Table1[[#This Row],[delivery_date]], "d")</f>
        <v>8</v>
      </c>
      <c r="P781" s="5" t="str">
        <f>IF(AND(Table1[[#This Row],[customer_rating]]&gt;=8, Table1[[#This Row],[Tat_day]]&lt;=7, Table1[[#This Row],[lead_type]]="Hot"), "High", "Normal")</f>
        <v>Normal</v>
      </c>
      <c r="Q781" s="5" t="str">
        <f>IF(Table1[[#This Row],[customer_rating]]&gt;=9,"Promoter",IF(Table1[[#This Row],[customer_rating]]&gt;=7,"Passive","Detractor"))</f>
        <v>Detractor</v>
      </c>
      <c r="R781" s="5"/>
    </row>
    <row r="782" spans="1:18">
      <c r="A782" t="s">
        <v>808</v>
      </c>
      <c r="B782" t="s">
        <v>19</v>
      </c>
      <c r="C782" t="s">
        <v>15</v>
      </c>
      <c r="D782" s="5">
        <v>45959</v>
      </c>
      <c r="E782" s="5">
        <v>45960</v>
      </c>
      <c r="F782" s="5">
        <v>45961</v>
      </c>
      <c r="G782" s="5">
        <v>45964</v>
      </c>
      <c r="H782" t="s">
        <v>16</v>
      </c>
      <c r="I782" t="s">
        <v>17</v>
      </c>
      <c r="J782" s="5">
        <v>45987</v>
      </c>
      <c r="K782" s="15">
        <f t="shared" si="39"/>
        <v>1</v>
      </c>
      <c r="L782">
        <f t="shared" si="37"/>
        <v>1</v>
      </c>
      <c r="M782">
        <f t="shared" si="38"/>
        <v>3</v>
      </c>
      <c r="N782">
        <v>2</v>
      </c>
      <c r="O782">
        <f>DATEDIF(Table1[[#This Row],[lead_date]], Table1[[#This Row],[delivery_date]], "d")</f>
        <v>5</v>
      </c>
      <c r="P782" s="5" t="str">
        <f>IF(AND(Table1[[#This Row],[customer_rating]]&gt;=8, Table1[[#This Row],[Tat_day]]&lt;=7, Table1[[#This Row],[lead_type]]="Hot"), "High", "Normal")</f>
        <v>Normal</v>
      </c>
      <c r="Q782" s="5" t="str">
        <f>IF(Table1[[#This Row],[customer_rating]]&gt;=9,"Promoter",IF(Table1[[#This Row],[customer_rating]]&gt;=7,"Passive","Detractor"))</f>
        <v>Detractor</v>
      </c>
      <c r="R782" s="5"/>
    </row>
    <row r="783" spans="1:18">
      <c r="A783" t="s">
        <v>809</v>
      </c>
      <c r="B783" t="s">
        <v>21</v>
      </c>
      <c r="C783" t="s">
        <v>30</v>
      </c>
      <c r="D783" s="5">
        <v>45961</v>
      </c>
      <c r="E783" s="5">
        <v>45962</v>
      </c>
      <c r="F783" s="5">
        <v>45965</v>
      </c>
      <c r="G783" s="5">
        <v>45968</v>
      </c>
      <c r="H783" t="s">
        <v>16</v>
      </c>
      <c r="I783" t="s">
        <v>17</v>
      </c>
      <c r="J783" s="5">
        <v>45982</v>
      </c>
      <c r="K783" s="15">
        <f t="shared" si="39"/>
        <v>1</v>
      </c>
      <c r="L783">
        <f t="shared" si="37"/>
        <v>3</v>
      </c>
      <c r="M783">
        <f t="shared" si="38"/>
        <v>3</v>
      </c>
      <c r="N783">
        <v>4</v>
      </c>
      <c r="O783">
        <f>DATEDIF(Table1[[#This Row],[lead_date]], Table1[[#This Row],[delivery_date]], "d")</f>
        <v>7</v>
      </c>
      <c r="P783" s="5" t="str">
        <f>IF(AND(Table1[[#This Row],[customer_rating]]&gt;=8, Table1[[#This Row],[Tat_day]]&lt;=7, Table1[[#This Row],[lead_type]]="Hot"), "High", "Normal")</f>
        <v>Normal</v>
      </c>
      <c r="Q783" s="5" t="str">
        <f>IF(Table1[[#This Row],[customer_rating]]&gt;=9,"Promoter",IF(Table1[[#This Row],[customer_rating]]&gt;=7,"Passive","Detractor"))</f>
        <v>Detractor</v>
      </c>
      <c r="R783" s="5"/>
    </row>
    <row r="784" spans="1:18">
      <c r="A784" t="s">
        <v>810</v>
      </c>
      <c r="B784" t="s">
        <v>21</v>
      </c>
      <c r="C784" t="s">
        <v>22</v>
      </c>
      <c r="D784" s="5">
        <v>45948</v>
      </c>
      <c r="H784" t="s">
        <v>23</v>
      </c>
      <c r="I784" t="s">
        <v>24</v>
      </c>
      <c r="K784" s="15" t="str">
        <f t="shared" si="39"/>
        <v/>
      </c>
      <c r="L784" t="str">
        <f t="shared" si="37"/>
        <v/>
      </c>
      <c r="M784" t="str">
        <f t="shared" si="38"/>
        <v/>
      </c>
      <c r="O784"/>
      <c r="P784" s="5" t="str">
        <f>IF(AND(Table1[[#This Row],[customer_rating]]&gt;=8, Table1[[#This Row],[Tat_day]]&lt;=7, Table1[[#This Row],[lead_type]]="Hot"), "High", "Normal")</f>
        <v>Normal</v>
      </c>
      <c r="Q784" s="5" t="str">
        <f>IF(Table1[[#This Row],[customer_rating]]&gt;=9,"Promoter",IF(Table1[[#This Row],[customer_rating]]&gt;=7,"Passive","Detractor"))</f>
        <v>Detractor</v>
      </c>
      <c r="R784" s="5"/>
    </row>
    <row r="785" spans="1:18">
      <c r="A785" t="s">
        <v>811</v>
      </c>
      <c r="B785" t="s">
        <v>32</v>
      </c>
      <c r="C785" t="s">
        <v>15</v>
      </c>
      <c r="D785" s="5">
        <v>45941</v>
      </c>
      <c r="E785" s="5">
        <v>45946</v>
      </c>
      <c r="F785" s="5">
        <v>45951</v>
      </c>
      <c r="G785" s="5">
        <v>45957</v>
      </c>
      <c r="H785" t="s">
        <v>16</v>
      </c>
      <c r="I785" t="s">
        <v>17</v>
      </c>
      <c r="J785" s="5">
        <v>45977</v>
      </c>
      <c r="K785" s="15">
        <f t="shared" si="39"/>
        <v>5</v>
      </c>
      <c r="L785">
        <f t="shared" si="37"/>
        <v>5</v>
      </c>
      <c r="M785">
        <f t="shared" si="38"/>
        <v>6</v>
      </c>
      <c r="N785">
        <v>9</v>
      </c>
      <c r="O785">
        <f>DATEDIF(Table1[[#This Row],[lead_date]], Table1[[#This Row],[delivery_date]], "d")</f>
        <v>16</v>
      </c>
      <c r="P785" s="5" t="str">
        <f>IF(AND(Table1[[#This Row],[customer_rating]]&gt;=8, Table1[[#This Row],[Tat_day]]&lt;=7, Table1[[#This Row],[lead_type]]="Hot"), "High", "Normal")</f>
        <v>Normal</v>
      </c>
      <c r="Q785" s="5" t="str">
        <f>IF(Table1[[#This Row],[customer_rating]]&gt;=9,"Promoter",IF(Table1[[#This Row],[customer_rating]]&gt;=7,"Passive","Detractor"))</f>
        <v>Promoter</v>
      </c>
      <c r="R785" s="5"/>
    </row>
    <row r="786" spans="1:18">
      <c r="A786" t="s">
        <v>812</v>
      </c>
      <c r="B786" t="s">
        <v>19</v>
      </c>
      <c r="C786" t="s">
        <v>22</v>
      </c>
      <c r="D786" s="5">
        <v>45960</v>
      </c>
      <c r="H786" t="s">
        <v>23</v>
      </c>
      <c r="I786" t="s">
        <v>63</v>
      </c>
      <c r="K786" s="15" t="str">
        <f t="shared" si="39"/>
        <v/>
      </c>
      <c r="L786" t="str">
        <f t="shared" si="37"/>
        <v/>
      </c>
      <c r="M786" t="str">
        <f t="shared" si="38"/>
        <v/>
      </c>
      <c r="O786"/>
      <c r="P786" s="5" t="str">
        <f>IF(AND(Table1[[#This Row],[customer_rating]]&gt;=8, Table1[[#This Row],[Tat_day]]&lt;=7, Table1[[#This Row],[lead_type]]="Hot"), "High", "Normal")</f>
        <v>Normal</v>
      </c>
      <c r="Q786" s="5" t="str">
        <f>IF(Table1[[#This Row],[customer_rating]]&gt;=9,"Promoter",IF(Table1[[#This Row],[customer_rating]]&gt;=7,"Passive","Detractor"))</f>
        <v>Detractor</v>
      </c>
      <c r="R786" s="5"/>
    </row>
    <row r="787" spans="1:18">
      <c r="A787" t="s">
        <v>813</v>
      </c>
      <c r="B787" t="s">
        <v>21</v>
      </c>
      <c r="C787" t="s">
        <v>30</v>
      </c>
      <c r="D787" s="5">
        <v>45950</v>
      </c>
      <c r="E787" s="5">
        <v>45952</v>
      </c>
      <c r="F787" s="5">
        <v>45953</v>
      </c>
      <c r="G787" s="5">
        <v>45955</v>
      </c>
      <c r="H787" t="s">
        <v>16</v>
      </c>
      <c r="I787" t="s">
        <v>17</v>
      </c>
      <c r="J787" s="5">
        <v>45980</v>
      </c>
      <c r="K787" s="15">
        <f t="shared" si="39"/>
        <v>2</v>
      </c>
      <c r="L787">
        <f t="shared" si="37"/>
        <v>1</v>
      </c>
      <c r="M787">
        <f t="shared" si="38"/>
        <v>2</v>
      </c>
      <c r="N787">
        <v>7</v>
      </c>
      <c r="O787">
        <f>DATEDIF(Table1[[#This Row],[lead_date]], Table1[[#This Row],[delivery_date]], "d")</f>
        <v>5</v>
      </c>
      <c r="P787" s="5" t="str">
        <f>IF(AND(Table1[[#This Row],[customer_rating]]&gt;=8, Table1[[#This Row],[Tat_day]]&lt;=7, Table1[[#This Row],[lead_type]]="Hot"), "High", "Normal")</f>
        <v>Normal</v>
      </c>
      <c r="Q787" s="5" t="str">
        <f>IF(Table1[[#This Row],[customer_rating]]&gt;=9,"Promoter",IF(Table1[[#This Row],[customer_rating]]&gt;=7,"Passive","Detractor"))</f>
        <v>Passive</v>
      </c>
      <c r="R787" s="5"/>
    </row>
    <row r="788" spans="1:18">
      <c r="A788" t="s">
        <v>814</v>
      </c>
      <c r="B788" t="s">
        <v>19</v>
      </c>
      <c r="C788" t="s">
        <v>22</v>
      </c>
      <c r="D788" s="5">
        <v>45938</v>
      </c>
      <c r="H788" t="s">
        <v>23</v>
      </c>
      <c r="I788" t="s">
        <v>101</v>
      </c>
      <c r="K788" s="15" t="str">
        <f t="shared" si="39"/>
        <v/>
      </c>
      <c r="L788" t="str">
        <f t="shared" si="37"/>
        <v/>
      </c>
      <c r="M788" t="str">
        <f t="shared" si="38"/>
        <v/>
      </c>
      <c r="O788"/>
      <c r="P788" s="5" t="str">
        <f>IF(AND(Table1[[#This Row],[customer_rating]]&gt;=8, Table1[[#This Row],[Tat_day]]&lt;=7, Table1[[#This Row],[lead_type]]="Hot"), "High", "Normal")</f>
        <v>Normal</v>
      </c>
      <c r="Q788" s="5" t="str">
        <f>IF(Table1[[#This Row],[customer_rating]]&gt;=9,"Promoter",IF(Table1[[#This Row],[customer_rating]]&gt;=7,"Passive","Detractor"))</f>
        <v>Detractor</v>
      </c>
      <c r="R788" s="5"/>
    </row>
    <row r="789" spans="1:18">
      <c r="A789" t="s">
        <v>815</v>
      </c>
      <c r="B789" t="s">
        <v>21</v>
      </c>
      <c r="C789" t="s">
        <v>15</v>
      </c>
      <c r="D789" s="5">
        <v>45951</v>
      </c>
      <c r="E789" s="5">
        <v>45954</v>
      </c>
      <c r="F789" s="5">
        <v>45959</v>
      </c>
      <c r="G789" s="5">
        <v>45962</v>
      </c>
      <c r="H789" t="s">
        <v>16</v>
      </c>
      <c r="I789" t="s">
        <v>17</v>
      </c>
      <c r="J789" s="5">
        <v>45983</v>
      </c>
      <c r="K789" s="15">
        <f t="shared" si="39"/>
        <v>3</v>
      </c>
      <c r="L789">
        <f t="shared" si="37"/>
        <v>5</v>
      </c>
      <c r="M789">
        <f t="shared" si="38"/>
        <v>3</v>
      </c>
      <c r="N789">
        <v>3</v>
      </c>
      <c r="O789">
        <f>DATEDIF(Table1[[#This Row],[lead_date]], Table1[[#This Row],[delivery_date]], "d")</f>
        <v>11</v>
      </c>
      <c r="P789" s="5" t="str">
        <f>IF(AND(Table1[[#This Row],[customer_rating]]&gt;=8, Table1[[#This Row],[Tat_day]]&lt;=7, Table1[[#This Row],[lead_type]]="Hot"), "High", "Normal")</f>
        <v>Normal</v>
      </c>
      <c r="Q789" s="5" t="str">
        <f>IF(Table1[[#This Row],[customer_rating]]&gt;=9,"Promoter",IF(Table1[[#This Row],[customer_rating]]&gt;=7,"Passive","Detractor"))</f>
        <v>Detractor</v>
      </c>
      <c r="R789" s="5"/>
    </row>
    <row r="790" spans="1:18">
      <c r="A790" t="s">
        <v>816</v>
      </c>
      <c r="B790" t="s">
        <v>14</v>
      </c>
      <c r="C790" t="s">
        <v>30</v>
      </c>
      <c r="D790" s="5">
        <v>45933</v>
      </c>
      <c r="E790" s="5">
        <v>45935</v>
      </c>
      <c r="F790" s="5">
        <v>45940</v>
      </c>
      <c r="G790" s="5">
        <v>45942</v>
      </c>
      <c r="H790" t="s">
        <v>16</v>
      </c>
      <c r="I790" t="s">
        <v>17</v>
      </c>
      <c r="J790" s="5">
        <v>45958</v>
      </c>
      <c r="K790" s="15">
        <f t="shared" si="39"/>
        <v>2</v>
      </c>
      <c r="L790">
        <f t="shared" si="37"/>
        <v>5</v>
      </c>
      <c r="M790">
        <f t="shared" si="38"/>
        <v>2</v>
      </c>
      <c r="N790">
        <v>3</v>
      </c>
      <c r="O790">
        <f>DATEDIF(Table1[[#This Row],[lead_date]], Table1[[#This Row],[delivery_date]], "d")</f>
        <v>9</v>
      </c>
      <c r="P790" s="5" t="str">
        <f>IF(AND(Table1[[#This Row],[customer_rating]]&gt;=8, Table1[[#This Row],[Tat_day]]&lt;=7, Table1[[#This Row],[lead_type]]="Hot"), "High", "Normal")</f>
        <v>Normal</v>
      </c>
      <c r="Q790" s="5" t="str">
        <f>IF(Table1[[#This Row],[customer_rating]]&gt;=9,"Promoter",IF(Table1[[#This Row],[customer_rating]]&gt;=7,"Passive","Detractor"))</f>
        <v>Detractor</v>
      </c>
      <c r="R790" s="5"/>
    </row>
    <row r="791" spans="1:18">
      <c r="A791" t="s">
        <v>817</v>
      </c>
      <c r="B791" t="s">
        <v>21</v>
      </c>
      <c r="C791" t="s">
        <v>30</v>
      </c>
      <c r="D791" s="5">
        <v>45951</v>
      </c>
      <c r="E791" s="5">
        <v>45953</v>
      </c>
      <c r="F791" s="5">
        <v>45956</v>
      </c>
      <c r="G791" s="5">
        <v>45959</v>
      </c>
      <c r="H791" t="s">
        <v>16</v>
      </c>
      <c r="I791" t="s">
        <v>17</v>
      </c>
      <c r="J791" s="5">
        <v>45974</v>
      </c>
      <c r="K791" s="15">
        <f t="shared" si="39"/>
        <v>2</v>
      </c>
      <c r="L791">
        <f t="shared" si="37"/>
        <v>3</v>
      </c>
      <c r="M791">
        <f t="shared" si="38"/>
        <v>3</v>
      </c>
      <c r="N791">
        <v>3</v>
      </c>
      <c r="O791">
        <f>DATEDIF(Table1[[#This Row],[lead_date]], Table1[[#This Row],[delivery_date]], "d")</f>
        <v>8</v>
      </c>
      <c r="P791" s="5" t="str">
        <f>IF(AND(Table1[[#This Row],[customer_rating]]&gt;=8, Table1[[#This Row],[Tat_day]]&lt;=7, Table1[[#This Row],[lead_type]]="Hot"), "High", "Normal")</f>
        <v>Normal</v>
      </c>
      <c r="Q791" s="5" t="str">
        <f>IF(Table1[[#This Row],[customer_rating]]&gt;=9,"Promoter",IF(Table1[[#This Row],[customer_rating]]&gt;=7,"Passive","Detractor"))</f>
        <v>Detractor</v>
      </c>
      <c r="R791" s="5"/>
    </row>
    <row r="792" spans="1:18">
      <c r="A792" t="s">
        <v>818</v>
      </c>
      <c r="B792" t="s">
        <v>14</v>
      </c>
      <c r="C792" t="s">
        <v>15</v>
      </c>
      <c r="D792" s="5">
        <v>45957</v>
      </c>
      <c r="E792" s="5">
        <v>45960</v>
      </c>
      <c r="F792" s="5">
        <v>45964</v>
      </c>
      <c r="G792" s="5">
        <v>45969</v>
      </c>
      <c r="H792" t="s">
        <v>16</v>
      </c>
      <c r="I792" t="s">
        <v>17</v>
      </c>
      <c r="J792" s="5">
        <v>45991</v>
      </c>
      <c r="K792" s="15">
        <f t="shared" si="39"/>
        <v>3</v>
      </c>
      <c r="L792">
        <f t="shared" si="37"/>
        <v>4</v>
      </c>
      <c r="M792">
        <f t="shared" si="38"/>
        <v>5</v>
      </c>
      <c r="N792">
        <v>5</v>
      </c>
      <c r="O792">
        <f>DATEDIF(Table1[[#This Row],[lead_date]], Table1[[#This Row],[delivery_date]], "d")</f>
        <v>12</v>
      </c>
      <c r="P792" s="5" t="str">
        <f>IF(AND(Table1[[#This Row],[customer_rating]]&gt;=8, Table1[[#This Row],[Tat_day]]&lt;=7, Table1[[#This Row],[lead_type]]="Hot"), "High", "Normal")</f>
        <v>Normal</v>
      </c>
      <c r="Q792" s="5" t="str">
        <f>IF(Table1[[#This Row],[customer_rating]]&gt;=9,"Promoter",IF(Table1[[#This Row],[customer_rating]]&gt;=7,"Passive","Detractor"))</f>
        <v>Detractor</v>
      </c>
      <c r="R792" s="5"/>
    </row>
    <row r="793" spans="1:18">
      <c r="A793" t="s">
        <v>819</v>
      </c>
      <c r="B793" t="s">
        <v>21</v>
      </c>
      <c r="C793" t="s">
        <v>15</v>
      </c>
      <c r="D793" s="5">
        <v>45945</v>
      </c>
      <c r="E793" s="5">
        <v>45947</v>
      </c>
      <c r="F793" s="5">
        <v>45948</v>
      </c>
      <c r="G793" s="5">
        <v>45953</v>
      </c>
      <c r="H793" t="s">
        <v>16</v>
      </c>
      <c r="I793" t="s">
        <v>17</v>
      </c>
      <c r="J793" s="5">
        <v>45963</v>
      </c>
      <c r="K793" s="15">
        <f t="shared" si="39"/>
        <v>2</v>
      </c>
      <c r="L793">
        <f t="shared" si="37"/>
        <v>1</v>
      </c>
      <c r="M793">
        <f t="shared" si="38"/>
        <v>5</v>
      </c>
      <c r="N793">
        <v>8</v>
      </c>
      <c r="O793">
        <f>DATEDIF(Table1[[#This Row],[lead_date]], Table1[[#This Row],[delivery_date]], "d")</f>
        <v>8</v>
      </c>
      <c r="P793" s="5" t="str">
        <f>IF(AND(Table1[[#This Row],[customer_rating]]&gt;=8, Table1[[#This Row],[Tat_day]]&lt;=7, Table1[[#This Row],[lead_type]]="Hot"), "High", "Normal")</f>
        <v>Normal</v>
      </c>
      <c r="Q793" s="5" t="str">
        <f>IF(Table1[[#This Row],[customer_rating]]&gt;=9,"Promoter",IF(Table1[[#This Row],[customer_rating]]&gt;=7,"Passive","Detractor"))</f>
        <v>Passive</v>
      </c>
      <c r="R793" s="5"/>
    </row>
    <row r="794" spans="1:18">
      <c r="A794" t="s">
        <v>820</v>
      </c>
      <c r="B794" t="s">
        <v>32</v>
      </c>
      <c r="C794" t="s">
        <v>22</v>
      </c>
      <c r="D794" s="5">
        <v>45960</v>
      </c>
      <c r="H794" t="s">
        <v>23</v>
      </c>
      <c r="I794" t="s">
        <v>101</v>
      </c>
      <c r="K794" s="15" t="str">
        <f t="shared" si="39"/>
        <v/>
      </c>
      <c r="L794" t="str">
        <f t="shared" si="37"/>
        <v/>
      </c>
      <c r="M794" t="str">
        <f t="shared" si="38"/>
        <v/>
      </c>
      <c r="O794"/>
      <c r="P794" s="5" t="str">
        <f>IF(AND(Table1[[#This Row],[customer_rating]]&gt;=8, Table1[[#This Row],[Tat_day]]&lt;=7, Table1[[#This Row],[lead_type]]="Hot"), "High", "Normal")</f>
        <v>Normal</v>
      </c>
      <c r="Q794" s="5" t="str">
        <f>IF(Table1[[#This Row],[customer_rating]]&gt;=9,"Promoter",IF(Table1[[#This Row],[customer_rating]]&gt;=7,"Passive","Detractor"))</f>
        <v>Detractor</v>
      </c>
      <c r="R794" s="5"/>
    </row>
    <row r="795" spans="1:18">
      <c r="A795" t="s">
        <v>821</v>
      </c>
      <c r="B795" t="s">
        <v>14</v>
      </c>
      <c r="C795" t="s">
        <v>30</v>
      </c>
      <c r="D795" s="5">
        <v>45953</v>
      </c>
      <c r="E795" s="5">
        <v>45956</v>
      </c>
      <c r="F795" s="5">
        <v>45959</v>
      </c>
      <c r="G795" s="5">
        <v>45963</v>
      </c>
      <c r="H795" t="s">
        <v>16</v>
      </c>
      <c r="I795" t="s">
        <v>17</v>
      </c>
      <c r="J795" s="5">
        <v>45980</v>
      </c>
      <c r="K795" s="15">
        <f t="shared" si="39"/>
        <v>3</v>
      </c>
      <c r="L795">
        <f t="shared" si="37"/>
        <v>3</v>
      </c>
      <c r="M795">
        <f t="shared" si="38"/>
        <v>4</v>
      </c>
      <c r="N795">
        <v>1</v>
      </c>
      <c r="O795">
        <f>DATEDIF(Table1[[#This Row],[lead_date]], Table1[[#This Row],[delivery_date]], "d")</f>
        <v>10</v>
      </c>
      <c r="P795" s="5" t="str">
        <f>IF(AND(Table1[[#This Row],[customer_rating]]&gt;=8, Table1[[#This Row],[Tat_day]]&lt;=7, Table1[[#This Row],[lead_type]]="Hot"), "High", "Normal")</f>
        <v>Normal</v>
      </c>
      <c r="Q795" s="5" t="str">
        <f>IF(Table1[[#This Row],[customer_rating]]&gt;=9,"Promoter",IF(Table1[[#This Row],[customer_rating]]&gt;=7,"Passive","Detractor"))</f>
        <v>Detractor</v>
      </c>
      <c r="R795" s="5"/>
    </row>
    <row r="796" spans="1:18">
      <c r="A796" t="s">
        <v>822</v>
      </c>
      <c r="B796" t="s">
        <v>21</v>
      </c>
      <c r="C796" t="s">
        <v>30</v>
      </c>
      <c r="D796" s="5">
        <v>45940</v>
      </c>
      <c r="E796" s="5">
        <v>45945</v>
      </c>
      <c r="F796" s="5">
        <v>45949</v>
      </c>
      <c r="G796" s="5">
        <v>45954</v>
      </c>
      <c r="H796" t="s">
        <v>16</v>
      </c>
      <c r="I796" t="s">
        <v>17</v>
      </c>
      <c r="J796" s="5">
        <v>45971</v>
      </c>
      <c r="K796" s="15">
        <f t="shared" si="39"/>
        <v>5</v>
      </c>
      <c r="L796">
        <f t="shared" si="37"/>
        <v>4</v>
      </c>
      <c r="M796">
        <f t="shared" si="38"/>
        <v>5</v>
      </c>
      <c r="N796">
        <v>10</v>
      </c>
      <c r="O796">
        <f>DATEDIF(Table1[[#This Row],[lead_date]], Table1[[#This Row],[delivery_date]], "d")</f>
        <v>14</v>
      </c>
      <c r="P796" s="5" t="str">
        <f>IF(AND(Table1[[#This Row],[customer_rating]]&gt;=8, Table1[[#This Row],[Tat_day]]&lt;=7, Table1[[#This Row],[lead_type]]="Hot"), "High", "Normal")</f>
        <v>Normal</v>
      </c>
      <c r="Q796" s="5" t="str">
        <f>IF(Table1[[#This Row],[customer_rating]]&gt;=9,"Promoter",IF(Table1[[#This Row],[customer_rating]]&gt;=7,"Passive","Detractor"))</f>
        <v>Promoter</v>
      </c>
      <c r="R796" s="5"/>
    </row>
    <row r="797" spans="1:18">
      <c r="A797" t="s">
        <v>823</v>
      </c>
      <c r="B797" t="s">
        <v>32</v>
      </c>
      <c r="C797" t="s">
        <v>15</v>
      </c>
      <c r="D797" s="5">
        <v>45951</v>
      </c>
      <c r="E797" s="5">
        <v>45954</v>
      </c>
      <c r="F797" s="5">
        <v>45958</v>
      </c>
      <c r="G797" s="5">
        <v>45960</v>
      </c>
      <c r="H797" t="s">
        <v>16</v>
      </c>
      <c r="I797" t="s">
        <v>17</v>
      </c>
      <c r="J797" s="5">
        <v>45974</v>
      </c>
      <c r="K797" s="15">
        <f t="shared" si="39"/>
        <v>3</v>
      </c>
      <c r="L797">
        <f t="shared" si="37"/>
        <v>4</v>
      </c>
      <c r="M797">
        <f t="shared" si="38"/>
        <v>2</v>
      </c>
      <c r="N797">
        <v>4</v>
      </c>
      <c r="O797">
        <f>DATEDIF(Table1[[#This Row],[lead_date]], Table1[[#This Row],[delivery_date]], "d")</f>
        <v>9</v>
      </c>
      <c r="P797" s="5" t="str">
        <f>IF(AND(Table1[[#This Row],[customer_rating]]&gt;=8, Table1[[#This Row],[Tat_day]]&lt;=7, Table1[[#This Row],[lead_type]]="Hot"), "High", "Normal")</f>
        <v>Normal</v>
      </c>
      <c r="Q797" s="5" t="str">
        <f>IF(Table1[[#This Row],[customer_rating]]&gt;=9,"Promoter",IF(Table1[[#This Row],[customer_rating]]&gt;=7,"Passive","Detractor"))</f>
        <v>Detractor</v>
      </c>
      <c r="R797" s="5"/>
    </row>
    <row r="798" spans="1:18">
      <c r="A798" t="s">
        <v>824</v>
      </c>
      <c r="B798" t="s">
        <v>14</v>
      </c>
      <c r="C798" t="s">
        <v>15</v>
      </c>
      <c r="D798" s="5">
        <v>45944</v>
      </c>
      <c r="E798" s="5">
        <v>45945</v>
      </c>
      <c r="F798" s="5">
        <v>45946</v>
      </c>
      <c r="G798" s="5">
        <v>45952</v>
      </c>
      <c r="H798" t="s">
        <v>16</v>
      </c>
      <c r="I798" t="s">
        <v>17</v>
      </c>
      <c r="J798" s="5">
        <v>45968</v>
      </c>
      <c r="K798" s="15">
        <f t="shared" si="39"/>
        <v>1</v>
      </c>
      <c r="L798">
        <f t="shared" si="37"/>
        <v>1</v>
      </c>
      <c r="M798">
        <f t="shared" si="38"/>
        <v>6</v>
      </c>
      <c r="N798">
        <v>8</v>
      </c>
      <c r="O798">
        <f>DATEDIF(Table1[[#This Row],[lead_date]], Table1[[#This Row],[delivery_date]], "d")</f>
        <v>8</v>
      </c>
      <c r="P798" s="5" t="str">
        <f>IF(AND(Table1[[#This Row],[customer_rating]]&gt;=8, Table1[[#This Row],[Tat_day]]&lt;=7, Table1[[#This Row],[lead_type]]="Hot"), "High", "Normal")</f>
        <v>Normal</v>
      </c>
      <c r="Q798" s="5" t="str">
        <f>IF(Table1[[#This Row],[customer_rating]]&gt;=9,"Promoter",IF(Table1[[#This Row],[customer_rating]]&gt;=7,"Passive","Detractor"))</f>
        <v>Passive</v>
      </c>
      <c r="R798" s="5"/>
    </row>
    <row r="799" spans="1:18">
      <c r="A799" t="s">
        <v>825</v>
      </c>
      <c r="B799" t="s">
        <v>32</v>
      </c>
      <c r="C799" t="s">
        <v>15</v>
      </c>
      <c r="D799" s="5">
        <v>45934</v>
      </c>
      <c r="E799" s="5">
        <v>45937</v>
      </c>
      <c r="F799" s="5">
        <v>45942</v>
      </c>
      <c r="G799" s="5">
        <v>45946</v>
      </c>
      <c r="H799" t="s">
        <v>16</v>
      </c>
      <c r="I799" t="s">
        <v>17</v>
      </c>
      <c r="J799" s="5">
        <v>45956</v>
      </c>
      <c r="K799" s="15">
        <f t="shared" si="39"/>
        <v>3</v>
      </c>
      <c r="L799">
        <f t="shared" si="37"/>
        <v>5</v>
      </c>
      <c r="M799">
        <f t="shared" si="38"/>
        <v>4</v>
      </c>
      <c r="N799">
        <v>7</v>
      </c>
      <c r="O799">
        <f>DATEDIF(Table1[[#This Row],[lead_date]], Table1[[#This Row],[delivery_date]], "d")</f>
        <v>12</v>
      </c>
      <c r="P799" s="5" t="str">
        <f>IF(AND(Table1[[#This Row],[customer_rating]]&gt;=8, Table1[[#This Row],[Tat_day]]&lt;=7, Table1[[#This Row],[lead_type]]="Hot"), "High", "Normal")</f>
        <v>Normal</v>
      </c>
      <c r="Q799" s="5" t="str">
        <f>IF(Table1[[#This Row],[customer_rating]]&gt;=9,"Promoter",IF(Table1[[#This Row],[customer_rating]]&gt;=7,"Passive","Detractor"))</f>
        <v>Passive</v>
      </c>
      <c r="R799" s="5"/>
    </row>
    <row r="800" spans="1:18">
      <c r="A800" t="s">
        <v>826</v>
      </c>
      <c r="B800" t="s">
        <v>19</v>
      </c>
      <c r="C800" t="s">
        <v>22</v>
      </c>
      <c r="D800" s="5">
        <v>45935</v>
      </c>
      <c r="H800" t="s">
        <v>23</v>
      </c>
      <c r="I800" t="s">
        <v>101</v>
      </c>
      <c r="K800" s="15" t="str">
        <f t="shared" si="39"/>
        <v/>
      </c>
      <c r="L800" t="str">
        <f t="shared" si="37"/>
        <v/>
      </c>
      <c r="M800" t="str">
        <f t="shared" si="38"/>
        <v/>
      </c>
      <c r="O800"/>
      <c r="P800" s="5" t="str">
        <f>IF(AND(Table1[[#This Row],[customer_rating]]&gt;=8, Table1[[#This Row],[Tat_day]]&lt;=7, Table1[[#This Row],[lead_type]]="Hot"), "High", "Normal")</f>
        <v>Normal</v>
      </c>
      <c r="Q800" s="5" t="str">
        <f>IF(Table1[[#This Row],[customer_rating]]&gt;=9,"Promoter",IF(Table1[[#This Row],[customer_rating]]&gt;=7,"Passive","Detractor"))</f>
        <v>Detractor</v>
      </c>
      <c r="R800" s="5"/>
    </row>
    <row r="801" spans="1:18">
      <c r="A801" t="s">
        <v>827</v>
      </c>
      <c r="B801" t="s">
        <v>19</v>
      </c>
      <c r="C801" t="s">
        <v>22</v>
      </c>
      <c r="D801" s="5">
        <v>45932</v>
      </c>
      <c r="H801" t="s">
        <v>23</v>
      </c>
      <c r="I801" t="s">
        <v>63</v>
      </c>
      <c r="K801" s="15" t="str">
        <f t="shared" si="39"/>
        <v/>
      </c>
      <c r="L801" t="str">
        <f t="shared" si="37"/>
        <v/>
      </c>
      <c r="M801" t="str">
        <f t="shared" si="38"/>
        <v/>
      </c>
      <c r="O801"/>
      <c r="P801" s="5" t="str">
        <f>IF(AND(Table1[[#This Row],[customer_rating]]&gt;=8, Table1[[#This Row],[Tat_day]]&lt;=7, Table1[[#This Row],[lead_type]]="Hot"), "High", "Normal")</f>
        <v>Normal</v>
      </c>
      <c r="Q801" s="5" t="str">
        <f>IF(Table1[[#This Row],[customer_rating]]&gt;=9,"Promoter",IF(Table1[[#This Row],[customer_rating]]&gt;=7,"Passive","Detractor"))</f>
        <v>Detractor</v>
      </c>
      <c r="R801" s="5"/>
    </row>
    <row r="802" spans="1:18">
      <c r="A802" t="s">
        <v>828</v>
      </c>
      <c r="B802" t="s">
        <v>14</v>
      </c>
      <c r="C802" t="s">
        <v>22</v>
      </c>
      <c r="D802" s="5">
        <v>45961</v>
      </c>
      <c r="H802" t="s">
        <v>23</v>
      </c>
      <c r="I802" t="s">
        <v>24</v>
      </c>
      <c r="K802" s="15" t="str">
        <f t="shared" si="39"/>
        <v/>
      </c>
      <c r="L802" t="str">
        <f t="shared" si="37"/>
        <v/>
      </c>
      <c r="M802" t="str">
        <f t="shared" si="38"/>
        <v/>
      </c>
      <c r="O802"/>
      <c r="P802" s="5" t="str">
        <f>IF(AND(Table1[[#This Row],[customer_rating]]&gt;=8, Table1[[#This Row],[Tat_day]]&lt;=7, Table1[[#This Row],[lead_type]]="Hot"), "High", "Normal")</f>
        <v>Normal</v>
      </c>
      <c r="Q802" s="5" t="str">
        <f>IF(Table1[[#This Row],[customer_rating]]&gt;=9,"Promoter",IF(Table1[[#This Row],[customer_rating]]&gt;=7,"Passive","Detractor"))</f>
        <v>Detractor</v>
      </c>
      <c r="R802" s="5"/>
    </row>
    <row r="803" spans="1:18">
      <c r="A803" t="s">
        <v>829</v>
      </c>
      <c r="B803" t="s">
        <v>21</v>
      </c>
      <c r="C803" t="s">
        <v>15</v>
      </c>
      <c r="D803" s="5">
        <v>45932</v>
      </c>
      <c r="E803" s="5">
        <v>45934</v>
      </c>
      <c r="F803" s="5">
        <v>45936</v>
      </c>
      <c r="G803" s="5">
        <v>45939</v>
      </c>
      <c r="H803" t="s">
        <v>23</v>
      </c>
      <c r="I803" t="s">
        <v>101</v>
      </c>
      <c r="K803" s="15">
        <f t="shared" si="39"/>
        <v>2</v>
      </c>
      <c r="L803">
        <f t="shared" si="37"/>
        <v>2</v>
      </c>
      <c r="M803">
        <f t="shared" si="38"/>
        <v>3</v>
      </c>
      <c r="O803">
        <f>DATEDIF(Table1[[#This Row],[lead_date]], Table1[[#This Row],[delivery_date]], "d")</f>
        <v>7</v>
      </c>
      <c r="P803" s="5" t="str">
        <f>IF(AND(Table1[[#This Row],[customer_rating]]&gt;=8, Table1[[#This Row],[Tat_day]]&lt;=7, Table1[[#This Row],[lead_type]]="Hot"), "High", "Normal")</f>
        <v>Normal</v>
      </c>
      <c r="Q803" s="5" t="str">
        <f>IF(Table1[[#This Row],[customer_rating]]&gt;=9,"Promoter",IF(Table1[[#This Row],[customer_rating]]&gt;=7,"Passive","Detractor"))</f>
        <v>Detractor</v>
      </c>
      <c r="R803" s="5"/>
    </row>
    <row r="804" spans="1:18">
      <c r="A804" t="s">
        <v>830</v>
      </c>
      <c r="B804" t="s">
        <v>14</v>
      </c>
      <c r="C804" t="s">
        <v>15</v>
      </c>
      <c r="D804" s="5">
        <v>45940</v>
      </c>
      <c r="E804" s="5">
        <v>45945</v>
      </c>
      <c r="F804" s="5">
        <v>45950</v>
      </c>
      <c r="G804" s="5">
        <v>45955</v>
      </c>
      <c r="H804" t="s">
        <v>16</v>
      </c>
      <c r="I804" t="s">
        <v>17</v>
      </c>
      <c r="J804" s="5">
        <v>45983</v>
      </c>
      <c r="K804" s="15">
        <f t="shared" si="39"/>
        <v>5</v>
      </c>
      <c r="L804">
        <f t="shared" si="37"/>
        <v>5</v>
      </c>
      <c r="M804">
        <f t="shared" si="38"/>
        <v>5</v>
      </c>
      <c r="N804">
        <v>10</v>
      </c>
      <c r="O804">
        <f>DATEDIF(Table1[[#This Row],[lead_date]], Table1[[#This Row],[delivery_date]], "d")</f>
        <v>15</v>
      </c>
      <c r="P804" s="5" t="str">
        <f>IF(AND(Table1[[#This Row],[customer_rating]]&gt;=8, Table1[[#This Row],[Tat_day]]&lt;=7, Table1[[#This Row],[lead_type]]="Hot"), "High", "Normal")</f>
        <v>Normal</v>
      </c>
      <c r="Q804" s="5" t="str">
        <f>IF(Table1[[#This Row],[customer_rating]]&gt;=9,"Promoter",IF(Table1[[#This Row],[customer_rating]]&gt;=7,"Passive","Detractor"))</f>
        <v>Promoter</v>
      </c>
      <c r="R804" s="5"/>
    </row>
    <row r="805" spans="1:18">
      <c r="A805" t="s">
        <v>831</v>
      </c>
      <c r="B805" t="s">
        <v>32</v>
      </c>
      <c r="C805" t="s">
        <v>15</v>
      </c>
      <c r="D805" s="5">
        <v>45946</v>
      </c>
      <c r="E805" s="5">
        <v>45949</v>
      </c>
      <c r="F805" s="5">
        <v>45954</v>
      </c>
      <c r="G805" s="5">
        <v>45958</v>
      </c>
      <c r="H805" t="s">
        <v>16</v>
      </c>
      <c r="I805" t="s">
        <v>17</v>
      </c>
      <c r="J805" s="5">
        <v>45984</v>
      </c>
      <c r="K805" s="15">
        <f t="shared" si="39"/>
        <v>3</v>
      </c>
      <c r="L805">
        <f t="shared" si="37"/>
        <v>5</v>
      </c>
      <c r="M805">
        <f t="shared" si="38"/>
        <v>4</v>
      </c>
      <c r="N805">
        <v>1</v>
      </c>
      <c r="O805">
        <f>DATEDIF(Table1[[#This Row],[lead_date]], Table1[[#This Row],[delivery_date]], "d")</f>
        <v>12</v>
      </c>
      <c r="P805" s="5" t="str">
        <f>IF(AND(Table1[[#This Row],[customer_rating]]&gt;=8, Table1[[#This Row],[Tat_day]]&lt;=7, Table1[[#This Row],[lead_type]]="Hot"), "High", "Normal")</f>
        <v>Normal</v>
      </c>
      <c r="Q805" s="5" t="str">
        <f>IF(Table1[[#This Row],[customer_rating]]&gt;=9,"Promoter",IF(Table1[[#This Row],[customer_rating]]&gt;=7,"Passive","Detractor"))</f>
        <v>Detractor</v>
      </c>
      <c r="R805" s="5"/>
    </row>
    <row r="806" spans="1:18">
      <c r="A806" t="s">
        <v>832</v>
      </c>
      <c r="B806" t="s">
        <v>21</v>
      </c>
      <c r="C806" t="s">
        <v>15</v>
      </c>
      <c r="D806" s="5">
        <v>45934</v>
      </c>
      <c r="E806" s="5">
        <v>45936</v>
      </c>
      <c r="F806" s="5">
        <v>45938</v>
      </c>
      <c r="G806" s="5">
        <v>45943</v>
      </c>
      <c r="H806" t="s">
        <v>16</v>
      </c>
      <c r="I806" t="s">
        <v>17</v>
      </c>
      <c r="J806" s="5">
        <v>45958</v>
      </c>
      <c r="K806" s="15">
        <f t="shared" si="39"/>
        <v>2</v>
      </c>
      <c r="L806">
        <f t="shared" si="37"/>
        <v>2</v>
      </c>
      <c r="M806">
        <f t="shared" si="38"/>
        <v>5</v>
      </c>
      <c r="N806">
        <v>9</v>
      </c>
      <c r="O806">
        <f>DATEDIF(Table1[[#This Row],[lead_date]], Table1[[#This Row],[delivery_date]], "d")</f>
        <v>9</v>
      </c>
      <c r="P806" s="5" t="str">
        <f>IF(AND(Table1[[#This Row],[customer_rating]]&gt;=8, Table1[[#This Row],[Tat_day]]&lt;=7, Table1[[#This Row],[lead_type]]="Hot"), "High", "Normal")</f>
        <v>Normal</v>
      </c>
      <c r="Q806" s="5" t="str">
        <f>IF(Table1[[#This Row],[customer_rating]]&gt;=9,"Promoter",IF(Table1[[#This Row],[customer_rating]]&gt;=7,"Passive","Detractor"))</f>
        <v>Promoter</v>
      </c>
      <c r="R806" s="5"/>
    </row>
    <row r="807" spans="1:18">
      <c r="A807" t="s">
        <v>833</v>
      </c>
      <c r="B807" t="s">
        <v>19</v>
      </c>
      <c r="C807" t="s">
        <v>22</v>
      </c>
      <c r="D807" s="5">
        <v>45934</v>
      </c>
      <c r="H807" t="s">
        <v>23</v>
      </c>
      <c r="I807" t="s">
        <v>24</v>
      </c>
      <c r="K807" s="15" t="str">
        <f t="shared" si="39"/>
        <v/>
      </c>
      <c r="L807" t="str">
        <f t="shared" si="37"/>
        <v/>
      </c>
      <c r="M807" t="str">
        <f t="shared" si="38"/>
        <v/>
      </c>
      <c r="O807"/>
      <c r="P807" s="5" t="str">
        <f>IF(AND(Table1[[#This Row],[customer_rating]]&gt;=8, Table1[[#This Row],[Tat_day]]&lt;=7, Table1[[#This Row],[lead_type]]="Hot"), "High", "Normal")</f>
        <v>Normal</v>
      </c>
      <c r="Q807" s="5" t="str">
        <f>IF(Table1[[#This Row],[customer_rating]]&gt;=9,"Promoter",IF(Table1[[#This Row],[customer_rating]]&gt;=7,"Passive","Detractor"))</f>
        <v>Detractor</v>
      </c>
      <c r="R807" s="5"/>
    </row>
    <row r="808" spans="1:18">
      <c r="A808" t="s">
        <v>834</v>
      </c>
      <c r="B808" t="s">
        <v>21</v>
      </c>
      <c r="C808" t="s">
        <v>30</v>
      </c>
      <c r="D808" s="5">
        <v>45938</v>
      </c>
      <c r="E808" s="5">
        <v>45941</v>
      </c>
      <c r="F808" s="5">
        <v>45945</v>
      </c>
      <c r="G808" s="5">
        <v>45949</v>
      </c>
      <c r="H808" t="s">
        <v>16</v>
      </c>
      <c r="I808" t="s">
        <v>17</v>
      </c>
      <c r="J808" s="5">
        <v>45962</v>
      </c>
      <c r="K808" s="15">
        <f t="shared" si="39"/>
        <v>3</v>
      </c>
      <c r="L808">
        <f t="shared" si="37"/>
        <v>4</v>
      </c>
      <c r="M808">
        <f t="shared" si="38"/>
        <v>4</v>
      </c>
      <c r="N808">
        <v>3</v>
      </c>
      <c r="O808">
        <f>DATEDIF(Table1[[#This Row],[lead_date]], Table1[[#This Row],[delivery_date]], "d")</f>
        <v>11</v>
      </c>
      <c r="P808" s="5" t="str">
        <f>IF(AND(Table1[[#This Row],[customer_rating]]&gt;=8, Table1[[#This Row],[Tat_day]]&lt;=7, Table1[[#This Row],[lead_type]]="Hot"), "High", "Normal")</f>
        <v>Normal</v>
      </c>
      <c r="Q808" s="5" t="str">
        <f>IF(Table1[[#This Row],[customer_rating]]&gt;=9,"Promoter",IF(Table1[[#This Row],[customer_rating]]&gt;=7,"Passive","Detractor"))</f>
        <v>Detractor</v>
      </c>
      <c r="R808" s="5"/>
    </row>
    <row r="809" spans="1:18">
      <c r="A809" t="s">
        <v>835</v>
      </c>
      <c r="B809" t="s">
        <v>19</v>
      </c>
      <c r="C809" t="s">
        <v>15</v>
      </c>
      <c r="D809" s="5">
        <v>45959</v>
      </c>
      <c r="E809" s="5">
        <v>45964</v>
      </c>
      <c r="F809" s="5">
        <v>45966</v>
      </c>
      <c r="G809" s="5">
        <v>45968</v>
      </c>
      <c r="H809" t="s">
        <v>16</v>
      </c>
      <c r="I809" t="s">
        <v>17</v>
      </c>
      <c r="J809" s="5">
        <v>45989</v>
      </c>
      <c r="K809" s="15">
        <f t="shared" si="39"/>
        <v>5</v>
      </c>
      <c r="L809">
        <f t="shared" si="37"/>
        <v>2</v>
      </c>
      <c r="M809">
        <f t="shared" si="38"/>
        <v>2</v>
      </c>
      <c r="N809">
        <v>2</v>
      </c>
      <c r="O809">
        <f>DATEDIF(Table1[[#This Row],[lead_date]], Table1[[#This Row],[delivery_date]], "d")</f>
        <v>9</v>
      </c>
      <c r="P809" s="5" t="str">
        <f>IF(AND(Table1[[#This Row],[customer_rating]]&gt;=8, Table1[[#This Row],[Tat_day]]&lt;=7, Table1[[#This Row],[lead_type]]="Hot"), "High", "Normal")</f>
        <v>Normal</v>
      </c>
      <c r="Q809" s="5" t="str">
        <f>IF(Table1[[#This Row],[customer_rating]]&gt;=9,"Promoter",IF(Table1[[#This Row],[customer_rating]]&gt;=7,"Passive","Detractor"))</f>
        <v>Detractor</v>
      </c>
      <c r="R809" s="5"/>
    </row>
    <row r="810" spans="1:18">
      <c r="A810" t="s">
        <v>836</v>
      </c>
      <c r="B810" t="s">
        <v>21</v>
      </c>
      <c r="C810" t="s">
        <v>30</v>
      </c>
      <c r="D810" s="5">
        <v>45948</v>
      </c>
      <c r="E810" s="5">
        <v>45953</v>
      </c>
      <c r="F810" s="5">
        <v>45955</v>
      </c>
      <c r="G810" s="5">
        <v>45957</v>
      </c>
      <c r="H810" t="s">
        <v>16</v>
      </c>
      <c r="I810" t="s">
        <v>17</v>
      </c>
      <c r="J810" s="5">
        <v>45987</v>
      </c>
      <c r="K810" s="15">
        <f t="shared" si="39"/>
        <v>5</v>
      </c>
      <c r="L810">
        <f t="shared" si="37"/>
        <v>2</v>
      </c>
      <c r="M810">
        <f t="shared" si="38"/>
        <v>2</v>
      </c>
      <c r="N810">
        <v>5</v>
      </c>
      <c r="O810">
        <f>DATEDIF(Table1[[#This Row],[lead_date]], Table1[[#This Row],[delivery_date]], "d")</f>
        <v>9</v>
      </c>
      <c r="P810" s="5" t="str">
        <f>IF(AND(Table1[[#This Row],[customer_rating]]&gt;=8, Table1[[#This Row],[Tat_day]]&lt;=7, Table1[[#This Row],[lead_type]]="Hot"), "High", "Normal")</f>
        <v>Normal</v>
      </c>
      <c r="Q810" s="5" t="str">
        <f>IF(Table1[[#This Row],[customer_rating]]&gt;=9,"Promoter",IF(Table1[[#This Row],[customer_rating]]&gt;=7,"Passive","Detractor"))</f>
        <v>Detractor</v>
      </c>
      <c r="R810" s="5"/>
    </row>
    <row r="811" spans="1:18">
      <c r="A811" t="s">
        <v>837</v>
      </c>
      <c r="B811" t="s">
        <v>21</v>
      </c>
      <c r="C811" t="s">
        <v>15</v>
      </c>
      <c r="D811" s="5">
        <v>45935</v>
      </c>
      <c r="E811" s="5">
        <v>45936</v>
      </c>
      <c r="F811" s="5">
        <v>45939</v>
      </c>
      <c r="G811" s="5">
        <v>45942</v>
      </c>
      <c r="H811" t="s">
        <v>16</v>
      </c>
      <c r="I811" t="s">
        <v>17</v>
      </c>
      <c r="J811" s="5">
        <v>45953</v>
      </c>
      <c r="K811" s="15">
        <f t="shared" si="39"/>
        <v>1</v>
      </c>
      <c r="L811">
        <f t="shared" si="37"/>
        <v>3</v>
      </c>
      <c r="M811">
        <f t="shared" si="38"/>
        <v>3</v>
      </c>
      <c r="N811">
        <v>1</v>
      </c>
      <c r="O811">
        <f>DATEDIF(Table1[[#This Row],[lead_date]], Table1[[#This Row],[delivery_date]], "d")</f>
        <v>7</v>
      </c>
      <c r="P811" s="5" t="str">
        <f>IF(AND(Table1[[#This Row],[customer_rating]]&gt;=8, Table1[[#This Row],[Tat_day]]&lt;=7, Table1[[#This Row],[lead_type]]="Hot"), "High", "Normal")</f>
        <v>Normal</v>
      </c>
      <c r="Q811" s="5" t="str">
        <f>IF(Table1[[#This Row],[customer_rating]]&gt;=9,"Promoter",IF(Table1[[#This Row],[customer_rating]]&gt;=7,"Passive","Detractor"))</f>
        <v>Detractor</v>
      </c>
      <c r="R811" s="5"/>
    </row>
    <row r="812" spans="1:18">
      <c r="A812" t="s">
        <v>838</v>
      </c>
      <c r="B812" t="s">
        <v>21</v>
      </c>
      <c r="C812" t="s">
        <v>22</v>
      </c>
      <c r="D812" s="5">
        <v>45943</v>
      </c>
      <c r="H812" t="s">
        <v>23</v>
      </c>
      <c r="I812" t="s">
        <v>63</v>
      </c>
      <c r="K812" s="15" t="str">
        <f t="shared" si="39"/>
        <v/>
      </c>
      <c r="L812" t="str">
        <f t="shared" si="37"/>
        <v/>
      </c>
      <c r="M812" t="str">
        <f t="shared" si="38"/>
        <v/>
      </c>
      <c r="O812"/>
      <c r="P812" s="5" t="str">
        <f>IF(AND(Table1[[#This Row],[customer_rating]]&gt;=8, Table1[[#This Row],[Tat_day]]&lt;=7, Table1[[#This Row],[lead_type]]="Hot"), "High", "Normal")</f>
        <v>Normal</v>
      </c>
      <c r="Q812" s="5" t="str">
        <f>IF(Table1[[#This Row],[customer_rating]]&gt;=9,"Promoter",IF(Table1[[#This Row],[customer_rating]]&gt;=7,"Passive","Detractor"))</f>
        <v>Detractor</v>
      </c>
      <c r="R812" s="5"/>
    </row>
    <row r="813" spans="1:18">
      <c r="A813" t="s">
        <v>839</v>
      </c>
      <c r="B813" t="s">
        <v>32</v>
      </c>
      <c r="C813" t="s">
        <v>15</v>
      </c>
      <c r="D813" s="5">
        <v>45945</v>
      </c>
      <c r="E813" s="5">
        <v>45950</v>
      </c>
      <c r="F813" s="5">
        <v>45953</v>
      </c>
      <c r="G813" s="5">
        <v>45960</v>
      </c>
      <c r="H813" t="s">
        <v>16</v>
      </c>
      <c r="I813" t="s">
        <v>17</v>
      </c>
      <c r="J813" s="5">
        <v>45982</v>
      </c>
      <c r="K813" s="15">
        <f t="shared" si="39"/>
        <v>5</v>
      </c>
      <c r="L813">
        <f t="shared" si="37"/>
        <v>3</v>
      </c>
      <c r="M813">
        <f t="shared" si="38"/>
        <v>7</v>
      </c>
      <c r="N813">
        <v>7</v>
      </c>
      <c r="O813">
        <f>DATEDIF(Table1[[#This Row],[lead_date]], Table1[[#This Row],[delivery_date]], "d")</f>
        <v>15</v>
      </c>
      <c r="P813" s="5" t="str">
        <f>IF(AND(Table1[[#This Row],[customer_rating]]&gt;=8, Table1[[#This Row],[Tat_day]]&lt;=7, Table1[[#This Row],[lead_type]]="Hot"), "High", "Normal")</f>
        <v>Normal</v>
      </c>
      <c r="Q813" s="5" t="str">
        <f>IF(Table1[[#This Row],[customer_rating]]&gt;=9,"Promoter",IF(Table1[[#This Row],[customer_rating]]&gt;=7,"Passive","Detractor"))</f>
        <v>Passive</v>
      </c>
      <c r="R813" s="5"/>
    </row>
    <row r="814" spans="1:18">
      <c r="A814" t="s">
        <v>840</v>
      </c>
      <c r="B814" t="s">
        <v>32</v>
      </c>
      <c r="C814" t="s">
        <v>30</v>
      </c>
      <c r="D814" s="5">
        <v>45942</v>
      </c>
      <c r="E814" s="5">
        <v>45944</v>
      </c>
      <c r="F814" s="5">
        <v>45947</v>
      </c>
      <c r="G814" s="5">
        <v>45951</v>
      </c>
      <c r="H814" t="s">
        <v>16</v>
      </c>
      <c r="I814" t="s">
        <v>17</v>
      </c>
      <c r="J814" s="5">
        <v>45981</v>
      </c>
      <c r="K814" s="15">
        <f t="shared" si="39"/>
        <v>2</v>
      </c>
      <c r="L814">
        <f t="shared" si="37"/>
        <v>3</v>
      </c>
      <c r="M814">
        <f t="shared" si="38"/>
        <v>4</v>
      </c>
      <c r="N814">
        <v>3</v>
      </c>
      <c r="O814">
        <f>DATEDIF(Table1[[#This Row],[lead_date]], Table1[[#This Row],[delivery_date]], "d")</f>
        <v>9</v>
      </c>
      <c r="P814" s="5" t="str">
        <f>IF(AND(Table1[[#This Row],[customer_rating]]&gt;=8, Table1[[#This Row],[Tat_day]]&lt;=7, Table1[[#This Row],[lead_type]]="Hot"), "High", "Normal")</f>
        <v>Normal</v>
      </c>
      <c r="Q814" s="5" t="str">
        <f>IF(Table1[[#This Row],[customer_rating]]&gt;=9,"Promoter",IF(Table1[[#This Row],[customer_rating]]&gt;=7,"Passive","Detractor"))</f>
        <v>Detractor</v>
      </c>
      <c r="R814" s="5"/>
    </row>
    <row r="815" spans="1:18">
      <c r="A815" t="s">
        <v>841</v>
      </c>
      <c r="B815" t="s">
        <v>14</v>
      </c>
      <c r="C815" t="s">
        <v>22</v>
      </c>
      <c r="D815" s="5">
        <v>45952</v>
      </c>
      <c r="H815" t="s">
        <v>23</v>
      </c>
      <c r="I815" t="s">
        <v>24</v>
      </c>
      <c r="K815" s="15" t="str">
        <f t="shared" si="39"/>
        <v/>
      </c>
      <c r="L815" t="str">
        <f t="shared" si="37"/>
        <v/>
      </c>
      <c r="M815" t="str">
        <f t="shared" si="38"/>
        <v/>
      </c>
      <c r="O815"/>
      <c r="P815" s="5" t="str">
        <f>IF(AND(Table1[[#This Row],[customer_rating]]&gt;=8, Table1[[#This Row],[Tat_day]]&lt;=7, Table1[[#This Row],[lead_type]]="Hot"), "High", "Normal")</f>
        <v>Normal</v>
      </c>
      <c r="Q815" s="5" t="str">
        <f>IF(Table1[[#This Row],[customer_rating]]&gt;=9,"Promoter",IF(Table1[[#This Row],[customer_rating]]&gt;=7,"Passive","Detractor"))</f>
        <v>Detractor</v>
      </c>
      <c r="R815" s="5"/>
    </row>
    <row r="816" spans="1:18">
      <c r="A816" t="s">
        <v>842</v>
      </c>
      <c r="B816" t="s">
        <v>14</v>
      </c>
      <c r="C816" t="s">
        <v>15</v>
      </c>
      <c r="D816" s="5">
        <v>45961</v>
      </c>
      <c r="E816" s="5">
        <v>45966</v>
      </c>
      <c r="F816" s="5">
        <v>45970</v>
      </c>
      <c r="G816" s="5">
        <v>45977</v>
      </c>
      <c r="H816" t="s">
        <v>16</v>
      </c>
      <c r="I816" t="s">
        <v>17</v>
      </c>
      <c r="J816" s="5">
        <v>45995</v>
      </c>
      <c r="K816" s="15">
        <f t="shared" si="39"/>
        <v>5</v>
      </c>
      <c r="L816">
        <f t="shared" si="37"/>
        <v>4</v>
      </c>
      <c r="M816">
        <f t="shared" si="38"/>
        <v>7</v>
      </c>
      <c r="N816">
        <v>2</v>
      </c>
      <c r="O816">
        <f>DATEDIF(Table1[[#This Row],[lead_date]], Table1[[#This Row],[delivery_date]], "d")</f>
        <v>16</v>
      </c>
      <c r="P816" s="5" t="str">
        <f>IF(AND(Table1[[#This Row],[customer_rating]]&gt;=8, Table1[[#This Row],[Tat_day]]&lt;=7, Table1[[#This Row],[lead_type]]="Hot"), "High", "Normal")</f>
        <v>Normal</v>
      </c>
      <c r="Q816" s="5" t="str">
        <f>IF(Table1[[#This Row],[customer_rating]]&gt;=9,"Promoter",IF(Table1[[#This Row],[customer_rating]]&gt;=7,"Passive","Detractor"))</f>
        <v>Detractor</v>
      </c>
      <c r="R816" s="5"/>
    </row>
    <row r="817" spans="1:18">
      <c r="A817" t="s">
        <v>843</v>
      </c>
      <c r="B817" t="s">
        <v>19</v>
      </c>
      <c r="C817" t="s">
        <v>30</v>
      </c>
      <c r="D817" s="5">
        <v>45954</v>
      </c>
      <c r="E817" s="5">
        <v>45959</v>
      </c>
      <c r="F817" s="5">
        <v>45961</v>
      </c>
      <c r="G817" s="5">
        <v>45968</v>
      </c>
      <c r="H817" t="s">
        <v>16</v>
      </c>
      <c r="I817" t="s">
        <v>17</v>
      </c>
      <c r="J817" s="5">
        <v>45995</v>
      </c>
      <c r="K817" s="15">
        <f t="shared" si="39"/>
        <v>5</v>
      </c>
      <c r="L817">
        <f t="shared" si="37"/>
        <v>2</v>
      </c>
      <c r="M817">
        <f t="shared" si="38"/>
        <v>7</v>
      </c>
      <c r="N817">
        <v>5</v>
      </c>
      <c r="O817">
        <f>DATEDIF(Table1[[#This Row],[lead_date]], Table1[[#This Row],[delivery_date]], "d")</f>
        <v>14</v>
      </c>
      <c r="P817" s="5" t="str">
        <f>IF(AND(Table1[[#This Row],[customer_rating]]&gt;=8, Table1[[#This Row],[Tat_day]]&lt;=7, Table1[[#This Row],[lead_type]]="Hot"), "High", "Normal")</f>
        <v>Normal</v>
      </c>
      <c r="Q817" s="5" t="str">
        <f>IF(Table1[[#This Row],[customer_rating]]&gt;=9,"Promoter",IF(Table1[[#This Row],[customer_rating]]&gt;=7,"Passive","Detractor"))</f>
        <v>Detractor</v>
      </c>
      <c r="R817" s="5"/>
    </row>
    <row r="818" spans="1:18">
      <c r="A818" t="s">
        <v>844</v>
      </c>
      <c r="B818" t="s">
        <v>32</v>
      </c>
      <c r="C818" t="s">
        <v>30</v>
      </c>
      <c r="D818" s="5">
        <v>45953</v>
      </c>
      <c r="E818" s="5">
        <v>45955</v>
      </c>
      <c r="F818" s="5">
        <v>45956</v>
      </c>
      <c r="G818" s="5">
        <v>45962</v>
      </c>
      <c r="H818" t="s">
        <v>23</v>
      </c>
      <c r="I818" t="s">
        <v>63</v>
      </c>
      <c r="K818" s="15">
        <f t="shared" si="39"/>
        <v>2</v>
      </c>
      <c r="L818">
        <f t="shared" si="37"/>
        <v>1</v>
      </c>
      <c r="M818">
        <f t="shared" si="38"/>
        <v>6</v>
      </c>
      <c r="O818">
        <f>DATEDIF(Table1[[#This Row],[lead_date]], Table1[[#This Row],[delivery_date]], "d")</f>
        <v>9</v>
      </c>
      <c r="P818" s="5" t="str">
        <f>IF(AND(Table1[[#This Row],[customer_rating]]&gt;=8, Table1[[#This Row],[Tat_day]]&lt;=7, Table1[[#This Row],[lead_type]]="Hot"), "High", "Normal")</f>
        <v>Normal</v>
      </c>
      <c r="Q818" s="5" t="str">
        <f>IF(Table1[[#This Row],[customer_rating]]&gt;=9,"Promoter",IF(Table1[[#This Row],[customer_rating]]&gt;=7,"Passive","Detractor"))</f>
        <v>Detractor</v>
      </c>
      <c r="R818" s="5"/>
    </row>
    <row r="819" spans="1:18">
      <c r="A819" t="s">
        <v>845</v>
      </c>
      <c r="B819" t="s">
        <v>19</v>
      </c>
      <c r="C819" t="s">
        <v>30</v>
      </c>
      <c r="D819" s="5">
        <v>45961</v>
      </c>
      <c r="E819" s="5">
        <v>45963</v>
      </c>
      <c r="F819" s="5">
        <v>45965</v>
      </c>
      <c r="G819" s="5">
        <v>45967</v>
      </c>
      <c r="H819" t="s">
        <v>16</v>
      </c>
      <c r="I819" t="s">
        <v>17</v>
      </c>
      <c r="J819" s="5">
        <v>45996</v>
      </c>
      <c r="K819" s="15">
        <f t="shared" si="39"/>
        <v>2</v>
      </c>
      <c r="L819">
        <f t="shared" si="37"/>
        <v>2</v>
      </c>
      <c r="M819">
        <f t="shared" si="38"/>
        <v>2</v>
      </c>
      <c r="N819">
        <v>8</v>
      </c>
      <c r="O819">
        <f>DATEDIF(Table1[[#This Row],[lead_date]], Table1[[#This Row],[delivery_date]], "d")</f>
        <v>6</v>
      </c>
      <c r="P819" s="5" t="str">
        <f>IF(AND(Table1[[#This Row],[customer_rating]]&gt;=8, Table1[[#This Row],[Tat_day]]&lt;=7, Table1[[#This Row],[lead_type]]="Hot"), "High", "Normal")</f>
        <v>High</v>
      </c>
      <c r="Q819" s="5" t="str">
        <f>IF(Table1[[#This Row],[customer_rating]]&gt;=9,"Promoter",IF(Table1[[#This Row],[customer_rating]]&gt;=7,"Passive","Detractor"))</f>
        <v>Passive</v>
      </c>
      <c r="R819" s="5"/>
    </row>
    <row r="820" spans="1:18">
      <c r="A820" t="s">
        <v>846</v>
      </c>
      <c r="B820" t="s">
        <v>14</v>
      </c>
      <c r="C820" t="s">
        <v>30</v>
      </c>
      <c r="D820" s="5">
        <v>45948</v>
      </c>
      <c r="E820" s="5">
        <v>45953</v>
      </c>
      <c r="F820" s="5">
        <v>45957</v>
      </c>
      <c r="G820" s="5">
        <v>45960</v>
      </c>
      <c r="H820" t="s">
        <v>16</v>
      </c>
      <c r="I820" t="s">
        <v>17</v>
      </c>
      <c r="J820" s="5">
        <v>45971</v>
      </c>
      <c r="K820" s="15">
        <f t="shared" si="39"/>
        <v>5</v>
      </c>
      <c r="L820">
        <f t="shared" si="37"/>
        <v>4</v>
      </c>
      <c r="M820">
        <f t="shared" si="38"/>
        <v>3</v>
      </c>
      <c r="N820">
        <v>8</v>
      </c>
      <c r="O820">
        <f>DATEDIF(Table1[[#This Row],[lead_date]], Table1[[#This Row],[delivery_date]], "d")</f>
        <v>12</v>
      </c>
      <c r="P820" s="5" t="str">
        <f>IF(AND(Table1[[#This Row],[customer_rating]]&gt;=8, Table1[[#This Row],[Tat_day]]&lt;=7, Table1[[#This Row],[lead_type]]="Hot"), "High", "Normal")</f>
        <v>Normal</v>
      </c>
      <c r="Q820" s="5" t="str">
        <f>IF(Table1[[#This Row],[customer_rating]]&gt;=9,"Promoter",IF(Table1[[#This Row],[customer_rating]]&gt;=7,"Passive","Detractor"))</f>
        <v>Passive</v>
      </c>
      <c r="R820" s="5"/>
    </row>
    <row r="821" spans="1:18">
      <c r="A821" t="s">
        <v>847</v>
      </c>
      <c r="B821" t="s">
        <v>19</v>
      </c>
      <c r="C821" t="s">
        <v>22</v>
      </c>
      <c r="D821" s="5">
        <v>45944</v>
      </c>
      <c r="H821" t="s">
        <v>23</v>
      </c>
      <c r="I821" t="s">
        <v>63</v>
      </c>
      <c r="K821" s="15" t="str">
        <f t="shared" si="39"/>
        <v/>
      </c>
      <c r="L821" t="str">
        <f t="shared" si="37"/>
        <v/>
      </c>
      <c r="M821" t="str">
        <f t="shared" si="38"/>
        <v/>
      </c>
      <c r="O821"/>
      <c r="P821" s="5" t="str">
        <f>IF(AND(Table1[[#This Row],[customer_rating]]&gt;=8, Table1[[#This Row],[Tat_day]]&lt;=7, Table1[[#This Row],[lead_type]]="Hot"), "High", "Normal")</f>
        <v>Normal</v>
      </c>
      <c r="Q821" s="5" t="str">
        <f>IF(Table1[[#This Row],[customer_rating]]&gt;=9,"Promoter",IF(Table1[[#This Row],[customer_rating]]&gt;=7,"Passive","Detractor"))</f>
        <v>Detractor</v>
      </c>
      <c r="R821" s="5"/>
    </row>
    <row r="822" spans="1:18">
      <c r="A822" t="s">
        <v>848</v>
      </c>
      <c r="B822" t="s">
        <v>14</v>
      </c>
      <c r="C822" t="s">
        <v>15</v>
      </c>
      <c r="D822" s="5">
        <v>45949</v>
      </c>
      <c r="E822" s="5">
        <v>45954</v>
      </c>
      <c r="F822" s="5">
        <v>45957</v>
      </c>
      <c r="G822" s="5">
        <v>45961</v>
      </c>
      <c r="H822" t="s">
        <v>16</v>
      </c>
      <c r="I822" t="s">
        <v>17</v>
      </c>
      <c r="J822" s="5">
        <v>45990</v>
      </c>
      <c r="K822" s="15">
        <f t="shared" si="39"/>
        <v>5</v>
      </c>
      <c r="L822">
        <f t="shared" si="37"/>
        <v>3</v>
      </c>
      <c r="M822">
        <f t="shared" si="38"/>
        <v>4</v>
      </c>
      <c r="N822">
        <v>2</v>
      </c>
      <c r="O822">
        <f>DATEDIF(Table1[[#This Row],[lead_date]], Table1[[#This Row],[delivery_date]], "d")</f>
        <v>12</v>
      </c>
      <c r="P822" s="5" t="str">
        <f>IF(AND(Table1[[#This Row],[customer_rating]]&gt;=8, Table1[[#This Row],[Tat_day]]&lt;=7, Table1[[#This Row],[lead_type]]="Hot"), "High", "Normal")</f>
        <v>Normal</v>
      </c>
      <c r="Q822" s="5" t="str">
        <f>IF(Table1[[#This Row],[customer_rating]]&gt;=9,"Promoter",IF(Table1[[#This Row],[customer_rating]]&gt;=7,"Passive","Detractor"))</f>
        <v>Detractor</v>
      </c>
      <c r="R822" s="5"/>
    </row>
    <row r="823" spans="1:18">
      <c r="A823" t="s">
        <v>849</v>
      </c>
      <c r="B823" t="s">
        <v>32</v>
      </c>
      <c r="C823" t="s">
        <v>22</v>
      </c>
      <c r="D823" s="5">
        <v>45954</v>
      </c>
      <c r="H823" t="s">
        <v>23</v>
      </c>
      <c r="I823" t="s">
        <v>33</v>
      </c>
      <c r="K823" s="15" t="str">
        <f t="shared" si="39"/>
        <v/>
      </c>
      <c r="L823" t="str">
        <f t="shared" si="37"/>
        <v/>
      </c>
      <c r="M823" t="str">
        <f t="shared" si="38"/>
        <v/>
      </c>
      <c r="O823"/>
      <c r="P823" s="5" t="str">
        <f>IF(AND(Table1[[#This Row],[customer_rating]]&gt;=8, Table1[[#This Row],[Tat_day]]&lt;=7, Table1[[#This Row],[lead_type]]="Hot"), "High", "Normal")</f>
        <v>Normal</v>
      </c>
      <c r="Q823" s="5" t="str">
        <f>IF(Table1[[#This Row],[customer_rating]]&gt;=9,"Promoter",IF(Table1[[#This Row],[customer_rating]]&gt;=7,"Passive","Detractor"))</f>
        <v>Detractor</v>
      </c>
      <c r="R823" s="5"/>
    </row>
    <row r="824" spans="1:18">
      <c r="A824" t="s">
        <v>850</v>
      </c>
      <c r="B824" t="s">
        <v>21</v>
      </c>
      <c r="C824" t="s">
        <v>15</v>
      </c>
      <c r="D824" s="5">
        <v>45954</v>
      </c>
      <c r="E824" s="5">
        <v>45957</v>
      </c>
      <c r="F824" s="5">
        <v>45961</v>
      </c>
      <c r="G824" s="5">
        <v>45964</v>
      </c>
      <c r="H824" t="s">
        <v>16</v>
      </c>
      <c r="I824" t="s">
        <v>17</v>
      </c>
      <c r="J824" s="5">
        <v>45975</v>
      </c>
      <c r="K824" s="15">
        <f t="shared" si="39"/>
        <v>3</v>
      </c>
      <c r="L824">
        <f t="shared" si="37"/>
        <v>4</v>
      </c>
      <c r="M824">
        <f t="shared" si="38"/>
        <v>3</v>
      </c>
      <c r="N824">
        <v>3</v>
      </c>
      <c r="O824">
        <f>DATEDIF(Table1[[#This Row],[lead_date]], Table1[[#This Row],[delivery_date]], "d")</f>
        <v>10</v>
      </c>
      <c r="P824" s="5" t="str">
        <f>IF(AND(Table1[[#This Row],[customer_rating]]&gt;=8, Table1[[#This Row],[Tat_day]]&lt;=7, Table1[[#This Row],[lead_type]]="Hot"), "High", "Normal")</f>
        <v>Normal</v>
      </c>
      <c r="Q824" s="5" t="str">
        <f>IF(Table1[[#This Row],[customer_rating]]&gt;=9,"Promoter",IF(Table1[[#This Row],[customer_rating]]&gt;=7,"Passive","Detractor"))</f>
        <v>Detractor</v>
      </c>
      <c r="R824" s="5"/>
    </row>
    <row r="825" spans="1:18">
      <c r="A825" t="s">
        <v>851</v>
      </c>
      <c r="B825" t="s">
        <v>32</v>
      </c>
      <c r="C825" t="s">
        <v>30</v>
      </c>
      <c r="D825" s="5">
        <v>45935</v>
      </c>
      <c r="E825" s="5">
        <v>45940</v>
      </c>
      <c r="F825" s="5">
        <v>45943</v>
      </c>
      <c r="G825" s="5">
        <v>45945</v>
      </c>
      <c r="H825" t="s">
        <v>16</v>
      </c>
      <c r="I825" t="s">
        <v>17</v>
      </c>
      <c r="J825" s="5">
        <v>45958</v>
      </c>
      <c r="K825" s="15">
        <f t="shared" si="39"/>
        <v>5</v>
      </c>
      <c r="L825">
        <f t="shared" si="37"/>
        <v>3</v>
      </c>
      <c r="M825">
        <f t="shared" si="38"/>
        <v>2</v>
      </c>
      <c r="N825">
        <v>4</v>
      </c>
      <c r="O825">
        <f>DATEDIF(Table1[[#This Row],[lead_date]], Table1[[#This Row],[delivery_date]], "d")</f>
        <v>10</v>
      </c>
      <c r="P825" s="5" t="str">
        <f>IF(AND(Table1[[#This Row],[customer_rating]]&gt;=8, Table1[[#This Row],[Tat_day]]&lt;=7, Table1[[#This Row],[lead_type]]="Hot"), "High", "Normal")</f>
        <v>Normal</v>
      </c>
      <c r="Q825" s="5" t="str">
        <f>IF(Table1[[#This Row],[customer_rating]]&gt;=9,"Promoter",IF(Table1[[#This Row],[customer_rating]]&gt;=7,"Passive","Detractor"))</f>
        <v>Detractor</v>
      </c>
      <c r="R825" s="5"/>
    </row>
    <row r="826" spans="1:18">
      <c r="A826" t="s">
        <v>852</v>
      </c>
      <c r="B826" t="s">
        <v>19</v>
      </c>
      <c r="C826" t="s">
        <v>15</v>
      </c>
      <c r="D826" s="5">
        <v>45959</v>
      </c>
      <c r="E826" s="5">
        <v>45960</v>
      </c>
      <c r="F826" s="5">
        <v>45964</v>
      </c>
      <c r="G826" s="5">
        <v>45971</v>
      </c>
      <c r="H826" t="s">
        <v>23</v>
      </c>
      <c r="I826" t="s">
        <v>63</v>
      </c>
      <c r="K826" s="15">
        <f t="shared" si="39"/>
        <v>1</v>
      </c>
      <c r="L826">
        <f t="shared" si="37"/>
        <v>4</v>
      </c>
      <c r="M826">
        <f t="shared" si="38"/>
        <v>7</v>
      </c>
      <c r="O826">
        <f>DATEDIF(Table1[[#This Row],[lead_date]], Table1[[#This Row],[delivery_date]], "d")</f>
        <v>12</v>
      </c>
      <c r="P826" s="5" t="str">
        <f>IF(AND(Table1[[#This Row],[customer_rating]]&gt;=8, Table1[[#This Row],[Tat_day]]&lt;=7, Table1[[#This Row],[lead_type]]="Hot"), "High", "Normal")</f>
        <v>Normal</v>
      </c>
      <c r="Q826" s="5" t="str">
        <f>IF(Table1[[#This Row],[customer_rating]]&gt;=9,"Promoter",IF(Table1[[#This Row],[customer_rating]]&gt;=7,"Passive","Detractor"))</f>
        <v>Detractor</v>
      </c>
      <c r="R826" s="5"/>
    </row>
    <row r="827" spans="1:18">
      <c r="A827" t="s">
        <v>853</v>
      </c>
      <c r="B827" t="s">
        <v>19</v>
      </c>
      <c r="C827" t="s">
        <v>30</v>
      </c>
      <c r="D827" s="5">
        <v>45944</v>
      </c>
      <c r="E827" s="5">
        <v>45945</v>
      </c>
      <c r="F827" s="5">
        <v>45946</v>
      </c>
      <c r="G827" s="5">
        <v>45949</v>
      </c>
      <c r="H827" t="s">
        <v>16</v>
      </c>
      <c r="I827" t="s">
        <v>17</v>
      </c>
      <c r="J827" s="5">
        <v>45979</v>
      </c>
      <c r="K827" s="15">
        <f t="shared" si="39"/>
        <v>1</v>
      </c>
      <c r="L827">
        <f t="shared" si="37"/>
        <v>1</v>
      </c>
      <c r="M827">
        <f t="shared" si="38"/>
        <v>3</v>
      </c>
      <c r="N827">
        <v>3</v>
      </c>
      <c r="O827">
        <f>DATEDIF(Table1[[#This Row],[lead_date]], Table1[[#This Row],[delivery_date]], "d")</f>
        <v>5</v>
      </c>
      <c r="P827" s="5" t="str">
        <f>IF(AND(Table1[[#This Row],[customer_rating]]&gt;=8, Table1[[#This Row],[Tat_day]]&lt;=7, Table1[[#This Row],[lead_type]]="Hot"), "High", "Normal")</f>
        <v>Normal</v>
      </c>
      <c r="Q827" s="5" t="str">
        <f>IF(Table1[[#This Row],[customer_rating]]&gt;=9,"Promoter",IF(Table1[[#This Row],[customer_rating]]&gt;=7,"Passive","Detractor"))</f>
        <v>Detractor</v>
      </c>
      <c r="R827" s="5"/>
    </row>
    <row r="828" spans="1:18">
      <c r="A828" t="s">
        <v>854</v>
      </c>
      <c r="B828" t="s">
        <v>32</v>
      </c>
      <c r="C828" t="s">
        <v>15</v>
      </c>
      <c r="D828" s="5">
        <v>45951</v>
      </c>
      <c r="E828" s="5">
        <v>45952</v>
      </c>
      <c r="F828" s="5">
        <v>45955</v>
      </c>
      <c r="G828" s="5">
        <v>45959</v>
      </c>
      <c r="H828" t="s">
        <v>16</v>
      </c>
      <c r="I828" t="s">
        <v>17</v>
      </c>
      <c r="J828" s="5">
        <v>45969</v>
      </c>
      <c r="K828" s="15">
        <f t="shared" si="39"/>
        <v>1</v>
      </c>
      <c r="L828">
        <f t="shared" si="37"/>
        <v>3</v>
      </c>
      <c r="M828">
        <f t="shared" si="38"/>
        <v>4</v>
      </c>
      <c r="N828">
        <v>6</v>
      </c>
      <c r="O828">
        <f>DATEDIF(Table1[[#This Row],[lead_date]], Table1[[#This Row],[delivery_date]], "d")</f>
        <v>8</v>
      </c>
      <c r="P828" s="5" t="str">
        <f>IF(AND(Table1[[#This Row],[customer_rating]]&gt;=8, Table1[[#This Row],[Tat_day]]&lt;=7, Table1[[#This Row],[lead_type]]="Hot"), "High", "Normal")</f>
        <v>Normal</v>
      </c>
      <c r="Q828" s="5" t="str">
        <f>IF(Table1[[#This Row],[customer_rating]]&gt;=9,"Promoter",IF(Table1[[#This Row],[customer_rating]]&gt;=7,"Passive","Detractor"))</f>
        <v>Detractor</v>
      </c>
      <c r="R828" s="5"/>
    </row>
    <row r="829" spans="1:18">
      <c r="A829" t="s">
        <v>855</v>
      </c>
      <c r="B829" t="s">
        <v>32</v>
      </c>
      <c r="C829" t="s">
        <v>22</v>
      </c>
      <c r="D829" s="5">
        <v>45934</v>
      </c>
      <c r="H829" t="s">
        <v>23</v>
      </c>
      <c r="I829" t="s">
        <v>63</v>
      </c>
      <c r="K829" s="15" t="str">
        <f t="shared" si="39"/>
        <v/>
      </c>
      <c r="L829" t="str">
        <f t="shared" si="37"/>
        <v/>
      </c>
      <c r="M829" t="str">
        <f t="shared" si="38"/>
        <v/>
      </c>
      <c r="O829"/>
      <c r="P829" s="5" t="str">
        <f>IF(AND(Table1[[#This Row],[customer_rating]]&gt;=8, Table1[[#This Row],[Tat_day]]&lt;=7, Table1[[#This Row],[lead_type]]="Hot"), "High", "Normal")</f>
        <v>Normal</v>
      </c>
      <c r="Q829" s="5" t="str">
        <f>IF(Table1[[#This Row],[customer_rating]]&gt;=9,"Promoter",IF(Table1[[#This Row],[customer_rating]]&gt;=7,"Passive","Detractor"))</f>
        <v>Detractor</v>
      </c>
      <c r="R829" s="5"/>
    </row>
    <row r="830" spans="1:18">
      <c r="A830" t="s">
        <v>856</v>
      </c>
      <c r="B830" t="s">
        <v>14</v>
      </c>
      <c r="C830" t="s">
        <v>15</v>
      </c>
      <c r="D830" s="5">
        <v>45957</v>
      </c>
      <c r="E830" s="5">
        <v>45958</v>
      </c>
      <c r="F830" s="5">
        <v>45961</v>
      </c>
      <c r="G830" s="5">
        <v>45966</v>
      </c>
      <c r="H830" t="s">
        <v>16</v>
      </c>
      <c r="I830" t="s">
        <v>17</v>
      </c>
      <c r="J830" s="5">
        <v>45977</v>
      </c>
      <c r="K830" s="15">
        <f t="shared" si="39"/>
        <v>1</v>
      </c>
      <c r="L830">
        <f t="shared" si="37"/>
        <v>3</v>
      </c>
      <c r="M830">
        <f t="shared" si="38"/>
        <v>5</v>
      </c>
      <c r="N830">
        <v>2</v>
      </c>
      <c r="O830">
        <f>DATEDIF(Table1[[#This Row],[lead_date]], Table1[[#This Row],[delivery_date]], "d")</f>
        <v>9</v>
      </c>
      <c r="P830" s="5" t="str">
        <f>IF(AND(Table1[[#This Row],[customer_rating]]&gt;=8, Table1[[#This Row],[Tat_day]]&lt;=7, Table1[[#This Row],[lead_type]]="Hot"), "High", "Normal")</f>
        <v>Normal</v>
      </c>
      <c r="Q830" s="5" t="str">
        <f>IF(Table1[[#This Row],[customer_rating]]&gt;=9,"Promoter",IF(Table1[[#This Row],[customer_rating]]&gt;=7,"Passive","Detractor"))</f>
        <v>Detractor</v>
      </c>
      <c r="R830" s="5"/>
    </row>
    <row r="831" spans="1:18">
      <c r="A831" t="s">
        <v>857</v>
      </c>
      <c r="B831" t="s">
        <v>19</v>
      </c>
      <c r="C831" t="s">
        <v>15</v>
      </c>
      <c r="D831" s="5">
        <v>45946</v>
      </c>
      <c r="E831" s="5">
        <v>45951</v>
      </c>
      <c r="F831" s="5">
        <v>45953</v>
      </c>
      <c r="G831" s="5">
        <v>45959</v>
      </c>
      <c r="H831" t="s">
        <v>23</v>
      </c>
      <c r="I831" t="s">
        <v>1028</v>
      </c>
      <c r="K831" s="15">
        <f t="shared" si="39"/>
        <v>5</v>
      </c>
      <c r="L831">
        <f t="shared" si="37"/>
        <v>2</v>
      </c>
      <c r="M831">
        <f t="shared" si="38"/>
        <v>6</v>
      </c>
      <c r="O831">
        <f>DATEDIF(Table1[[#This Row],[lead_date]], Table1[[#This Row],[delivery_date]], "d")</f>
        <v>13</v>
      </c>
      <c r="P831" s="5" t="str">
        <f>IF(AND(Table1[[#This Row],[customer_rating]]&gt;=8, Table1[[#This Row],[Tat_day]]&lt;=7, Table1[[#This Row],[lead_type]]="Hot"), "High", "Normal")</f>
        <v>Normal</v>
      </c>
      <c r="Q831" s="5" t="str">
        <f>IF(Table1[[#This Row],[customer_rating]]&gt;=9,"Promoter",IF(Table1[[#This Row],[customer_rating]]&gt;=7,"Passive","Detractor"))</f>
        <v>Detractor</v>
      </c>
      <c r="R831" s="5"/>
    </row>
    <row r="832" spans="1:18">
      <c r="A832" t="s">
        <v>858</v>
      </c>
      <c r="B832" t="s">
        <v>19</v>
      </c>
      <c r="C832" t="s">
        <v>30</v>
      </c>
      <c r="D832" s="5">
        <v>45950</v>
      </c>
      <c r="E832" s="5">
        <v>45953</v>
      </c>
      <c r="F832" s="5">
        <v>45957</v>
      </c>
      <c r="G832" s="5">
        <v>45959</v>
      </c>
      <c r="H832" t="s">
        <v>23</v>
      </c>
      <c r="I832" t="s">
        <v>101</v>
      </c>
      <c r="K832" s="15">
        <f t="shared" si="39"/>
        <v>3</v>
      </c>
      <c r="L832">
        <f t="shared" si="37"/>
        <v>4</v>
      </c>
      <c r="M832">
        <f t="shared" si="38"/>
        <v>2</v>
      </c>
      <c r="O832">
        <f>DATEDIF(Table1[[#This Row],[lead_date]], Table1[[#This Row],[delivery_date]], "d")</f>
        <v>9</v>
      </c>
      <c r="P832" s="5" t="str">
        <f>IF(AND(Table1[[#This Row],[customer_rating]]&gt;=8, Table1[[#This Row],[Tat_day]]&lt;=7, Table1[[#This Row],[lead_type]]="Hot"), "High", "Normal")</f>
        <v>Normal</v>
      </c>
      <c r="Q832" s="5" t="str">
        <f>IF(Table1[[#This Row],[customer_rating]]&gt;=9,"Promoter",IF(Table1[[#This Row],[customer_rating]]&gt;=7,"Passive","Detractor"))</f>
        <v>Detractor</v>
      </c>
      <c r="R832" s="5"/>
    </row>
    <row r="833" spans="1:18">
      <c r="A833" t="s">
        <v>859</v>
      </c>
      <c r="B833" t="s">
        <v>32</v>
      </c>
      <c r="C833" t="s">
        <v>30</v>
      </c>
      <c r="D833" s="5">
        <v>45944</v>
      </c>
      <c r="E833" s="5">
        <v>45946</v>
      </c>
      <c r="F833" s="5">
        <v>45951</v>
      </c>
      <c r="G833" s="5">
        <v>45958</v>
      </c>
      <c r="H833" t="s">
        <v>16</v>
      </c>
      <c r="I833" t="s">
        <v>17</v>
      </c>
      <c r="J833" s="5">
        <v>45971</v>
      </c>
      <c r="K833" s="15">
        <f t="shared" si="39"/>
        <v>2</v>
      </c>
      <c r="L833">
        <f t="shared" si="37"/>
        <v>5</v>
      </c>
      <c r="M833">
        <f t="shared" si="38"/>
        <v>7</v>
      </c>
      <c r="N833">
        <v>9</v>
      </c>
      <c r="O833">
        <f>DATEDIF(Table1[[#This Row],[lead_date]], Table1[[#This Row],[delivery_date]], "d")</f>
        <v>14</v>
      </c>
      <c r="P833" s="5" t="str">
        <f>IF(AND(Table1[[#This Row],[customer_rating]]&gt;=8, Table1[[#This Row],[Tat_day]]&lt;=7, Table1[[#This Row],[lead_type]]="Hot"), "High", "Normal")</f>
        <v>Normal</v>
      </c>
      <c r="Q833" s="5" t="str">
        <f>IF(Table1[[#This Row],[customer_rating]]&gt;=9,"Promoter",IF(Table1[[#This Row],[customer_rating]]&gt;=7,"Passive","Detractor"))</f>
        <v>Promoter</v>
      </c>
      <c r="R833" s="5"/>
    </row>
    <row r="834" spans="1:18">
      <c r="A834" t="s">
        <v>860</v>
      </c>
      <c r="B834" t="s">
        <v>21</v>
      </c>
      <c r="C834" t="s">
        <v>30</v>
      </c>
      <c r="D834" s="5">
        <v>45961</v>
      </c>
      <c r="E834" s="5">
        <v>45966</v>
      </c>
      <c r="F834" s="5">
        <v>45971</v>
      </c>
      <c r="G834" s="5">
        <v>45975</v>
      </c>
      <c r="H834" t="s">
        <v>16</v>
      </c>
      <c r="I834" t="s">
        <v>17</v>
      </c>
      <c r="J834" s="5">
        <v>45998</v>
      </c>
      <c r="K834" s="15">
        <f t="shared" si="39"/>
        <v>5</v>
      </c>
      <c r="L834">
        <f t="shared" si="37"/>
        <v>5</v>
      </c>
      <c r="M834">
        <f t="shared" si="38"/>
        <v>4</v>
      </c>
      <c r="N834">
        <v>9</v>
      </c>
      <c r="O834">
        <f>DATEDIF(Table1[[#This Row],[lead_date]], Table1[[#This Row],[delivery_date]], "d")</f>
        <v>14</v>
      </c>
      <c r="P834" s="5" t="str">
        <f>IF(AND(Table1[[#This Row],[customer_rating]]&gt;=8, Table1[[#This Row],[Tat_day]]&lt;=7, Table1[[#This Row],[lead_type]]="Hot"), "High", "Normal")</f>
        <v>Normal</v>
      </c>
      <c r="Q834" s="5" t="str">
        <f>IF(Table1[[#This Row],[customer_rating]]&gt;=9,"Promoter",IF(Table1[[#This Row],[customer_rating]]&gt;=7,"Passive","Detractor"))</f>
        <v>Promoter</v>
      </c>
      <c r="R834" s="5"/>
    </row>
    <row r="835" spans="1:18">
      <c r="A835" t="s">
        <v>861</v>
      </c>
      <c r="B835" t="s">
        <v>19</v>
      </c>
      <c r="C835" t="s">
        <v>15</v>
      </c>
      <c r="D835" s="5">
        <v>45961</v>
      </c>
      <c r="E835" s="5">
        <v>45965</v>
      </c>
      <c r="F835" s="5">
        <v>45967</v>
      </c>
      <c r="G835" s="5">
        <v>45971</v>
      </c>
      <c r="H835" t="s">
        <v>16</v>
      </c>
      <c r="I835" t="s">
        <v>17</v>
      </c>
      <c r="J835" s="5">
        <v>45995</v>
      </c>
      <c r="K835" s="15">
        <f t="shared" si="39"/>
        <v>4</v>
      </c>
      <c r="L835">
        <f t="shared" ref="L835:L898" si="40">IF(OR(E835="", F835=""), "", INT(F835 - E835))</f>
        <v>2</v>
      </c>
      <c r="M835">
        <f t="shared" ref="M835:M898" si="41">IF(OR(F835="", G835=""), "", INT(G835 - F835))</f>
        <v>4</v>
      </c>
      <c r="N835">
        <v>6</v>
      </c>
      <c r="O835">
        <f>DATEDIF(Table1[[#This Row],[lead_date]], Table1[[#This Row],[delivery_date]], "d")</f>
        <v>10</v>
      </c>
      <c r="P835" s="5" t="str">
        <f>IF(AND(Table1[[#This Row],[customer_rating]]&gt;=8, Table1[[#This Row],[Tat_day]]&lt;=7, Table1[[#This Row],[lead_type]]="Hot"), "High", "Normal")</f>
        <v>Normal</v>
      </c>
      <c r="Q835" s="5" t="str">
        <f>IF(Table1[[#This Row],[customer_rating]]&gt;=9,"Promoter",IF(Table1[[#This Row],[customer_rating]]&gt;=7,"Passive","Detractor"))</f>
        <v>Detractor</v>
      </c>
      <c r="R835" s="5"/>
    </row>
    <row r="836" spans="1:18">
      <c r="A836" t="s">
        <v>862</v>
      </c>
      <c r="B836" t="s">
        <v>21</v>
      </c>
      <c r="C836" t="s">
        <v>30</v>
      </c>
      <c r="D836" s="5">
        <v>45939</v>
      </c>
      <c r="E836" s="5">
        <v>45944</v>
      </c>
      <c r="F836" s="5">
        <v>45948</v>
      </c>
      <c r="G836" s="5">
        <v>45951</v>
      </c>
      <c r="H836" t="s">
        <v>16</v>
      </c>
      <c r="I836" t="s">
        <v>17</v>
      </c>
      <c r="J836" s="5">
        <v>45973</v>
      </c>
      <c r="K836" s="15">
        <f t="shared" si="39"/>
        <v>5</v>
      </c>
      <c r="L836">
        <f t="shared" si="40"/>
        <v>4</v>
      </c>
      <c r="M836">
        <f t="shared" si="41"/>
        <v>3</v>
      </c>
      <c r="N836">
        <v>8</v>
      </c>
      <c r="O836">
        <f>DATEDIF(Table1[[#This Row],[lead_date]], Table1[[#This Row],[delivery_date]], "d")</f>
        <v>12</v>
      </c>
      <c r="P836" s="5" t="str">
        <f>IF(AND(Table1[[#This Row],[customer_rating]]&gt;=8, Table1[[#This Row],[Tat_day]]&lt;=7, Table1[[#This Row],[lead_type]]="Hot"), "High", "Normal")</f>
        <v>Normal</v>
      </c>
      <c r="Q836" s="5" t="str">
        <f>IF(Table1[[#This Row],[customer_rating]]&gt;=9,"Promoter",IF(Table1[[#This Row],[customer_rating]]&gt;=7,"Passive","Detractor"))</f>
        <v>Passive</v>
      </c>
      <c r="R836" s="5"/>
    </row>
    <row r="837" spans="1:18">
      <c r="A837" t="s">
        <v>863</v>
      </c>
      <c r="B837" t="s">
        <v>32</v>
      </c>
      <c r="C837" t="s">
        <v>15</v>
      </c>
      <c r="D837" s="5">
        <v>45932</v>
      </c>
      <c r="E837" s="5">
        <v>45933</v>
      </c>
      <c r="F837" s="5">
        <v>45934</v>
      </c>
      <c r="G837" s="5">
        <v>45936</v>
      </c>
      <c r="H837" t="s">
        <v>23</v>
      </c>
      <c r="I837" t="s">
        <v>33</v>
      </c>
      <c r="K837" s="15">
        <f t="shared" si="39"/>
        <v>1</v>
      </c>
      <c r="L837">
        <f t="shared" si="40"/>
        <v>1</v>
      </c>
      <c r="M837">
        <f t="shared" si="41"/>
        <v>2</v>
      </c>
      <c r="O837">
        <f>DATEDIF(Table1[[#This Row],[lead_date]], Table1[[#This Row],[delivery_date]], "d")</f>
        <v>4</v>
      </c>
      <c r="P837" s="5" t="str">
        <f>IF(AND(Table1[[#This Row],[customer_rating]]&gt;=8, Table1[[#This Row],[Tat_day]]&lt;=7, Table1[[#This Row],[lead_type]]="Hot"), "High", "Normal")</f>
        <v>Normal</v>
      </c>
      <c r="Q837" s="5" t="str">
        <f>IF(Table1[[#This Row],[customer_rating]]&gt;=9,"Promoter",IF(Table1[[#This Row],[customer_rating]]&gt;=7,"Passive","Detractor"))</f>
        <v>Detractor</v>
      </c>
      <c r="R837" s="5"/>
    </row>
    <row r="838" spans="1:18">
      <c r="A838" t="s">
        <v>864</v>
      </c>
      <c r="B838" t="s">
        <v>32</v>
      </c>
      <c r="C838" t="s">
        <v>15</v>
      </c>
      <c r="D838" s="5">
        <v>45953</v>
      </c>
      <c r="E838" s="5">
        <v>45957</v>
      </c>
      <c r="F838" s="5">
        <v>45959</v>
      </c>
      <c r="G838" s="5">
        <v>45964</v>
      </c>
      <c r="H838" t="s">
        <v>16</v>
      </c>
      <c r="I838" t="s">
        <v>17</v>
      </c>
      <c r="J838" s="5">
        <v>45977</v>
      </c>
      <c r="K838" s="15">
        <f t="shared" si="39"/>
        <v>4</v>
      </c>
      <c r="L838">
        <f t="shared" si="40"/>
        <v>2</v>
      </c>
      <c r="M838">
        <f t="shared" si="41"/>
        <v>5</v>
      </c>
      <c r="N838">
        <v>2</v>
      </c>
      <c r="O838">
        <f>DATEDIF(Table1[[#This Row],[lead_date]], Table1[[#This Row],[delivery_date]], "d")</f>
        <v>11</v>
      </c>
      <c r="P838" s="5" t="str">
        <f>IF(AND(Table1[[#This Row],[customer_rating]]&gt;=8, Table1[[#This Row],[Tat_day]]&lt;=7, Table1[[#This Row],[lead_type]]="Hot"), "High", "Normal")</f>
        <v>Normal</v>
      </c>
      <c r="Q838" s="5" t="str">
        <f>IF(Table1[[#This Row],[customer_rating]]&gt;=9,"Promoter",IF(Table1[[#This Row],[customer_rating]]&gt;=7,"Passive","Detractor"))</f>
        <v>Detractor</v>
      </c>
      <c r="R838" s="5"/>
    </row>
    <row r="839" spans="1:18">
      <c r="A839" t="s">
        <v>865</v>
      </c>
      <c r="B839" t="s">
        <v>14</v>
      </c>
      <c r="C839" t="s">
        <v>15</v>
      </c>
      <c r="D839" s="5">
        <v>45942</v>
      </c>
      <c r="E839" s="5">
        <v>45947</v>
      </c>
      <c r="F839" s="5">
        <v>45950</v>
      </c>
      <c r="G839" s="5">
        <v>45955</v>
      </c>
      <c r="H839" t="s">
        <v>16</v>
      </c>
      <c r="I839" t="s">
        <v>17</v>
      </c>
      <c r="J839" s="5">
        <v>45982</v>
      </c>
      <c r="K839" s="15">
        <f t="shared" si="39"/>
        <v>5</v>
      </c>
      <c r="L839">
        <f t="shared" si="40"/>
        <v>3</v>
      </c>
      <c r="M839">
        <f t="shared" si="41"/>
        <v>5</v>
      </c>
      <c r="N839">
        <v>6</v>
      </c>
      <c r="O839">
        <f>DATEDIF(Table1[[#This Row],[lead_date]], Table1[[#This Row],[delivery_date]], "d")</f>
        <v>13</v>
      </c>
      <c r="P839" s="5" t="str">
        <f>IF(AND(Table1[[#This Row],[customer_rating]]&gt;=8, Table1[[#This Row],[Tat_day]]&lt;=7, Table1[[#This Row],[lead_type]]="Hot"), "High", "Normal")</f>
        <v>Normal</v>
      </c>
      <c r="Q839" s="5" t="str">
        <f>IF(Table1[[#This Row],[customer_rating]]&gt;=9,"Promoter",IF(Table1[[#This Row],[customer_rating]]&gt;=7,"Passive","Detractor"))</f>
        <v>Detractor</v>
      </c>
      <c r="R839" s="5"/>
    </row>
    <row r="840" spans="1:18">
      <c r="A840" t="s">
        <v>866</v>
      </c>
      <c r="B840" t="s">
        <v>19</v>
      </c>
      <c r="C840" t="s">
        <v>30</v>
      </c>
      <c r="D840" s="5">
        <v>45937</v>
      </c>
      <c r="E840" s="5">
        <v>45940</v>
      </c>
      <c r="F840" s="5">
        <v>45941</v>
      </c>
      <c r="G840" s="5">
        <v>45947</v>
      </c>
      <c r="H840" t="s">
        <v>16</v>
      </c>
      <c r="I840" t="s">
        <v>17</v>
      </c>
      <c r="J840" s="5">
        <v>45965</v>
      </c>
      <c r="K840" s="15">
        <f t="shared" si="39"/>
        <v>3</v>
      </c>
      <c r="L840">
        <f t="shared" si="40"/>
        <v>1</v>
      </c>
      <c r="M840">
        <f t="shared" si="41"/>
        <v>6</v>
      </c>
      <c r="N840">
        <v>6</v>
      </c>
      <c r="O840">
        <f>DATEDIF(Table1[[#This Row],[lead_date]], Table1[[#This Row],[delivery_date]], "d")</f>
        <v>10</v>
      </c>
      <c r="P840" s="5" t="str">
        <f>IF(AND(Table1[[#This Row],[customer_rating]]&gt;=8, Table1[[#This Row],[Tat_day]]&lt;=7, Table1[[#This Row],[lead_type]]="Hot"), "High", "Normal")</f>
        <v>Normal</v>
      </c>
      <c r="Q840" s="5" t="str">
        <f>IF(Table1[[#This Row],[customer_rating]]&gt;=9,"Promoter",IF(Table1[[#This Row],[customer_rating]]&gt;=7,"Passive","Detractor"))</f>
        <v>Detractor</v>
      </c>
      <c r="R840" s="5"/>
    </row>
    <row r="841" spans="1:18">
      <c r="A841" t="s">
        <v>867</v>
      </c>
      <c r="B841" t="s">
        <v>21</v>
      </c>
      <c r="C841" t="s">
        <v>30</v>
      </c>
      <c r="D841" s="5">
        <v>45945</v>
      </c>
      <c r="E841" s="5">
        <v>45948</v>
      </c>
      <c r="F841" s="5">
        <v>45952</v>
      </c>
      <c r="G841" s="5">
        <v>45959</v>
      </c>
      <c r="H841" t="s">
        <v>16</v>
      </c>
      <c r="I841" t="s">
        <v>17</v>
      </c>
      <c r="J841" s="5">
        <v>45984</v>
      </c>
      <c r="K841" s="15">
        <f t="shared" ref="K841:K904" si="42">IF(OR(D841="",E841=""),"",INT(E841-D841))</f>
        <v>3</v>
      </c>
      <c r="L841">
        <f t="shared" si="40"/>
        <v>4</v>
      </c>
      <c r="M841">
        <f t="shared" si="41"/>
        <v>7</v>
      </c>
      <c r="N841">
        <v>9</v>
      </c>
      <c r="O841">
        <f>DATEDIF(Table1[[#This Row],[lead_date]], Table1[[#This Row],[delivery_date]], "d")</f>
        <v>14</v>
      </c>
      <c r="P841" s="5" t="str">
        <f>IF(AND(Table1[[#This Row],[customer_rating]]&gt;=8, Table1[[#This Row],[Tat_day]]&lt;=7, Table1[[#This Row],[lead_type]]="Hot"), "High", "Normal")</f>
        <v>Normal</v>
      </c>
      <c r="Q841" s="5" t="str">
        <f>IF(Table1[[#This Row],[customer_rating]]&gt;=9,"Promoter",IF(Table1[[#This Row],[customer_rating]]&gt;=7,"Passive","Detractor"))</f>
        <v>Promoter</v>
      </c>
      <c r="R841" s="5"/>
    </row>
    <row r="842" spans="1:18">
      <c r="A842" t="s">
        <v>868</v>
      </c>
      <c r="B842" t="s">
        <v>14</v>
      </c>
      <c r="C842" t="s">
        <v>22</v>
      </c>
      <c r="D842" s="5">
        <v>45945</v>
      </c>
      <c r="H842" t="s">
        <v>23</v>
      </c>
      <c r="I842" t="s">
        <v>33</v>
      </c>
      <c r="K842" s="15" t="str">
        <f t="shared" si="42"/>
        <v/>
      </c>
      <c r="L842" t="str">
        <f t="shared" si="40"/>
        <v/>
      </c>
      <c r="M842" t="str">
        <f t="shared" si="41"/>
        <v/>
      </c>
      <c r="O842"/>
      <c r="P842" s="5" t="str">
        <f>IF(AND(Table1[[#This Row],[customer_rating]]&gt;=8, Table1[[#This Row],[Tat_day]]&lt;=7, Table1[[#This Row],[lead_type]]="Hot"), "High", "Normal")</f>
        <v>Normal</v>
      </c>
      <c r="Q842" s="5" t="str">
        <f>IF(Table1[[#This Row],[customer_rating]]&gt;=9,"Promoter",IF(Table1[[#This Row],[customer_rating]]&gt;=7,"Passive","Detractor"))</f>
        <v>Detractor</v>
      </c>
      <c r="R842" s="5"/>
    </row>
    <row r="843" spans="1:18">
      <c r="A843" t="s">
        <v>869</v>
      </c>
      <c r="B843" t="s">
        <v>19</v>
      </c>
      <c r="C843" t="s">
        <v>15</v>
      </c>
      <c r="D843" s="5">
        <v>45961</v>
      </c>
      <c r="E843" s="5">
        <v>45965</v>
      </c>
      <c r="F843" s="5">
        <v>45968</v>
      </c>
      <c r="G843" s="5">
        <v>45974</v>
      </c>
      <c r="H843" t="s">
        <v>16</v>
      </c>
      <c r="I843" t="s">
        <v>17</v>
      </c>
      <c r="J843" s="5">
        <v>45988</v>
      </c>
      <c r="K843" s="15">
        <f t="shared" si="42"/>
        <v>4</v>
      </c>
      <c r="L843">
        <f t="shared" si="40"/>
        <v>3</v>
      </c>
      <c r="M843">
        <f t="shared" si="41"/>
        <v>6</v>
      </c>
      <c r="N843">
        <v>9</v>
      </c>
      <c r="O843">
        <f>DATEDIF(Table1[[#This Row],[lead_date]], Table1[[#This Row],[delivery_date]], "d")</f>
        <v>13</v>
      </c>
      <c r="P843" s="5" t="str">
        <f>IF(AND(Table1[[#This Row],[customer_rating]]&gt;=8, Table1[[#This Row],[Tat_day]]&lt;=7, Table1[[#This Row],[lead_type]]="Hot"), "High", "Normal")</f>
        <v>Normal</v>
      </c>
      <c r="Q843" s="5" t="str">
        <f>IF(Table1[[#This Row],[customer_rating]]&gt;=9,"Promoter",IF(Table1[[#This Row],[customer_rating]]&gt;=7,"Passive","Detractor"))</f>
        <v>Promoter</v>
      </c>
      <c r="R843" s="5"/>
    </row>
    <row r="844" spans="1:18">
      <c r="A844" t="s">
        <v>870</v>
      </c>
      <c r="B844" t="s">
        <v>14</v>
      </c>
      <c r="C844" t="s">
        <v>15</v>
      </c>
      <c r="D844" s="5">
        <v>45938</v>
      </c>
      <c r="E844" s="5">
        <v>45940</v>
      </c>
      <c r="F844" s="5">
        <v>45945</v>
      </c>
      <c r="G844" s="5">
        <v>45948</v>
      </c>
      <c r="H844" t="s">
        <v>16</v>
      </c>
      <c r="I844" t="s">
        <v>17</v>
      </c>
      <c r="J844" s="5">
        <v>45964</v>
      </c>
      <c r="K844" s="15">
        <f t="shared" si="42"/>
        <v>2</v>
      </c>
      <c r="L844">
        <f t="shared" si="40"/>
        <v>5</v>
      </c>
      <c r="M844">
        <f t="shared" si="41"/>
        <v>3</v>
      </c>
      <c r="N844">
        <v>0</v>
      </c>
      <c r="O844">
        <f>DATEDIF(Table1[[#This Row],[lead_date]], Table1[[#This Row],[delivery_date]], "d")</f>
        <v>10</v>
      </c>
      <c r="P844" s="5" t="str">
        <f>IF(AND(Table1[[#This Row],[customer_rating]]&gt;=8, Table1[[#This Row],[Tat_day]]&lt;=7, Table1[[#This Row],[lead_type]]="Hot"), "High", "Normal")</f>
        <v>Normal</v>
      </c>
      <c r="Q844" s="5" t="str">
        <f>IF(Table1[[#This Row],[customer_rating]]&gt;=9,"Promoter",IF(Table1[[#This Row],[customer_rating]]&gt;=7,"Passive","Detractor"))</f>
        <v>Detractor</v>
      </c>
      <c r="R844" s="5"/>
    </row>
    <row r="845" spans="1:18">
      <c r="A845" t="s">
        <v>871</v>
      </c>
      <c r="B845" t="s">
        <v>32</v>
      </c>
      <c r="C845" t="s">
        <v>30</v>
      </c>
      <c r="D845" s="5">
        <v>45958</v>
      </c>
      <c r="E845" s="5">
        <v>45962</v>
      </c>
      <c r="F845" s="5">
        <v>45966</v>
      </c>
      <c r="G845" s="5">
        <v>45968</v>
      </c>
      <c r="H845" t="s">
        <v>23</v>
      </c>
      <c r="I845" t="s">
        <v>33</v>
      </c>
      <c r="K845" s="15">
        <f t="shared" si="42"/>
        <v>4</v>
      </c>
      <c r="L845">
        <f t="shared" si="40"/>
        <v>4</v>
      </c>
      <c r="M845">
        <f t="shared" si="41"/>
        <v>2</v>
      </c>
      <c r="O845">
        <f>DATEDIF(Table1[[#This Row],[lead_date]], Table1[[#This Row],[delivery_date]], "d")</f>
        <v>10</v>
      </c>
      <c r="P845" s="5" t="str">
        <f>IF(AND(Table1[[#This Row],[customer_rating]]&gt;=8, Table1[[#This Row],[Tat_day]]&lt;=7, Table1[[#This Row],[lead_type]]="Hot"), "High", "Normal")</f>
        <v>Normal</v>
      </c>
      <c r="Q845" s="5" t="str">
        <f>IF(Table1[[#This Row],[customer_rating]]&gt;=9,"Promoter",IF(Table1[[#This Row],[customer_rating]]&gt;=7,"Passive","Detractor"))</f>
        <v>Detractor</v>
      </c>
      <c r="R845" s="5"/>
    </row>
    <row r="846" spans="1:18">
      <c r="A846" t="s">
        <v>872</v>
      </c>
      <c r="B846" t="s">
        <v>19</v>
      </c>
      <c r="C846" t="s">
        <v>22</v>
      </c>
      <c r="D846" s="5">
        <v>45942</v>
      </c>
      <c r="H846" t="s">
        <v>23</v>
      </c>
      <c r="I846" t="s">
        <v>1028</v>
      </c>
      <c r="K846" s="15" t="str">
        <f t="shared" si="42"/>
        <v/>
      </c>
      <c r="L846" t="str">
        <f t="shared" si="40"/>
        <v/>
      </c>
      <c r="M846" t="str">
        <f t="shared" si="41"/>
        <v/>
      </c>
      <c r="O846"/>
      <c r="P846" s="5" t="str">
        <f>IF(AND(Table1[[#This Row],[customer_rating]]&gt;=8, Table1[[#This Row],[Tat_day]]&lt;=7, Table1[[#This Row],[lead_type]]="Hot"), "High", "Normal")</f>
        <v>Normal</v>
      </c>
      <c r="Q846" s="5" t="str">
        <f>IF(Table1[[#This Row],[customer_rating]]&gt;=9,"Promoter",IF(Table1[[#This Row],[customer_rating]]&gt;=7,"Passive","Detractor"))</f>
        <v>Detractor</v>
      </c>
      <c r="R846" s="5"/>
    </row>
    <row r="847" spans="1:18">
      <c r="A847" t="s">
        <v>873</v>
      </c>
      <c r="B847" t="s">
        <v>14</v>
      </c>
      <c r="C847" t="s">
        <v>15</v>
      </c>
      <c r="D847" s="5">
        <v>45934</v>
      </c>
      <c r="E847" s="5">
        <v>45937</v>
      </c>
      <c r="F847" s="5">
        <v>45940</v>
      </c>
      <c r="G847" s="5">
        <v>45945</v>
      </c>
      <c r="H847" t="s">
        <v>16</v>
      </c>
      <c r="I847" t="s">
        <v>17</v>
      </c>
      <c r="J847" s="5">
        <v>45975</v>
      </c>
      <c r="K847" s="15">
        <f t="shared" si="42"/>
        <v>3</v>
      </c>
      <c r="L847">
        <f t="shared" si="40"/>
        <v>3</v>
      </c>
      <c r="M847">
        <f t="shared" si="41"/>
        <v>5</v>
      </c>
      <c r="N847">
        <v>7</v>
      </c>
      <c r="O847">
        <f>DATEDIF(Table1[[#This Row],[lead_date]], Table1[[#This Row],[delivery_date]], "d")</f>
        <v>11</v>
      </c>
      <c r="P847" s="5" t="str">
        <f>IF(AND(Table1[[#This Row],[customer_rating]]&gt;=8, Table1[[#This Row],[Tat_day]]&lt;=7, Table1[[#This Row],[lead_type]]="Hot"), "High", "Normal")</f>
        <v>Normal</v>
      </c>
      <c r="Q847" s="5" t="str">
        <f>IF(Table1[[#This Row],[customer_rating]]&gt;=9,"Promoter",IF(Table1[[#This Row],[customer_rating]]&gt;=7,"Passive","Detractor"))</f>
        <v>Passive</v>
      </c>
      <c r="R847" s="5"/>
    </row>
    <row r="848" spans="1:18">
      <c r="A848" t="s">
        <v>874</v>
      </c>
      <c r="B848" t="s">
        <v>14</v>
      </c>
      <c r="C848" t="s">
        <v>15</v>
      </c>
      <c r="D848" s="5">
        <v>45952</v>
      </c>
      <c r="E848" s="5">
        <v>45956</v>
      </c>
      <c r="F848" s="5">
        <v>45960</v>
      </c>
      <c r="G848" s="5">
        <v>45962</v>
      </c>
      <c r="H848" t="s">
        <v>16</v>
      </c>
      <c r="I848" t="s">
        <v>17</v>
      </c>
      <c r="J848" s="5">
        <v>45972</v>
      </c>
      <c r="K848" s="15">
        <f t="shared" si="42"/>
        <v>4</v>
      </c>
      <c r="L848">
        <f t="shared" si="40"/>
        <v>4</v>
      </c>
      <c r="M848">
        <f t="shared" si="41"/>
        <v>2</v>
      </c>
      <c r="N848">
        <v>3</v>
      </c>
      <c r="O848">
        <f>DATEDIF(Table1[[#This Row],[lead_date]], Table1[[#This Row],[delivery_date]], "d")</f>
        <v>10</v>
      </c>
      <c r="P848" s="5" t="str">
        <f>IF(AND(Table1[[#This Row],[customer_rating]]&gt;=8, Table1[[#This Row],[Tat_day]]&lt;=7, Table1[[#This Row],[lead_type]]="Hot"), "High", "Normal")</f>
        <v>Normal</v>
      </c>
      <c r="Q848" s="5" t="str">
        <f>IF(Table1[[#This Row],[customer_rating]]&gt;=9,"Promoter",IF(Table1[[#This Row],[customer_rating]]&gt;=7,"Passive","Detractor"))</f>
        <v>Detractor</v>
      </c>
      <c r="R848" s="5"/>
    </row>
    <row r="849" spans="1:18">
      <c r="A849" t="s">
        <v>875</v>
      </c>
      <c r="B849" t="s">
        <v>21</v>
      </c>
      <c r="C849" t="s">
        <v>22</v>
      </c>
      <c r="D849" s="5">
        <v>45942</v>
      </c>
      <c r="H849" t="s">
        <v>23</v>
      </c>
      <c r="I849" t="s">
        <v>63</v>
      </c>
      <c r="K849" s="15" t="str">
        <f t="shared" si="42"/>
        <v/>
      </c>
      <c r="L849" t="str">
        <f t="shared" si="40"/>
        <v/>
      </c>
      <c r="M849" t="str">
        <f t="shared" si="41"/>
        <v/>
      </c>
      <c r="O849"/>
      <c r="P849" s="5" t="str">
        <f>IF(AND(Table1[[#This Row],[customer_rating]]&gt;=8, Table1[[#This Row],[Tat_day]]&lt;=7, Table1[[#This Row],[lead_type]]="Hot"), "High", "Normal")</f>
        <v>Normal</v>
      </c>
      <c r="Q849" s="5" t="str">
        <f>IF(Table1[[#This Row],[customer_rating]]&gt;=9,"Promoter",IF(Table1[[#This Row],[customer_rating]]&gt;=7,"Passive","Detractor"))</f>
        <v>Detractor</v>
      </c>
      <c r="R849" s="5"/>
    </row>
    <row r="850" spans="1:18">
      <c r="A850" t="s">
        <v>876</v>
      </c>
      <c r="B850" t="s">
        <v>14</v>
      </c>
      <c r="C850" t="s">
        <v>30</v>
      </c>
      <c r="D850" s="5">
        <v>45948</v>
      </c>
      <c r="E850" s="5">
        <v>45949</v>
      </c>
      <c r="F850" s="5">
        <v>45952</v>
      </c>
      <c r="G850" s="5">
        <v>45955</v>
      </c>
      <c r="H850" t="s">
        <v>16</v>
      </c>
      <c r="I850" t="s">
        <v>17</v>
      </c>
      <c r="J850" s="5">
        <v>45974</v>
      </c>
      <c r="K850" s="15">
        <f t="shared" si="42"/>
        <v>1</v>
      </c>
      <c r="L850">
        <f t="shared" si="40"/>
        <v>3</v>
      </c>
      <c r="M850">
        <f t="shared" si="41"/>
        <v>3</v>
      </c>
      <c r="N850">
        <v>5</v>
      </c>
      <c r="O850">
        <f>DATEDIF(Table1[[#This Row],[lead_date]], Table1[[#This Row],[delivery_date]], "d")</f>
        <v>7</v>
      </c>
      <c r="P850" s="5" t="str">
        <f>IF(AND(Table1[[#This Row],[customer_rating]]&gt;=8, Table1[[#This Row],[Tat_day]]&lt;=7, Table1[[#This Row],[lead_type]]="Hot"), "High", "Normal")</f>
        <v>Normal</v>
      </c>
      <c r="Q850" s="5" t="str">
        <f>IF(Table1[[#This Row],[customer_rating]]&gt;=9,"Promoter",IF(Table1[[#This Row],[customer_rating]]&gt;=7,"Passive","Detractor"))</f>
        <v>Detractor</v>
      </c>
      <c r="R850" s="5"/>
    </row>
    <row r="851" spans="1:18">
      <c r="A851" t="s">
        <v>877</v>
      </c>
      <c r="B851" t="s">
        <v>19</v>
      </c>
      <c r="C851" t="s">
        <v>15</v>
      </c>
      <c r="D851" s="5">
        <v>45959</v>
      </c>
      <c r="E851" s="5">
        <v>45960</v>
      </c>
      <c r="F851" s="5">
        <v>45964</v>
      </c>
      <c r="G851" s="5">
        <v>45966</v>
      </c>
      <c r="H851" t="s">
        <v>16</v>
      </c>
      <c r="I851" t="s">
        <v>17</v>
      </c>
      <c r="J851" s="5">
        <v>45989</v>
      </c>
      <c r="K851" s="15">
        <f t="shared" si="42"/>
        <v>1</v>
      </c>
      <c r="L851">
        <f t="shared" si="40"/>
        <v>4</v>
      </c>
      <c r="M851">
        <f t="shared" si="41"/>
        <v>2</v>
      </c>
      <c r="N851">
        <v>6</v>
      </c>
      <c r="O851">
        <f>DATEDIF(Table1[[#This Row],[lead_date]], Table1[[#This Row],[delivery_date]], "d")</f>
        <v>7</v>
      </c>
      <c r="P851" s="5" t="str">
        <f>IF(AND(Table1[[#This Row],[customer_rating]]&gt;=8, Table1[[#This Row],[Tat_day]]&lt;=7, Table1[[#This Row],[lead_type]]="Hot"), "High", "Normal")</f>
        <v>Normal</v>
      </c>
      <c r="Q851" s="5" t="str">
        <f>IF(Table1[[#This Row],[customer_rating]]&gt;=9,"Promoter",IF(Table1[[#This Row],[customer_rating]]&gt;=7,"Passive","Detractor"))</f>
        <v>Detractor</v>
      </c>
      <c r="R851" s="5"/>
    </row>
    <row r="852" spans="1:18">
      <c r="A852" t="s">
        <v>878</v>
      </c>
      <c r="B852" t="s">
        <v>19</v>
      </c>
      <c r="C852" t="s">
        <v>15</v>
      </c>
      <c r="D852" s="5">
        <v>45951</v>
      </c>
      <c r="E852" s="5">
        <v>45953</v>
      </c>
      <c r="F852" s="5">
        <v>45958</v>
      </c>
      <c r="G852" s="5">
        <v>45960</v>
      </c>
      <c r="H852" t="s">
        <v>16</v>
      </c>
      <c r="I852" t="s">
        <v>17</v>
      </c>
      <c r="J852" s="5">
        <v>45973</v>
      </c>
      <c r="K852" s="15">
        <f t="shared" si="42"/>
        <v>2</v>
      </c>
      <c r="L852">
        <f t="shared" si="40"/>
        <v>5</v>
      </c>
      <c r="M852">
        <f t="shared" si="41"/>
        <v>2</v>
      </c>
      <c r="N852">
        <v>4</v>
      </c>
      <c r="O852">
        <f>DATEDIF(Table1[[#This Row],[lead_date]], Table1[[#This Row],[delivery_date]], "d")</f>
        <v>9</v>
      </c>
      <c r="P852" s="5" t="str">
        <f>IF(AND(Table1[[#This Row],[customer_rating]]&gt;=8, Table1[[#This Row],[Tat_day]]&lt;=7, Table1[[#This Row],[lead_type]]="Hot"), "High", "Normal")</f>
        <v>Normal</v>
      </c>
      <c r="Q852" s="5" t="str">
        <f>IF(Table1[[#This Row],[customer_rating]]&gt;=9,"Promoter",IF(Table1[[#This Row],[customer_rating]]&gt;=7,"Passive","Detractor"))</f>
        <v>Detractor</v>
      </c>
      <c r="R852" s="5"/>
    </row>
    <row r="853" spans="1:18">
      <c r="A853" t="s">
        <v>879</v>
      </c>
      <c r="B853" t="s">
        <v>21</v>
      </c>
      <c r="C853" t="s">
        <v>30</v>
      </c>
      <c r="D853" s="5">
        <v>45942</v>
      </c>
      <c r="E853" s="5">
        <v>45946</v>
      </c>
      <c r="F853" s="5">
        <v>45948</v>
      </c>
      <c r="G853" s="5">
        <v>45950</v>
      </c>
      <c r="H853" t="s">
        <v>16</v>
      </c>
      <c r="I853" t="s">
        <v>17</v>
      </c>
      <c r="J853" s="5">
        <v>45976</v>
      </c>
      <c r="K853" s="15">
        <f t="shared" si="42"/>
        <v>4</v>
      </c>
      <c r="L853">
        <f t="shared" si="40"/>
        <v>2</v>
      </c>
      <c r="M853">
        <f t="shared" si="41"/>
        <v>2</v>
      </c>
      <c r="N853">
        <v>9</v>
      </c>
      <c r="O853">
        <f>DATEDIF(Table1[[#This Row],[lead_date]], Table1[[#This Row],[delivery_date]], "d")</f>
        <v>8</v>
      </c>
      <c r="P853" s="5" t="str">
        <f>IF(AND(Table1[[#This Row],[customer_rating]]&gt;=8, Table1[[#This Row],[Tat_day]]&lt;=7, Table1[[#This Row],[lead_type]]="Hot"), "High", "Normal")</f>
        <v>Normal</v>
      </c>
      <c r="Q853" s="5" t="str">
        <f>IF(Table1[[#This Row],[customer_rating]]&gt;=9,"Promoter",IF(Table1[[#This Row],[customer_rating]]&gt;=7,"Passive","Detractor"))</f>
        <v>Promoter</v>
      </c>
      <c r="R853" s="5"/>
    </row>
    <row r="854" spans="1:18">
      <c r="A854" t="s">
        <v>880</v>
      </c>
      <c r="B854" t="s">
        <v>19</v>
      </c>
      <c r="C854" t="s">
        <v>22</v>
      </c>
      <c r="D854" s="5">
        <v>45932</v>
      </c>
      <c r="H854" t="s">
        <v>23</v>
      </c>
      <c r="I854" t="s">
        <v>101</v>
      </c>
      <c r="K854" s="15" t="str">
        <f t="shared" si="42"/>
        <v/>
      </c>
      <c r="L854" t="str">
        <f t="shared" si="40"/>
        <v/>
      </c>
      <c r="M854" t="str">
        <f t="shared" si="41"/>
        <v/>
      </c>
      <c r="O854"/>
      <c r="P854" s="5" t="str">
        <f>IF(AND(Table1[[#This Row],[customer_rating]]&gt;=8, Table1[[#This Row],[Tat_day]]&lt;=7, Table1[[#This Row],[lead_type]]="Hot"), "High", "Normal")</f>
        <v>Normal</v>
      </c>
      <c r="Q854" s="5" t="str">
        <f>IF(Table1[[#This Row],[customer_rating]]&gt;=9,"Promoter",IF(Table1[[#This Row],[customer_rating]]&gt;=7,"Passive","Detractor"))</f>
        <v>Detractor</v>
      </c>
      <c r="R854" s="5"/>
    </row>
    <row r="855" spans="1:18">
      <c r="A855" t="s">
        <v>881</v>
      </c>
      <c r="B855" t="s">
        <v>32</v>
      </c>
      <c r="C855" t="s">
        <v>15</v>
      </c>
      <c r="D855" s="5">
        <v>45943</v>
      </c>
      <c r="E855" s="5">
        <v>45947</v>
      </c>
      <c r="F855" s="5">
        <v>45950</v>
      </c>
      <c r="G855" s="5">
        <v>45953</v>
      </c>
      <c r="H855" t="s">
        <v>23</v>
      </c>
      <c r="I855" t="s">
        <v>24</v>
      </c>
      <c r="K855" s="15">
        <f t="shared" si="42"/>
        <v>4</v>
      </c>
      <c r="L855">
        <f t="shared" si="40"/>
        <v>3</v>
      </c>
      <c r="M855">
        <f t="shared" si="41"/>
        <v>3</v>
      </c>
      <c r="O855">
        <f>DATEDIF(Table1[[#This Row],[lead_date]], Table1[[#This Row],[delivery_date]], "d")</f>
        <v>10</v>
      </c>
      <c r="P855" s="5" t="str">
        <f>IF(AND(Table1[[#This Row],[customer_rating]]&gt;=8, Table1[[#This Row],[Tat_day]]&lt;=7, Table1[[#This Row],[lead_type]]="Hot"), "High", "Normal")</f>
        <v>Normal</v>
      </c>
      <c r="Q855" s="5" t="str">
        <f>IF(Table1[[#This Row],[customer_rating]]&gt;=9,"Promoter",IF(Table1[[#This Row],[customer_rating]]&gt;=7,"Passive","Detractor"))</f>
        <v>Detractor</v>
      </c>
      <c r="R855" s="5"/>
    </row>
    <row r="856" spans="1:18">
      <c r="A856" t="s">
        <v>882</v>
      </c>
      <c r="B856" t="s">
        <v>19</v>
      </c>
      <c r="C856" t="s">
        <v>15</v>
      </c>
      <c r="D856" s="5">
        <v>45939</v>
      </c>
      <c r="E856" s="5">
        <v>45943</v>
      </c>
      <c r="F856" s="5">
        <v>45946</v>
      </c>
      <c r="G856" s="5">
        <v>45949</v>
      </c>
      <c r="H856" t="s">
        <v>16</v>
      </c>
      <c r="I856" t="s">
        <v>17</v>
      </c>
      <c r="J856" s="5">
        <v>45967</v>
      </c>
      <c r="K856" s="15">
        <f t="shared" si="42"/>
        <v>4</v>
      </c>
      <c r="L856">
        <f t="shared" si="40"/>
        <v>3</v>
      </c>
      <c r="M856">
        <f t="shared" si="41"/>
        <v>3</v>
      </c>
      <c r="N856">
        <v>2</v>
      </c>
      <c r="O856">
        <f>DATEDIF(Table1[[#This Row],[lead_date]], Table1[[#This Row],[delivery_date]], "d")</f>
        <v>10</v>
      </c>
      <c r="P856" s="5" t="str">
        <f>IF(AND(Table1[[#This Row],[customer_rating]]&gt;=8, Table1[[#This Row],[Tat_day]]&lt;=7, Table1[[#This Row],[lead_type]]="Hot"), "High", "Normal")</f>
        <v>Normal</v>
      </c>
      <c r="Q856" s="5" t="str">
        <f>IF(Table1[[#This Row],[customer_rating]]&gt;=9,"Promoter",IF(Table1[[#This Row],[customer_rating]]&gt;=7,"Passive","Detractor"))</f>
        <v>Detractor</v>
      </c>
      <c r="R856" s="5"/>
    </row>
    <row r="857" spans="1:18">
      <c r="A857" t="s">
        <v>883</v>
      </c>
      <c r="B857" t="s">
        <v>19</v>
      </c>
      <c r="C857" t="s">
        <v>30</v>
      </c>
      <c r="D857" s="5">
        <v>45937</v>
      </c>
      <c r="E857" s="5">
        <v>45941</v>
      </c>
      <c r="F857" s="5">
        <v>45946</v>
      </c>
      <c r="G857" s="5">
        <v>45949</v>
      </c>
      <c r="H857" t="s">
        <v>16</v>
      </c>
      <c r="I857" t="s">
        <v>17</v>
      </c>
      <c r="J857" s="5">
        <v>45978</v>
      </c>
      <c r="K857" s="15">
        <f t="shared" si="42"/>
        <v>4</v>
      </c>
      <c r="L857">
        <f t="shared" si="40"/>
        <v>5</v>
      </c>
      <c r="M857">
        <f t="shared" si="41"/>
        <v>3</v>
      </c>
      <c r="N857">
        <v>7</v>
      </c>
      <c r="O857">
        <f>DATEDIF(Table1[[#This Row],[lead_date]], Table1[[#This Row],[delivery_date]], "d")</f>
        <v>12</v>
      </c>
      <c r="P857" s="5" t="str">
        <f>IF(AND(Table1[[#This Row],[customer_rating]]&gt;=8, Table1[[#This Row],[Tat_day]]&lt;=7, Table1[[#This Row],[lead_type]]="Hot"), "High", "Normal")</f>
        <v>Normal</v>
      </c>
      <c r="Q857" s="5" t="str">
        <f>IF(Table1[[#This Row],[customer_rating]]&gt;=9,"Promoter",IF(Table1[[#This Row],[customer_rating]]&gt;=7,"Passive","Detractor"))</f>
        <v>Passive</v>
      </c>
      <c r="R857" s="5"/>
    </row>
    <row r="858" spans="1:18">
      <c r="A858" t="s">
        <v>884</v>
      </c>
      <c r="B858" t="s">
        <v>14</v>
      </c>
      <c r="C858" t="s">
        <v>30</v>
      </c>
      <c r="D858" s="5">
        <v>45961</v>
      </c>
      <c r="E858" s="5">
        <v>45963</v>
      </c>
      <c r="F858" s="5">
        <v>45965</v>
      </c>
      <c r="G858" s="5">
        <v>45970</v>
      </c>
      <c r="H858" t="s">
        <v>16</v>
      </c>
      <c r="I858" t="s">
        <v>17</v>
      </c>
      <c r="J858" s="5">
        <v>45999</v>
      </c>
      <c r="K858" s="15">
        <f t="shared" si="42"/>
        <v>2</v>
      </c>
      <c r="L858">
        <f t="shared" si="40"/>
        <v>2</v>
      </c>
      <c r="M858">
        <f t="shared" si="41"/>
        <v>5</v>
      </c>
      <c r="N858">
        <v>1</v>
      </c>
      <c r="O858">
        <f>DATEDIF(Table1[[#This Row],[lead_date]], Table1[[#This Row],[delivery_date]], "d")</f>
        <v>9</v>
      </c>
      <c r="P858" s="5" t="str">
        <f>IF(AND(Table1[[#This Row],[customer_rating]]&gt;=8, Table1[[#This Row],[Tat_day]]&lt;=7, Table1[[#This Row],[lead_type]]="Hot"), "High", "Normal")</f>
        <v>Normal</v>
      </c>
      <c r="Q858" s="5" t="str">
        <f>IF(Table1[[#This Row],[customer_rating]]&gt;=9,"Promoter",IF(Table1[[#This Row],[customer_rating]]&gt;=7,"Passive","Detractor"))</f>
        <v>Detractor</v>
      </c>
      <c r="R858" s="5"/>
    </row>
    <row r="859" spans="1:18">
      <c r="A859" t="s">
        <v>885</v>
      </c>
      <c r="B859" t="s">
        <v>14</v>
      </c>
      <c r="C859" t="s">
        <v>15</v>
      </c>
      <c r="D859" s="5">
        <v>45934</v>
      </c>
      <c r="E859" s="5">
        <v>45937</v>
      </c>
      <c r="F859" s="5">
        <v>45941</v>
      </c>
      <c r="G859" s="5">
        <v>45945</v>
      </c>
      <c r="H859" t="s">
        <v>16</v>
      </c>
      <c r="I859" t="s">
        <v>17</v>
      </c>
      <c r="J859" s="5">
        <v>45959</v>
      </c>
      <c r="K859" s="15">
        <f t="shared" si="42"/>
        <v>3</v>
      </c>
      <c r="L859">
        <f t="shared" si="40"/>
        <v>4</v>
      </c>
      <c r="M859">
        <f t="shared" si="41"/>
        <v>4</v>
      </c>
      <c r="N859">
        <v>3</v>
      </c>
      <c r="O859">
        <f>DATEDIF(Table1[[#This Row],[lead_date]], Table1[[#This Row],[delivery_date]], "d")</f>
        <v>11</v>
      </c>
      <c r="P859" s="5" t="str">
        <f>IF(AND(Table1[[#This Row],[customer_rating]]&gt;=8, Table1[[#This Row],[Tat_day]]&lt;=7, Table1[[#This Row],[lead_type]]="Hot"), "High", "Normal")</f>
        <v>Normal</v>
      </c>
      <c r="Q859" s="5" t="str">
        <f>IF(Table1[[#This Row],[customer_rating]]&gt;=9,"Promoter",IF(Table1[[#This Row],[customer_rating]]&gt;=7,"Passive","Detractor"))</f>
        <v>Detractor</v>
      </c>
      <c r="R859" s="5"/>
    </row>
    <row r="860" spans="1:18">
      <c r="A860" t="s">
        <v>886</v>
      </c>
      <c r="B860" t="s">
        <v>19</v>
      </c>
      <c r="C860" t="s">
        <v>15</v>
      </c>
      <c r="D860" s="5">
        <v>45961</v>
      </c>
      <c r="E860" s="5">
        <v>45966</v>
      </c>
      <c r="F860" s="5">
        <v>45969</v>
      </c>
      <c r="G860" s="5">
        <v>45976</v>
      </c>
      <c r="H860" t="s">
        <v>16</v>
      </c>
      <c r="I860" t="s">
        <v>17</v>
      </c>
      <c r="J860" s="5">
        <v>45999</v>
      </c>
      <c r="K860" s="15">
        <f t="shared" si="42"/>
        <v>5</v>
      </c>
      <c r="L860">
        <f t="shared" si="40"/>
        <v>3</v>
      </c>
      <c r="M860">
        <f t="shared" si="41"/>
        <v>7</v>
      </c>
      <c r="N860">
        <v>7</v>
      </c>
      <c r="O860">
        <f>DATEDIF(Table1[[#This Row],[lead_date]], Table1[[#This Row],[delivery_date]], "d")</f>
        <v>15</v>
      </c>
      <c r="P860" s="5" t="str">
        <f>IF(AND(Table1[[#This Row],[customer_rating]]&gt;=8, Table1[[#This Row],[Tat_day]]&lt;=7, Table1[[#This Row],[lead_type]]="Hot"), "High", "Normal")</f>
        <v>Normal</v>
      </c>
      <c r="Q860" s="5" t="str">
        <f>IF(Table1[[#This Row],[customer_rating]]&gt;=9,"Promoter",IF(Table1[[#This Row],[customer_rating]]&gt;=7,"Passive","Detractor"))</f>
        <v>Passive</v>
      </c>
      <c r="R860" s="5"/>
    </row>
    <row r="861" spans="1:18">
      <c r="A861" t="s">
        <v>887</v>
      </c>
      <c r="B861" t="s">
        <v>21</v>
      </c>
      <c r="C861" t="s">
        <v>30</v>
      </c>
      <c r="D861" s="5">
        <v>45958</v>
      </c>
      <c r="E861" s="5">
        <v>45960</v>
      </c>
      <c r="F861" s="5">
        <v>45962</v>
      </c>
      <c r="G861" s="5">
        <v>45969</v>
      </c>
      <c r="H861" t="s">
        <v>16</v>
      </c>
      <c r="I861" t="s">
        <v>17</v>
      </c>
      <c r="J861" s="5">
        <v>45982</v>
      </c>
      <c r="K861" s="15">
        <f t="shared" si="42"/>
        <v>2</v>
      </c>
      <c r="L861">
        <f t="shared" si="40"/>
        <v>2</v>
      </c>
      <c r="M861">
        <f t="shared" si="41"/>
        <v>7</v>
      </c>
      <c r="N861">
        <v>4</v>
      </c>
      <c r="O861">
        <f>DATEDIF(Table1[[#This Row],[lead_date]], Table1[[#This Row],[delivery_date]], "d")</f>
        <v>11</v>
      </c>
      <c r="P861" s="5" t="str">
        <f>IF(AND(Table1[[#This Row],[customer_rating]]&gt;=8, Table1[[#This Row],[Tat_day]]&lt;=7, Table1[[#This Row],[lead_type]]="Hot"), "High", "Normal")</f>
        <v>Normal</v>
      </c>
      <c r="Q861" s="5" t="str">
        <f>IF(Table1[[#This Row],[customer_rating]]&gt;=9,"Promoter",IF(Table1[[#This Row],[customer_rating]]&gt;=7,"Passive","Detractor"))</f>
        <v>Detractor</v>
      </c>
      <c r="R861" s="5"/>
    </row>
    <row r="862" spans="1:18">
      <c r="A862" t="s">
        <v>888</v>
      </c>
      <c r="B862" t="s">
        <v>14</v>
      </c>
      <c r="C862" t="s">
        <v>15</v>
      </c>
      <c r="D862" s="5">
        <v>45957</v>
      </c>
      <c r="E862" s="5">
        <v>45960</v>
      </c>
      <c r="F862" s="5">
        <v>45964</v>
      </c>
      <c r="G862" s="5">
        <v>45971</v>
      </c>
      <c r="H862" t="s">
        <v>16</v>
      </c>
      <c r="I862" t="s">
        <v>17</v>
      </c>
      <c r="J862" s="5">
        <v>45997</v>
      </c>
      <c r="K862" s="15">
        <f t="shared" si="42"/>
        <v>3</v>
      </c>
      <c r="L862">
        <f t="shared" si="40"/>
        <v>4</v>
      </c>
      <c r="M862">
        <f t="shared" si="41"/>
        <v>7</v>
      </c>
      <c r="N862">
        <v>2</v>
      </c>
      <c r="O862">
        <f>DATEDIF(Table1[[#This Row],[lead_date]], Table1[[#This Row],[delivery_date]], "d")</f>
        <v>14</v>
      </c>
      <c r="P862" s="5" t="str">
        <f>IF(AND(Table1[[#This Row],[customer_rating]]&gt;=8, Table1[[#This Row],[Tat_day]]&lt;=7, Table1[[#This Row],[lead_type]]="Hot"), "High", "Normal")</f>
        <v>Normal</v>
      </c>
      <c r="Q862" s="5" t="str">
        <f>IF(Table1[[#This Row],[customer_rating]]&gt;=9,"Promoter",IF(Table1[[#This Row],[customer_rating]]&gt;=7,"Passive","Detractor"))</f>
        <v>Detractor</v>
      </c>
      <c r="R862" s="5"/>
    </row>
    <row r="863" spans="1:18">
      <c r="A863" t="s">
        <v>889</v>
      </c>
      <c r="B863" t="s">
        <v>21</v>
      </c>
      <c r="C863" t="s">
        <v>15</v>
      </c>
      <c r="D863" s="5">
        <v>45945</v>
      </c>
      <c r="E863" s="5">
        <v>45948</v>
      </c>
      <c r="F863" s="5">
        <v>45951</v>
      </c>
      <c r="G863" s="5">
        <v>45953</v>
      </c>
      <c r="H863" t="s">
        <v>16</v>
      </c>
      <c r="I863" t="s">
        <v>17</v>
      </c>
      <c r="J863" s="5">
        <v>45982</v>
      </c>
      <c r="K863" s="15">
        <f t="shared" si="42"/>
        <v>3</v>
      </c>
      <c r="L863">
        <f t="shared" si="40"/>
        <v>3</v>
      </c>
      <c r="M863">
        <f t="shared" si="41"/>
        <v>2</v>
      </c>
      <c r="N863">
        <v>5</v>
      </c>
      <c r="O863">
        <f>DATEDIF(Table1[[#This Row],[lead_date]], Table1[[#This Row],[delivery_date]], "d")</f>
        <v>8</v>
      </c>
      <c r="P863" s="5" t="str">
        <f>IF(AND(Table1[[#This Row],[customer_rating]]&gt;=8, Table1[[#This Row],[Tat_day]]&lt;=7, Table1[[#This Row],[lead_type]]="Hot"), "High", "Normal")</f>
        <v>Normal</v>
      </c>
      <c r="Q863" s="5" t="str">
        <f>IF(Table1[[#This Row],[customer_rating]]&gt;=9,"Promoter",IF(Table1[[#This Row],[customer_rating]]&gt;=7,"Passive","Detractor"))</f>
        <v>Detractor</v>
      </c>
      <c r="R863" s="5"/>
    </row>
    <row r="864" spans="1:18">
      <c r="A864" t="s">
        <v>890</v>
      </c>
      <c r="B864" t="s">
        <v>19</v>
      </c>
      <c r="C864" t="s">
        <v>30</v>
      </c>
      <c r="D864" s="5">
        <v>45933</v>
      </c>
      <c r="E864" s="5">
        <v>45936</v>
      </c>
      <c r="F864" s="5">
        <v>45939</v>
      </c>
      <c r="G864" s="5">
        <v>45945</v>
      </c>
      <c r="H864" t="s">
        <v>23</v>
      </c>
      <c r="I864" t="s">
        <v>63</v>
      </c>
      <c r="K864" s="15">
        <f t="shared" si="42"/>
        <v>3</v>
      </c>
      <c r="L864">
        <f t="shared" si="40"/>
        <v>3</v>
      </c>
      <c r="M864">
        <f t="shared" si="41"/>
        <v>6</v>
      </c>
      <c r="O864">
        <f>DATEDIF(Table1[[#This Row],[lead_date]], Table1[[#This Row],[delivery_date]], "d")</f>
        <v>12</v>
      </c>
      <c r="P864" s="5" t="str">
        <f>IF(AND(Table1[[#This Row],[customer_rating]]&gt;=8, Table1[[#This Row],[Tat_day]]&lt;=7, Table1[[#This Row],[lead_type]]="Hot"), "High", "Normal")</f>
        <v>Normal</v>
      </c>
      <c r="Q864" s="5" t="str">
        <f>IF(Table1[[#This Row],[customer_rating]]&gt;=9,"Promoter",IF(Table1[[#This Row],[customer_rating]]&gt;=7,"Passive","Detractor"))</f>
        <v>Detractor</v>
      </c>
      <c r="R864" s="5"/>
    </row>
    <row r="865" spans="1:18">
      <c r="A865" t="s">
        <v>891</v>
      </c>
      <c r="B865" t="s">
        <v>19</v>
      </c>
      <c r="C865" t="s">
        <v>15</v>
      </c>
      <c r="D865" s="5">
        <v>45952</v>
      </c>
      <c r="E865" s="5">
        <v>45956</v>
      </c>
      <c r="F865" s="5">
        <v>45960</v>
      </c>
      <c r="G865" s="5">
        <v>45966</v>
      </c>
      <c r="H865" t="s">
        <v>16</v>
      </c>
      <c r="I865" t="s">
        <v>17</v>
      </c>
      <c r="J865" s="5">
        <v>45979</v>
      </c>
      <c r="K865" s="15">
        <f t="shared" si="42"/>
        <v>4</v>
      </c>
      <c r="L865">
        <f t="shared" si="40"/>
        <v>4</v>
      </c>
      <c r="M865">
        <f t="shared" si="41"/>
        <v>6</v>
      </c>
      <c r="N865">
        <v>9</v>
      </c>
      <c r="O865">
        <f>DATEDIF(Table1[[#This Row],[lead_date]], Table1[[#This Row],[delivery_date]], "d")</f>
        <v>14</v>
      </c>
      <c r="P865" s="5" t="str">
        <f>IF(AND(Table1[[#This Row],[customer_rating]]&gt;=8, Table1[[#This Row],[Tat_day]]&lt;=7, Table1[[#This Row],[lead_type]]="Hot"), "High", "Normal")</f>
        <v>Normal</v>
      </c>
      <c r="Q865" s="5" t="str">
        <f>IF(Table1[[#This Row],[customer_rating]]&gt;=9,"Promoter",IF(Table1[[#This Row],[customer_rating]]&gt;=7,"Passive","Detractor"))</f>
        <v>Promoter</v>
      </c>
      <c r="R865" s="5"/>
    </row>
    <row r="866" spans="1:18">
      <c r="A866" t="s">
        <v>892</v>
      </c>
      <c r="B866" t="s">
        <v>32</v>
      </c>
      <c r="C866" t="s">
        <v>30</v>
      </c>
      <c r="D866" s="5">
        <v>45937</v>
      </c>
      <c r="E866" s="5">
        <v>45939</v>
      </c>
      <c r="F866" s="5">
        <v>45944</v>
      </c>
      <c r="G866" s="5">
        <v>45948</v>
      </c>
      <c r="H866" t="s">
        <v>16</v>
      </c>
      <c r="I866" t="s">
        <v>17</v>
      </c>
      <c r="J866" s="5">
        <v>45967</v>
      </c>
      <c r="K866" s="15">
        <f t="shared" si="42"/>
        <v>2</v>
      </c>
      <c r="L866">
        <f t="shared" si="40"/>
        <v>5</v>
      </c>
      <c r="M866">
        <f t="shared" si="41"/>
        <v>4</v>
      </c>
      <c r="N866">
        <v>4</v>
      </c>
      <c r="O866">
        <f>DATEDIF(Table1[[#This Row],[lead_date]], Table1[[#This Row],[delivery_date]], "d")</f>
        <v>11</v>
      </c>
      <c r="P866" s="5" t="str">
        <f>IF(AND(Table1[[#This Row],[customer_rating]]&gt;=8, Table1[[#This Row],[Tat_day]]&lt;=7, Table1[[#This Row],[lead_type]]="Hot"), "High", "Normal")</f>
        <v>Normal</v>
      </c>
      <c r="Q866" s="5" t="str">
        <f>IF(Table1[[#This Row],[customer_rating]]&gt;=9,"Promoter",IF(Table1[[#This Row],[customer_rating]]&gt;=7,"Passive","Detractor"))</f>
        <v>Detractor</v>
      </c>
      <c r="R866" s="5"/>
    </row>
    <row r="867" spans="1:18">
      <c r="A867" t="s">
        <v>893</v>
      </c>
      <c r="B867" t="s">
        <v>14</v>
      </c>
      <c r="C867" t="s">
        <v>22</v>
      </c>
      <c r="D867" s="5">
        <v>45951</v>
      </c>
      <c r="H867" t="s">
        <v>23</v>
      </c>
      <c r="I867" t="s">
        <v>1028</v>
      </c>
      <c r="K867" s="15" t="str">
        <f t="shared" si="42"/>
        <v/>
      </c>
      <c r="L867" t="str">
        <f t="shared" si="40"/>
        <v/>
      </c>
      <c r="M867" t="str">
        <f t="shared" si="41"/>
        <v/>
      </c>
      <c r="O867"/>
      <c r="P867" s="5" t="str">
        <f>IF(AND(Table1[[#This Row],[customer_rating]]&gt;=8, Table1[[#This Row],[Tat_day]]&lt;=7, Table1[[#This Row],[lead_type]]="Hot"), "High", "Normal")</f>
        <v>Normal</v>
      </c>
      <c r="Q867" s="5" t="str">
        <f>IF(Table1[[#This Row],[customer_rating]]&gt;=9,"Promoter",IF(Table1[[#This Row],[customer_rating]]&gt;=7,"Passive","Detractor"))</f>
        <v>Detractor</v>
      </c>
      <c r="R867" s="5"/>
    </row>
    <row r="868" spans="1:18">
      <c r="A868" t="s">
        <v>894</v>
      </c>
      <c r="B868" t="s">
        <v>19</v>
      </c>
      <c r="C868" t="s">
        <v>15</v>
      </c>
      <c r="D868" s="5">
        <v>45951</v>
      </c>
      <c r="E868" s="5">
        <v>45954</v>
      </c>
      <c r="F868" s="5">
        <v>45956</v>
      </c>
      <c r="G868" s="5">
        <v>45958</v>
      </c>
      <c r="H868" t="s">
        <v>16</v>
      </c>
      <c r="I868" t="s">
        <v>17</v>
      </c>
      <c r="J868" s="5">
        <v>45971</v>
      </c>
      <c r="K868" s="15">
        <f t="shared" si="42"/>
        <v>3</v>
      </c>
      <c r="L868">
        <f t="shared" si="40"/>
        <v>2</v>
      </c>
      <c r="M868">
        <f t="shared" si="41"/>
        <v>2</v>
      </c>
      <c r="N868">
        <v>9</v>
      </c>
      <c r="O868">
        <f>DATEDIF(Table1[[#This Row],[lead_date]], Table1[[#This Row],[delivery_date]], "d")</f>
        <v>7</v>
      </c>
      <c r="P868" s="5" t="str">
        <f>IF(AND(Table1[[#This Row],[customer_rating]]&gt;=8, Table1[[#This Row],[Tat_day]]&lt;=7, Table1[[#This Row],[lead_type]]="Hot"), "High", "Normal")</f>
        <v>Normal</v>
      </c>
      <c r="Q868" s="5" t="str">
        <f>IF(Table1[[#This Row],[customer_rating]]&gt;=9,"Promoter",IF(Table1[[#This Row],[customer_rating]]&gt;=7,"Passive","Detractor"))</f>
        <v>Promoter</v>
      </c>
      <c r="R868" s="5"/>
    </row>
    <row r="869" spans="1:18">
      <c r="A869" t="s">
        <v>895</v>
      </c>
      <c r="B869" t="s">
        <v>32</v>
      </c>
      <c r="C869" t="s">
        <v>30</v>
      </c>
      <c r="D869" s="5">
        <v>45950</v>
      </c>
      <c r="E869" s="5">
        <v>45955</v>
      </c>
      <c r="F869" s="5">
        <v>45958</v>
      </c>
      <c r="G869" s="5">
        <v>45960</v>
      </c>
      <c r="H869" t="s">
        <v>16</v>
      </c>
      <c r="I869" t="s">
        <v>17</v>
      </c>
      <c r="J869" s="5">
        <v>45973</v>
      </c>
      <c r="K869" s="15">
        <f t="shared" si="42"/>
        <v>5</v>
      </c>
      <c r="L869">
        <f t="shared" si="40"/>
        <v>3</v>
      </c>
      <c r="M869">
        <f t="shared" si="41"/>
        <v>2</v>
      </c>
      <c r="N869">
        <v>9</v>
      </c>
      <c r="O869">
        <f>DATEDIF(Table1[[#This Row],[lead_date]], Table1[[#This Row],[delivery_date]], "d")</f>
        <v>10</v>
      </c>
      <c r="P869" s="5" t="str">
        <f>IF(AND(Table1[[#This Row],[customer_rating]]&gt;=8, Table1[[#This Row],[Tat_day]]&lt;=7, Table1[[#This Row],[lead_type]]="Hot"), "High", "Normal")</f>
        <v>Normal</v>
      </c>
      <c r="Q869" s="5" t="str">
        <f>IF(Table1[[#This Row],[customer_rating]]&gt;=9,"Promoter",IF(Table1[[#This Row],[customer_rating]]&gt;=7,"Passive","Detractor"))</f>
        <v>Promoter</v>
      </c>
      <c r="R869" s="5"/>
    </row>
    <row r="870" spans="1:18">
      <c r="A870" t="s">
        <v>896</v>
      </c>
      <c r="B870" t="s">
        <v>14</v>
      </c>
      <c r="C870" t="s">
        <v>15</v>
      </c>
      <c r="D870" s="5">
        <v>45931</v>
      </c>
      <c r="E870" s="5">
        <v>45936</v>
      </c>
      <c r="F870" s="5">
        <v>45940</v>
      </c>
      <c r="G870" s="5">
        <v>45942</v>
      </c>
      <c r="H870" t="s">
        <v>16</v>
      </c>
      <c r="I870" t="s">
        <v>17</v>
      </c>
      <c r="J870" s="5">
        <v>45967</v>
      </c>
      <c r="K870" s="15">
        <f t="shared" si="42"/>
        <v>5</v>
      </c>
      <c r="L870">
        <f t="shared" si="40"/>
        <v>4</v>
      </c>
      <c r="M870">
        <f t="shared" si="41"/>
        <v>2</v>
      </c>
      <c r="N870">
        <v>5</v>
      </c>
      <c r="O870">
        <f>DATEDIF(Table1[[#This Row],[lead_date]], Table1[[#This Row],[delivery_date]], "d")</f>
        <v>11</v>
      </c>
      <c r="P870" s="5" t="str">
        <f>IF(AND(Table1[[#This Row],[customer_rating]]&gt;=8, Table1[[#This Row],[Tat_day]]&lt;=7, Table1[[#This Row],[lead_type]]="Hot"), "High", "Normal")</f>
        <v>Normal</v>
      </c>
      <c r="Q870" s="5" t="str">
        <f>IF(Table1[[#This Row],[customer_rating]]&gt;=9,"Promoter",IF(Table1[[#This Row],[customer_rating]]&gt;=7,"Passive","Detractor"))</f>
        <v>Detractor</v>
      </c>
      <c r="R870" s="5"/>
    </row>
    <row r="871" spans="1:18">
      <c r="A871" t="s">
        <v>897</v>
      </c>
      <c r="B871" t="s">
        <v>19</v>
      </c>
      <c r="C871" t="s">
        <v>15</v>
      </c>
      <c r="D871" s="5">
        <v>45932</v>
      </c>
      <c r="E871" s="5">
        <v>45933</v>
      </c>
      <c r="F871" s="5">
        <v>45936</v>
      </c>
      <c r="G871" s="5">
        <v>45939</v>
      </c>
      <c r="H871" t="s">
        <v>16</v>
      </c>
      <c r="I871" t="s">
        <v>17</v>
      </c>
      <c r="J871" s="5">
        <v>45955</v>
      </c>
      <c r="K871" s="15">
        <f t="shared" si="42"/>
        <v>1</v>
      </c>
      <c r="L871">
        <f t="shared" si="40"/>
        <v>3</v>
      </c>
      <c r="M871">
        <f t="shared" si="41"/>
        <v>3</v>
      </c>
      <c r="N871">
        <v>1</v>
      </c>
      <c r="O871">
        <f>DATEDIF(Table1[[#This Row],[lead_date]], Table1[[#This Row],[delivery_date]], "d")</f>
        <v>7</v>
      </c>
      <c r="P871" s="5" t="str">
        <f>IF(AND(Table1[[#This Row],[customer_rating]]&gt;=8, Table1[[#This Row],[Tat_day]]&lt;=7, Table1[[#This Row],[lead_type]]="Hot"), "High", "Normal")</f>
        <v>Normal</v>
      </c>
      <c r="Q871" s="5" t="str">
        <f>IF(Table1[[#This Row],[customer_rating]]&gt;=9,"Promoter",IF(Table1[[#This Row],[customer_rating]]&gt;=7,"Passive","Detractor"))</f>
        <v>Detractor</v>
      </c>
      <c r="R871" s="5"/>
    </row>
    <row r="872" spans="1:18">
      <c r="A872" t="s">
        <v>898</v>
      </c>
      <c r="B872" t="s">
        <v>19</v>
      </c>
      <c r="C872" t="s">
        <v>15</v>
      </c>
      <c r="D872" s="5">
        <v>45956</v>
      </c>
      <c r="E872" s="5">
        <v>45959</v>
      </c>
      <c r="F872" s="5">
        <v>45963</v>
      </c>
      <c r="G872" s="5">
        <v>45970</v>
      </c>
      <c r="H872" t="s">
        <v>16</v>
      </c>
      <c r="I872" t="s">
        <v>17</v>
      </c>
      <c r="J872" s="5">
        <v>45999</v>
      </c>
      <c r="K872" s="15">
        <f t="shared" si="42"/>
        <v>3</v>
      </c>
      <c r="L872">
        <f t="shared" si="40"/>
        <v>4</v>
      </c>
      <c r="M872">
        <f t="shared" si="41"/>
        <v>7</v>
      </c>
      <c r="N872">
        <v>8</v>
      </c>
      <c r="O872">
        <f>DATEDIF(Table1[[#This Row],[lead_date]], Table1[[#This Row],[delivery_date]], "d")</f>
        <v>14</v>
      </c>
      <c r="P872" s="5" t="str">
        <f>IF(AND(Table1[[#This Row],[customer_rating]]&gt;=8, Table1[[#This Row],[Tat_day]]&lt;=7, Table1[[#This Row],[lead_type]]="Hot"), "High", "Normal")</f>
        <v>Normal</v>
      </c>
      <c r="Q872" s="5" t="str">
        <f>IF(Table1[[#This Row],[customer_rating]]&gt;=9,"Promoter",IF(Table1[[#This Row],[customer_rating]]&gt;=7,"Passive","Detractor"))</f>
        <v>Passive</v>
      </c>
      <c r="R872" s="5"/>
    </row>
    <row r="873" spans="1:18">
      <c r="A873" t="s">
        <v>899</v>
      </c>
      <c r="B873" t="s">
        <v>14</v>
      </c>
      <c r="C873" t="s">
        <v>15</v>
      </c>
      <c r="D873" s="5">
        <v>45941</v>
      </c>
      <c r="E873" s="5">
        <v>45943</v>
      </c>
      <c r="F873" s="5">
        <v>45946</v>
      </c>
      <c r="G873" s="5">
        <v>45951</v>
      </c>
      <c r="H873" t="s">
        <v>16</v>
      </c>
      <c r="I873" t="s">
        <v>17</v>
      </c>
      <c r="J873" s="5">
        <v>45967</v>
      </c>
      <c r="K873" s="15">
        <f t="shared" si="42"/>
        <v>2</v>
      </c>
      <c r="L873">
        <f t="shared" si="40"/>
        <v>3</v>
      </c>
      <c r="M873">
        <f t="shared" si="41"/>
        <v>5</v>
      </c>
      <c r="N873">
        <v>7</v>
      </c>
      <c r="O873">
        <f>DATEDIF(Table1[[#This Row],[lead_date]], Table1[[#This Row],[delivery_date]], "d")</f>
        <v>10</v>
      </c>
      <c r="P873" s="5" t="str">
        <f>IF(AND(Table1[[#This Row],[customer_rating]]&gt;=8, Table1[[#This Row],[Tat_day]]&lt;=7, Table1[[#This Row],[lead_type]]="Hot"), "High", "Normal")</f>
        <v>Normal</v>
      </c>
      <c r="Q873" s="5" t="str">
        <f>IF(Table1[[#This Row],[customer_rating]]&gt;=9,"Promoter",IF(Table1[[#This Row],[customer_rating]]&gt;=7,"Passive","Detractor"))</f>
        <v>Passive</v>
      </c>
      <c r="R873" s="5"/>
    </row>
    <row r="874" spans="1:18">
      <c r="A874" t="s">
        <v>900</v>
      </c>
      <c r="B874" t="s">
        <v>14</v>
      </c>
      <c r="C874" t="s">
        <v>15</v>
      </c>
      <c r="D874" s="5">
        <v>45938</v>
      </c>
      <c r="E874" s="5">
        <v>45942</v>
      </c>
      <c r="F874" s="5">
        <v>45943</v>
      </c>
      <c r="G874" s="5">
        <v>45946</v>
      </c>
      <c r="H874" t="s">
        <v>16</v>
      </c>
      <c r="I874" t="s">
        <v>17</v>
      </c>
      <c r="J874" s="5">
        <v>45964</v>
      </c>
      <c r="K874" s="15">
        <f t="shared" si="42"/>
        <v>4</v>
      </c>
      <c r="L874">
        <f t="shared" si="40"/>
        <v>1</v>
      </c>
      <c r="M874">
        <f t="shared" si="41"/>
        <v>3</v>
      </c>
      <c r="N874">
        <v>5</v>
      </c>
      <c r="O874">
        <f>DATEDIF(Table1[[#This Row],[lead_date]], Table1[[#This Row],[delivery_date]], "d")</f>
        <v>8</v>
      </c>
      <c r="P874" s="5" t="str">
        <f>IF(AND(Table1[[#This Row],[customer_rating]]&gt;=8, Table1[[#This Row],[Tat_day]]&lt;=7, Table1[[#This Row],[lead_type]]="Hot"), "High", "Normal")</f>
        <v>Normal</v>
      </c>
      <c r="Q874" s="5" t="str">
        <f>IF(Table1[[#This Row],[customer_rating]]&gt;=9,"Promoter",IF(Table1[[#This Row],[customer_rating]]&gt;=7,"Passive","Detractor"))</f>
        <v>Detractor</v>
      </c>
      <c r="R874" s="5"/>
    </row>
    <row r="875" spans="1:18">
      <c r="A875" t="s">
        <v>901</v>
      </c>
      <c r="B875" t="s">
        <v>14</v>
      </c>
      <c r="C875" t="s">
        <v>30</v>
      </c>
      <c r="D875" s="5">
        <v>45935</v>
      </c>
      <c r="E875" s="5">
        <v>45936</v>
      </c>
      <c r="F875" s="5">
        <v>45941</v>
      </c>
      <c r="G875" s="5">
        <v>45943</v>
      </c>
      <c r="H875" t="s">
        <v>16</v>
      </c>
      <c r="I875" t="s">
        <v>17</v>
      </c>
      <c r="J875" s="5">
        <v>45969</v>
      </c>
      <c r="K875" s="15">
        <f t="shared" si="42"/>
        <v>1</v>
      </c>
      <c r="L875">
        <f t="shared" si="40"/>
        <v>5</v>
      </c>
      <c r="M875">
        <f t="shared" si="41"/>
        <v>2</v>
      </c>
      <c r="N875">
        <v>4</v>
      </c>
      <c r="O875">
        <f>DATEDIF(Table1[[#This Row],[lead_date]], Table1[[#This Row],[delivery_date]], "d")</f>
        <v>8</v>
      </c>
      <c r="P875" s="5" t="str">
        <f>IF(AND(Table1[[#This Row],[customer_rating]]&gt;=8, Table1[[#This Row],[Tat_day]]&lt;=7, Table1[[#This Row],[lead_type]]="Hot"), "High", "Normal")</f>
        <v>Normal</v>
      </c>
      <c r="Q875" s="5" t="str">
        <f>IF(Table1[[#This Row],[customer_rating]]&gt;=9,"Promoter",IF(Table1[[#This Row],[customer_rating]]&gt;=7,"Passive","Detractor"))</f>
        <v>Detractor</v>
      </c>
      <c r="R875" s="5"/>
    </row>
    <row r="876" spans="1:18">
      <c r="A876" t="s">
        <v>902</v>
      </c>
      <c r="B876" t="s">
        <v>19</v>
      </c>
      <c r="C876" t="s">
        <v>30</v>
      </c>
      <c r="D876" s="5">
        <v>45956</v>
      </c>
      <c r="E876" s="5">
        <v>45959</v>
      </c>
      <c r="F876" s="5">
        <v>45961</v>
      </c>
      <c r="G876" s="5">
        <v>45965</v>
      </c>
      <c r="H876" t="s">
        <v>16</v>
      </c>
      <c r="I876" t="s">
        <v>17</v>
      </c>
      <c r="J876" s="5">
        <v>45981</v>
      </c>
      <c r="K876" s="15">
        <f t="shared" si="42"/>
        <v>3</v>
      </c>
      <c r="L876">
        <f t="shared" si="40"/>
        <v>2</v>
      </c>
      <c r="M876">
        <f t="shared" si="41"/>
        <v>4</v>
      </c>
      <c r="N876">
        <v>3</v>
      </c>
      <c r="O876">
        <f>DATEDIF(Table1[[#This Row],[lead_date]], Table1[[#This Row],[delivery_date]], "d")</f>
        <v>9</v>
      </c>
      <c r="P876" s="5" t="str">
        <f>IF(AND(Table1[[#This Row],[customer_rating]]&gt;=8, Table1[[#This Row],[Tat_day]]&lt;=7, Table1[[#This Row],[lead_type]]="Hot"), "High", "Normal")</f>
        <v>Normal</v>
      </c>
      <c r="Q876" s="5" t="str">
        <f>IF(Table1[[#This Row],[customer_rating]]&gt;=9,"Promoter",IF(Table1[[#This Row],[customer_rating]]&gt;=7,"Passive","Detractor"))</f>
        <v>Detractor</v>
      </c>
      <c r="R876" s="5"/>
    </row>
    <row r="877" spans="1:18">
      <c r="A877" t="s">
        <v>903</v>
      </c>
      <c r="B877" t="s">
        <v>19</v>
      </c>
      <c r="C877" t="s">
        <v>30</v>
      </c>
      <c r="D877" s="5">
        <v>45949</v>
      </c>
      <c r="E877" s="5">
        <v>45953</v>
      </c>
      <c r="F877" s="5">
        <v>45958</v>
      </c>
      <c r="G877" s="5">
        <v>45960</v>
      </c>
      <c r="H877" t="s">
        <v>16</v>
      </c>
      <c r="I877" t="s">
        <v>17</v>
      </c>
      <c r="J877" s="5">
        <v>45981</v>
      </c>
      <c r="K877" s="15">
        <f t="shared" si="42"/>
        <v>4</v>
      </c>
      <c r="L877">
        <f t="shared" si="40"/>
        <v>5</v>
      </c>
      <c r="M877">
        <f t="shared" si="41"/>
        <v>2</v>
      </c>
      <c r="N877">
        <v>6</v>
      </c>
      <c r="O877">
        <f>DATEDIF(Table1[[#This Row],[lead_date]], Table1[[#This Row],[delivery_date]], "d")</f>
        <v>11</v>
      </c>
      <c r="P877" s="5" t="str">
        <f>IF(AND(Table1[[#This Row],[customer_rating]]&gt;=8, Table1[[#This Row],[Tat_day]]&lt;=7, Table1[[#This Row],[lead_type]]="Hot"), "High", "Normal")</f>
        <v>Normal</v>
      </c>
      <c r="Q877" s="5" t="str">
        <f>IF(Table1[[#This Row],[customer_rating]]&gt;=9,"Promoter",IF(Table1[[#This Row],[customer_rating]]&gt;=7,"Passive","Detractor"))</f>
        <v>Detractor</v>
      </c>
      <c r="R877" s="5"/>
    </row>
    <row r="878" spans="1:18">
      <c r="A878" t="s">
        <v>904</v>
      </c>
      <c r="B878" t="s">
        <v>32</v>
      </c>
      <c r="C878" t="s">
        <v>15</v>
      </c>
      <c r="D878" s="5">
        <v>45937</v>
      </c>
      <c r="E878" s="5">
        <v>45939</v>
      </c>
      <c r="F878" s="5">
        <v>45944</v>
      </c>
      <c r="G878" s="5">
        <v>45946</v>
      </c>
      <c r="H878" t="s">
        <v>16</v>
      </c>
      <c r="I878" t="s">
        <v>17</v>
      </c>
      <c r="J878" s="5">
        <v>45969</v>
      </c>
      <c r="K878" s="15">
        <f t="shared" si="42"/>
        <v>2</v>
      </c>
      <c r="L878">
        <f t="shared" si="40"/>
        <v>5</v>
      </c>
      <c r="M878">
        <f t="shared" si="41"/>
        <v>2</v>
      </c>
      <c r="N878">
        <v>2</v>
      </c>
      <c r="O878">
        <f>DATEDIF(Table1[[#This Row],[lead_date]], Table1[[#This Row],[delivery_date]], "d")</f>
        <v>9</v>
      </c>
      <c r="P878" s="5" t="str">
        <f>IF(AND(Table1[[#This Row],[customer_rating]]&gt;=8, Table1[[#This Row],[Tat_day]]&lt;=7, Table1[[#This Row],[lead_type]]="Hot"), "High", "Normal")</f>
        <v>Normal</v>
      </c>
      <c r="Q878" s="5" t="str">
        <f>IF(Table1[[#This Row],[customer_rating]]&gt;=9,"Promoter",IF(Table1[[#This Row],[customer_rating]]&gt;=7,"Passive","Detractor"))</f>
        <v>Detractor</v>
      </c>
      <c r="R878" s="5"/>
    </row>
    <row r="879" spans="1:18">
      <c r="A879" t="s">
        <v>905</v>
      </c>
      <c r="B879" t="s">
        <v>21</v>
      </c>
      <c r="C879" t="s">
        <v>22</v>
      </c>
      <c r="D879" s="5">
        <v>45933</v>
      </c>
      <c r="H879" t="s">
        <v>23</v>
      </c>
      <c r="I879" t="s">
        <v>63</v>
      </c>
      <c r="K879" s="15" t="str">
        <f t="shared" si="42"/>
        <v/>
      </c>
      <c r="L879" t="str">
        <f t="shared" si="40"/>
        <v/>
      </c>
      <c r="M879" t="str">
        <f t="shared" si="41"/>
        <v/>
      </c>
      <c r="O879"/>
      <c r="P879" s="5" t="str">
        <f>IF(AND(Table1[[#This Row],[customer_rating]]&gt;=8, Table1[[#This Row],[Tat_day]]&lt;=7, Table1[[#This Row],[lead_type]]="Hot"), "High", "Normal")</f>
        <v>Normal</v>
      </c>
      <c r="Q879" s="5" t="str">
        <f>IF(Table1[[#This Row],[customer_rating]]&gt;=9,"Promoter",IF(Table1[[#This Row],[customer_rating]]&gt;=7,"Passive","Detractor"))</f>
        <v>Detractor</v>
      </c>
      <c r="R879" s="5"/>
    </row>
    <row r="880" spans="1:18">
      <c r="A880" t="s">
        <v>906</v>
      </c>
      <c r="B880" t="s">
        <v>14</v>
      </c>
      <c r="C880" t="s">
        <v>15</v>
      </c>
      <c r="D880" s="5">
        <v>45957</v>
      </c>
      <c r="E880" s="5">
        <v>45959</v>
      </c>
      <c r="F880" s="5">
        <v>45961</v>
      </c>
      <c r="G880" s="5">
        <v>45966</v>
      </c>
      <c r="H880" t="s">
        <v>16</v>
      </c>
      <c r="I880" t="s">
        <v>17</v>
      </c>
      <c r="J880" s="5">
        <v>45985</v>
      </c>
      <c r="K880" s="15">
        <f t="shared" si="42"/>
        <v>2</v>
      </c>
      <c r="L880">
        <f t="shared" si="40"/>
        <v>2</v>
      </c>
      <c r="M880">
        <f t="shared" si="41"/>
        <v>5</v>
      </c>
      <c r="N880">
        <v>4</v>
      </c>
      <c r="O880">
        <f>DATEDIF(Table1[[#This Row],[lead_date]], Table1[[#This Row],[delivery_date]], "d")</f>
        <v>9</v>
      </c>
      <c r="P880" s="5" t="str">
        <f>IF(AND(Table1[[#This Row],[customer_rating]]&gt;=8, Table1[[#This Row],[Tat_day]]&lt;=7, Table1[[#This Row],[lead_type]]="Hot"), "High", "Normal")</f>
        <v>Normal</v>
      </c>
      <c r="Q880" s="5" t="str">
        <f>IF(Table1[[#This Row],[customer_rating]]&gt;=9,"Promoter",IF(Table1[[#This Row],[customer_rating]]&gt;=7,"Passive","Detractor"))</f>
        <v>Detractor</v>
      </c>
      <c r="R880" s="5"/>
    </row>
    <row r="881" spans="1:18">
      <c r="A881" t="s">
        <v>907</v>
      </c>
      <c r="B881" t="s">
        <v>19</v>
      </c>
      <c r="C881" t="s">
        <v>30</v>
      </c>
      <c r="D881" s="5">
        <v>45955</v>
      </c>
      <c r="E881" s="5">
        <v>45956</v>
      </c>
      <c r="F881" s="5">
        <v>45961</v>
      </c>
      <c r="G881" s="5">
        <v>45963</v>
      </c>
      <c r="H881" t="s">
        <v>16</v>
      </c>
      <c r="I881" t="s">
        <v>17</v>
      </c>
      <c r="J881" s="5">
        <v>45978</v>
      </c>
      <c r="K881" s="15">
        <f t="shared" si="42"/>
        <v>1</v>
      </c>
      <c r="L881">
        <f t="shared" si="40"/>
        <v>5</v>
      </c>
      <c r="M881">
        <f t="shared" si="41"/>
        <v>2</v>
      </c>
      <c r="N881">
        <v>4</v>
      </c>
      <c r="O881">
        <f>DATEDIF(Table1[[#This Row],[lead_date]], Table1[[#This Row],[delivery_date]], "d")</f>
        <v>8</v>
      </c>
      <c r="P881" s="5" t="str">
        <f>IF(AND(Table1[[#This Row],[customer_rating]]&gt;=8, Table1[[#This Row],[Tat_day]]&lt;=7, Table1[[#This Row],[lead_type]]="Hot"), "High", "Normal")</f>
        <v>Normal</v>
      </c>
      <c r="Q881" s="5" t="str">
        <f>IF(Table1[[#This Row],[customer_rating]]&gt;=9,"Promoter",IF(Table1[[#This Row],[customer_rating]]&gt;=7,"Passive","Detractor"))</f>
        <v>Detractor</v>
      </c>
      <c r="R881" s="5"/>
    </row>
    <row r="882" spans="1:18">
      <c r="A882" t="s">
        <v>908</v>
      </c>
      <c r="B882" t="s">
        <v>19</v>
      </c>
      <c r="C882" t="s">
        <v>15</v>
      </c>
      <c r="D882" s="5">
        <v>45948</v>
      </c>
      <c r="E882" s="5">
        <v>45949</v>
      </c>
      <c r="F882" s="5">
        <v>45950</v>
      </c>
      <c r="G882" s="5">
        <v>45953</v>
      </c>
      <c r="H882" t="s">
        <v>16</v>
      </c>
      <c r="I882" t="s">
        <v>17</v>
      </c>
      <c r="J882" s="5">
        <v>45964</v>
      </c>
      <c r="K882" s="15">
        <f t="shared" si="42"/>
        <v>1</v>
      </c>
      <c r="L882">
        <f t="shared" si="40"/>
        <v>1</v>
      </c>
      <c r="M882">
        <f t="shared" si="41"/>
        <v>3</v>
      </c>
      <c r="N882">
        <v>2</v>
      </c>
      <c r="O882">
        <f>DATEDIF(Table1[[#This Row],[lead_date]], Table1[[#This Row],[delivery_date]], "d")</f>
        <v>5</v>
      </c>
      <c r="P882" s="5" t="str">
        <f>IF(AND(Table1[[#This Row],[customer_rating]]&gt;=8, Table1[[#This Row],[Tat_day]]&lt;=7, Table1[[#This Row],[lead_type]]="Hot"), "High", "Normal")</f>
        <v>Normal</v>
      </c>
      <c r="Q882" s="5" t="str">
        <f>IF(Table1[[#This Row],[customer_rating]]&gt;=9,"Promoter",IF(Table1[[#This Row],[customer_rating]]&gt;=7,"Passive","Detractor"))</f>
        <v>Detractor</v>
      </c>
      <c r="R882" s="5"/>
    </row>
    <row r="883" spans="1:18">
      <c r="A883" t="s">
        <v>909</v>
      </c>
      <c r="B883" t="s">
        <v>14</v>
      </c>
      <c r="C883" t="s">
        <v>22</v>
      </c>
      <c r="D883" s="5">
        <v>45937</v>
      </c>
      <c r="H883" t="s">
        <v>23</v>
      </c>
      <c r="I883" t="s">
        <v>63</v>
      </c>
      <c r="K883" s="15" t="str">
        <f t="shared" si="42"/>
        <v/>
      </c>
      <c r="L883" t="str">
        <f t="shared" si="40"/>
        <v/>
      </c>
      <c r="M883" t="str">
        <f t="shared" si="41"/>
        <v/>
      </c>
      <c r="O883"/>
      <c r="P883" s="5" t="str">
        <f>IF(AND(Table1[[#This Row],[customer_rating]]&gt;=8, Table1[[#This Row],[Tat_day]]&lt;=7, Table1[[#This Row],[lead_type]]="Hot"), "High", "Normal")</f>
        <v>Normal</v>
      </c>
      <c r="Q883" s="5" t="str">
        <f>IF(Table1[[#This Row],[customer_rating]]&gt;=9,"Promoter",IF(Table1[[#This Row],[customer_rating]]&gt;=7,"Passive","Detractor"))</f>
        <v>Detractor</v>
      </c>
      <c r="R883" s="5"/>
    </row>
    <row r="884" spans="1:18">
      <c r="A884" t="s">
        <v>910</v>
      </c>
      <c r="B884" t="s">
        <v>21</v>
      </c>
      <c r="C884" t="s">
        <v>15</v>
      </c>
      <c r="D884" s="5">
        <v>45949</v>
      </c>
      <c r="E884" s="5">
        <v>45952</v>
      </c>
      <c r="F884" s="5">
        <v>45956</v>
      </c>
      <c r="G884" s="5">
        <v>45962</v>
      </c>
      <c r="H884" t="s">
        <v>16</v>
      </c>
      <c r="I884" t="s">
        <v>17</v>
      </c>
      <c r="J884" s="5">
        <v>45989</v>
      </c>
      <c r="K884" s="15">
        <f t="shared" si="42"/>
        <v>3</v>
      </c>
      <c r="L884">
        <f t="shared" si="40"/>
        <v>4</v>
      </c>
      <c r="M884">
        <f t="shared" si="41"/>
        <v>6</v>
      </c>
      <c r="N884">
        <v>4</v>
      </c>
      <c r="O884">
        <f>DATEDIF(Table1[[#This Row],[lead_date]], Table1[[#This Row],[delivery_date]], "d")</f>
        <v>13</v>
      </c>
      <c r="P884" s="5" t="str">
        <f>IF(AND(Table1[[#This Row],[customer_rating]]&gt;=8, Table1[[#This Row],[Tat_day]]&lt;=7, Table1[[#This Row],[lead_type]]="Hot"), "High", "Normal")</f>
        <v>Normal</v>
      </c>
      <c r="Q884" s="5" t="str">
        <f>IF(Table1[[#This Row],[customer_rating]]&gt;=9,"Promoter",IF(Table1[[#This Row],[customer_rating]]&gt;=7,"Passive","Detractor"))</f>
        <v>Detractor</v>
      </c>
      <c r="R884" s="5"/>
    </row>
    <row r="885" spans="1:18">
      <c r="A885" t="s">
        <v>911</v>
      </c>
      <c r="B885" t="s">
        <v>14</v>
      </c>
      <c r="C885" t="s">
        <v>22</v>
      </c>
      <c r="D885" s="5">
        <v>45937</v>
      </c>
      <c r="H885" t="s">
        <v>23</v>
      </c>
      <c r="I885" t="s">
        <v>1028</v>
      </c>
      <c r="K885" s="15" t="str">
        <f t="shared" si="42"/>
        <v/>
      </c>
      <c r="L885" t="str">
        <f t="shared" si="40"/>
        <v/>
      </c>
      <c r="M885" t="str">
        <f t="shared" si="41"/>
        <v/>
      </c>
      <c r="O885"/>
      <c r="P885" s="5" t="str">
        <f>IF(AND(Table1[[#This Row],[customer_rating]]&gt;=8, Table1[[#This Row],[Tat_day]]&lt;=7, Table1[[#This Row],[lead_type]]="Hot"), "High", "Normal")</f>
        <v>Normal</v>
      </c>
      <c r="Q885" s="5" t="str">
        <f>IF(Table1[[#This Row],[customer_rating]]&gt;=9,"Promoter",IF(Table1[[#This Row],[customer_rating]]&gt;=7,"Passive","Detractor"))</f>
        <v>Detractor</v>
      </c>
      <c r="R885" s="5"/>
    </row>
    <row r="886" spans="1:18">
      <c r="A886" t="s">
        <v>912</v>
      </c>
      <c r="B886" t="s">
        <v>21</v>
      </c>
      <c r="C886" t="s">
        <v>30</v>
      </c>
      <c r="D886" s="5">
        <v>45957</v>
      </c>
      <c r="E886" s="5">
        <v>45961</v>
      </c>
      <c r="F886" s="5">
        <v>45963</v>
      </c>
      <c r="G886" s="5">
        <v>45968</v>
      </c>
      <c r="H886" t="s">
        <v>16</v>
      </c>
      <c r="I886" t="s">
        <v>17</v>
      </c>
      <c r="J886" s="5">
        <v>45993</v>
      </c>
      <c r="K886" s="15">
        <f t="shared" si="42"/>
        <v>4</v>
      </c>
      <c r="L886">
        <f t="shared" si="40"/>
        <v>2</v>
      </c>
      <c r="M886">
        <f t="shared" si="41"/>
        <v>5</v>
      </c>
      <c r="N886">
        <v>7</v>
      </c>
      <c r="O886">
        <f>DATEDIF(Table1[[#This Row],[lead_date]], Table1[[#This Row],[delivery_date]], "d")</f>
        <v>11</v>
      </c>
      <c r="P886" s="5" t="str">
        <f>IF(AND(Table1[[#This Row],[customer_rating]]&gt;=8, Table1[[#This Row],[Tat_day]]&lt;=7, Table1[[#This Row],[lead_type]]="Hot"), "High", "Normal")</f>
        <v>Normal</v>
      </c>
      <c r="Q886" s="5" t="str">
        <f>IF(Table1[[#This Row],[customer_rating]]&gt;=9,"Promoter",IF(Table1[[#This Row],[customer_rating]]&gt;=7,"Passive","Detractor"))</f>
        <v>Passive</v>
      </c>
      <c r="R886" s="5"/>
    </row>
    <row r="887" spans="1:18">
      <c r="A887" t="s">
        <v>913</v>
      </c>
      <c r="B887" t="s">
        <v>19</v>
      </c>
      <c r="C887" t="s">
        <v>30</v>
      </c>
      <c r="D887" s="5">
        <v>45958</v>
      </c>
      <c r="E887" s="5">
        <v>45963</v>
      </c>
      <c r="F887" s="5">
        <v>45967</v>
      </c>
      <c r="G887" s="5">
        <v>45974</v>
      </c>
      <c r="H887" t="s">
        <v>16</v>
      </c>
      <c r="I887" t="s">
        <v>17</v>
      </c>
      <c r="J887" s="5">
        <v>45990</v>
      </c>
      <c r="K887" s="15">
        <f t="shared" si="42"/>
        <v>5</v>
      </c>
      <c r="L887">
        <f t="shared" si="40"/>
        <v>4</v>
      </c>
      <c r="M887">
        <f t="shared" si="41"/>
        <v>7</v>
      </c>
      <c r="N887">
        <v>3</v>
      </c>
      <c r="O887">
        <f>DATEDIF(Table1[[#This Row],[lead_date]], Table1[[#This Row],[delivery_date]], "d")</f>
        <v>16</v>
      </c>
      <c r="P887" s="5" t="str">
        <f>IF(AND(Table1[[#This Row],[customer_rating]]&gt;=8, Table1[[#This Row],[Tat_day]]&lt;=7, Table1[[#This Row],[lead_type]]="Hot"), "High", "Normal")</f>
        <v>Normal</v>
      </c>
      <c r="Q887" s="5" t="str">
        <f>IF(Table1[[#This Row],[customer_rating]]&gt;=9,"Promoter",IF(Table1[[#This Row],[customer_rating]]&gt;=7,"Passive","Detractor"))</f>
        <v>Detractor</v>
      </c>
      <c r="R887" s="5"/>
    </row>
    <row r="888" spans="1:18">
      <c r="A888" t="s">
        <v>914</v>
      </c>
      <c r="B888" t="s">
        <v>21</v>
      </c>
      <c r="C888" t="s">
        <v>22</v>
      </c>
      <c r="D888" s="5">
        <v>45938</v>
      </c>
      <c r="H888" t="s">
        <v>23</v>
      </c>
      <c r="I888" t="s">
        <v>33</v>
      </c>
      <c r="K888" s="15" t="str">
        <f t="shared" si="42"/>
        <v/>
      </c>
      <c r="L888" t="str">
        <f t="shared" si="40"/>
        <v/>
      </c>
      <c r="M888" t="str">
        <f t="shared" si="41"/>
        <v/>
      </c>
      <c r="O888"/>
      <c r="P888" s="5" t="str">
        <f>IF(AND(Table1[[#This Row],[customer_rating]]&gt;=8, Table1[[#This Row],[Tat_day]]&lt;=7, Table1[[#This Row],[lead_type]]="Hot"), "High", "Normal")</f>
        <v>Normal</v>
      </c>
      <c r="Q888" s="5" t="str">
        <f>IF(Table1[[#This Row],[customer_rating]]&gt;=9,"Promoter",IF(Table1[[#This Row],[customer_rating]]&gt;=7,"Passive","Detractor"))</f>
        <v>Detractor</v>
      </c>
      <c r="R888" s="5"/>
    </row>
    <row r="889" spans="1:18">
      <c r="A889" t="s">
        <v>915</v>
      </c>
      <c r="B889" t="s">
        <v>32</v>
      </c>
      <c r="C889" t="s">
        <v>15</v>
      </c>
      <c r="D889" s="5">
        <v>45941</v>
      </c>
      <c r="E889" s="5">
        <v>45945</v>
      </c>
      <c r="F889" s="5">
        <v>45948</v>
      </c>
      <c r="G889" s="5">
        <v>45953</v>
      </c>
      <c r="H889" t="s">
        <v>16</v>
      </c>
      <c r="I889" t="s">
        <v>17</v>
      </c>
      <c r="J889" s="5">
        <v>45978</v>
      </c>
      <c r="K889" s="15">
        <f t="shared" si="42"/>
        <v>4</v>
      </c>
      <c r="L889">
        <f t="shared" si="40"/>
        <v>3</v>
      </c>
      <c r="M889">
        <f t="shared" si="41"/>
        <v>5</v>
      </c>
      <c r="N889">
        <v>7</v>
      </c>
      <c r="O889">
        <f>DATEDIF(Table1[[#This Row],[lead_date]], Table1[[#This Row],[delivery_date]], "d")</f>
        <v>12</v>
      </c>
      <c r="P889" s="5" t="str">
        <f>IF(AND(Table1[[#This Row],[customer_rating]]&gt;=8, Table1[[#This Row],[Tat_day]]&lt;=7, Table1[[#This Row],[lead_type]]="Hot"), "High", "Normal")</f>
        <v>Normal</v>
      </c>
      <c r="Q889" s="5" t="str">
        <f>IF(Table1[[#This Row],[customer_rating]]&gt;=9,"Promoter",IF(Table1[[#This Row],[customer_rating]]&gt;=7,"Passive","Detractor"))</f>
        <v>Passive</v>
      </c>
      <c r="R889" s="5"/>
    </row>
    <row r="890" spans="1:18">
      <c r="A890" t="s">
        <v>916</v>
      </c>
      <c r="B890" t="s">
        <v>19</v>
      </c>
      <c r="C890" t="s">
        <v>15</v>
      </c>
      <c r="D890" s="5">
        <v>45955</v>
      </c>
      <c r="E890" s="5">
        <v>45957</v>
      </c>
      <c r="F890" s="5">
        <v>45958</v>
      </c>
      <c r="G890" s="5">
        <v>45963</v>
      </c>
      <c r="H890" t="s">
        <v>16</v>
      </c>
      <c r="I890" t="s">
        <v>17</v>
      </c>
      <c r="J890" s="5">
        <v>45983</v>
      </c>
      <c r="K890" s="15">
        <f t="shared" si="42"/>
        <v>2</v>
      </c>
      <c r="L890">
        <f t="shared" si="40"/>
        <v>1</v>
      </c>
      <c r="M890">
        <f t="shared" si="41"/>
        <v>5</v>
      </c>
      <c r="N890">
        <v>9</v>
      </c>
      <c r="O890">
        <f>DATEDIF(Table1[[#This Row],[lead_date]], Table1[[#This Row],[delivery_date]], "d")</f>
        <v>8</v>
      </c>
      <c r="P890" s="5" t="str">
        <f>IF(AND(Table1[[#This Row],[customer_rating]]&gt;=8, Table1[[#This Row],[Tat_day]]&lt;=7, Table1[[#This Row],[lead_type]]="Hot"), "High", "Normal")</f>
        <v>Normal</v>
      </c>
      <c r="Q890" s="5" t="str">
        <f>IF(Table1[[#This Row],[customer_rating]]&gt;=9,"Promoter",IF(Table1[[#This Row],[customer_rating]]&gt;=7,"Passive","Detractor"))</f>
        <v>Promoter</v>
      </c>
      <c r="R890" s="5"/>
    </row>
    <row r="891" spans="1:18">
      <c r="A891" t="s">
        <v>917</v>
      </c>
      <c r="B891" t="s">
        <v>32</v>
      </c>
      <c r="C891" t="s">
        <v>15</v>
      </c>
      <c r="D891" s="5">
        <v>45935</v>
      </c>
      <c r="E891" s="5">
        <v>45937</v>
      </c>
      <c r="F891" s="5">
        <v>45941</v>
      </c>
      <c r="G891" s="5">
        <v>45943</v>
      </c>
      <c r="H891" t="s">
        <v>16</v>
      </c>
      <c r="I891" t="s">
        <v>17</v>
      </c>
      <c r="J891" s="5">
        <v>45960</v>
      </c>
      <c r="K891" s="15">
        <f t="shared" si="42"/>
        <v>2</v>
      </c>
      <c r="L891">
        <f t="shared" si="40"/>
        <v>4</v>
      </c>
      <c r="M891">
        <f t="shared" si="41"/>
        <v>2</v>
      </c>
      <c r="N891">
        <v>4</v>
      </c>
      <c r="O891">
        <f>DATEDIF(Table1[[#This Row],[lead_date]], Table1[[#This Row],[delivery_date]], "d")</f>
        <v>8</v>
      </c>
      <c r="P891" s="5" t="str">
        <f>IF(AND(Table1[[#This Row],[customer_rating]]&gt;=8, Table1[[#This Row],[Tat_day]]&lt;=7, Table1[[#This Row],[lead_type]]="Hot"), "High", "Normal")</f>
        <v>Normal</v>
      </c>
      <c r="Q891" s="5" t="str">
        <f>IF(Table1[[#This Row],[customer_rating]]&gt;=9,"Promoter",IF(Table1[[#This Row],[customer_rating]]&gt;=7,"Passive","Detractor"))</f>
        <v>Detractor</v>
      </c>
      <c r="R891" s="5"/>
    </row>
    <row r="892" spans="1:18">
      <c r="A892" t="s">
        <v>918</v>
      </c>
      <c r="B892" t="s">
        <v>14</v>
      </c>
      <c r="C892" t="s">
        <v>22</v>
      </c>
      <c r="D892" s="5">
        <v>45956</v>
      </c>
      <c r="H892" t="s">
        <v>23</v>
      </c>
      <c r="I892" t="s">
        <v>33</v>
      </c>
      <c r="K892" s="15" t="str">
        <f t="shared" si="42"/>
        <v/>
      </c>
      <c r="L892" t="str">
        <f t="shared" si="40"/>
        <v/>
      </c>
      <c r="M892" t="str">
        <f t="shared" si="41"/>
        <v/>
      </c>
      <c r="O892"/>
      <c r="P892" s="5" t="str">
        <f>IF(AND(Table1[[#This Row],[customer_rating]]&gt;=8, Table1[[#This Row],[Tat_day]]&lt;=7, Table1[[#This Row],[lead_type]]="Hot"), "High", "Normal")</f>
        <v>Normal</v>
      </c>
      <c r="Q892" s="5" t="str">
        <f>IF(Table1[[#This Row],[customer_rating]]&gt;=9,"Promoter",IF(Table1[[#This Row],[customer_rating]]&gt;=7,"Passive","Detractor"))</f>
        <v>Detractor</v>
      </c>
      <c r="R892" s="5"/>
    </row>
    <row r="893" spans="1:18">
      <c r="A893" t="s">
        <v>919</v>
      </c>
      <c r="B893" t="s">
        <v>14</v>
      </c>
      <c r="C893" t="s">
        <v>15</v>
      </c>
      <c r="D893" s="5">
        <v>45959</v>
      </c>
      <c r="E893" s="5">
        <v>45962</v>
      </c>
      <c r="F893" s="5">
        <v>45966</v>
      </c>
      <c r="G893" s="5">
        <v>45971</v>
      </c>
      <c r="H893" t="s">
        <v>16</v>
      </c>
      <c r="I893" t="s">
        <v>17</v>
      </c>
      <c r="J893" s="5">
        <v>45981</v>
      </c>
      <c r="K893" s="15">
        <f t="shared" si="42"/>
        <v>3</v>
      </c>
      <c r="L893">
        <f t="shared" si="40"/>
        <v>4</v>
      </c>
      <c r="M893">
        <f t="shared" si="41"/>
        <v>5</v>
      </c>
      <c r="N893">
        <v>7</v>
      </c>
      <c r="O893">
        <f>DATEDIF(Table1[[#This Row],[lead_date]], Table1[[#This Row],[delivery_date]], "d")</f>
        <v>12</v>
      </c>
      <c r="P893" s="5" t="str">
        <f>IF(AND(Table1[[#This Row],[customer_rating]]&gt;=8, Table1[[#This Row],[Tat_day]]&lt;=7, Table1[[#This Row],[lead_type]]="Hot"), "High", "Normal")</f>
        <v>Normal</v>
      </c>
      <c r="Q893" s="5" t="str">
        <f>IF(Table1[[#This Row],[customer_rating]]&gt;=9,"Promoter",IF(Table1[[#This Row],[customer_rating]]&gt;=7,"Passive","Detractor"))</f>
        <v>Passive</v>
      </c>
      <c r="R893" s="5"/>
    </row>
    <row r="894" spans="1:18">
      <c r="A894" t="s">
        <v>920</v>
      </c>
      <c r="B894" t="s">
        <v>14</v>
      </c>
      <c r="C894" t="s">
        <v>15</v>
      </c>
      <c r="D894" s="5">
        <v>45950</v>
      </c>
      <c r="E894" s="5">
        <v>45955</v>
      </c>
      <c r="F894" s="5">
        <v>45957</v>
      </c>
      <c r="G894" s="5">
        <v>45964</v>
      </c>
      <c r="H894" t="s">
        <v>16</v>
      </c>
      <c r="I894" t="s">
        <v>17</v>
      </c>
      <c r="J894" s="5">
        <v>45974</v>
      </c>
      <c r="K894" s="15">
        <f t="shared" si="42"/>
        <v>5</v>
      </c>
      <c r="L894">
        <f t="shared" si="40"/>
        <v>2</v>
      </c>
      <c r="M894">
        <f t="shared" si="41"/>
        <v>7</v>
      </c>
      <c r="N894">
        <v>7</v>
      </c>
      <c r="O894">
        <f>DATEDIF(Table1[[#This Row],[lead_date]], Table1[[#This Row],[delivery_date]], "d")</f>
        <v>14</v>
      </c>
      <c r="P894" s="5" t="str">
        <f>IF(AND(Table1[[#This Row],[customer_rating]]&gt;=8, Table1[[#This Row],[Tat_day]]&lt;=7, Table1[[#This Row],[lead_type]]="Hot"), "High", "Normal")</f>
        <v>Normal</v>
      </c>
      <c r="Q894" s="5" t="str">
        <f>IF(Table1[[#This Row],[customer_rating]]&gt;=9,"Promoter",IF(Table1[[#This Row],[customer_rating]]&gt;=7,"Passive","Detractor"))</f>
        <v>Passive</v>
      </c>
      <c r="R894" s="5"/>
    </row>
    <row r="895" spans="1:18">
      <c r="A895" t="s">
        <v>921</v>
      </c>
      <c r="B895" t="s">
        <v>21</v>
      </c>
      <c r="C895" t="s">
        <v>15</v>
      </c>
      <c r="D895" s="5">
        <v>45931</v>
      </c>
      <c r="E895" s="5">
        <v>45934</v>
      </c>
      <c r="F895" s="5">
        <v>45937</v>
      </c>
      <c r="G895" s="5">
        <v>45942</v>
      </c>
      <c r="H895" t="s">
        <v>16</v>
      </c>
      <c r="I895" t="s">
        <v>17</v>
      </c>
      <c r="J895" s="5">
        <v>45954</v>
      </c>
      <c r="K895" s="15">
        <f t="shared" si="42"/>
        <v>3</v>
      </c>
      <c r="L895">
        <f t="shared" si="40"/>
        <v>3</v>
      </c>
      <c r="M895">
        <f t="shared" si="41"/>
        <v>5</v>
      </c>
      <c r="N895">
        <v>7</v>
      </c>
      <c r="O895">
        <f>DATEDIF(Table1[[#This Row],[lead_date]], Table1[[#This Row],[delivery_date]], "d")</f>
        <v>11</v>
      </c>
      <c r="P895" s="5" t="str">
        <f>IF(AND(Table1[[#This Row],[customer_rating]]&gt;=8, Table1[[#This Row],[Tat_day]]&lt;=7, Table1[[#This Row],[lead_type]]="Hot"), "High", "Normal")</f>
        <v>Normal</v>
      </c>
      <c r="Q895" s="5" t="str">
        <f>IF(Table1[[#This Row],[customer_rating]]&gt;=9,"Promoter",IF(Table1[[#This Row],[customer_rating]]&gt;=7,"Passive","Detractor"))</f>
        <v>Passive</v>
      </c>
      <c r="R895" s="5"/>
    </row>
    <row r="896" spans="1:18">
      <c r="A896" t="s">
        <v>922</v>
      </c>
      <c r="B896" t="s">
        <v>19</v>
      </c>
      <c r="C896" t="s">
        <v>15</v>
      </c>
      <c r="D896" s="5">
        <v>45939</v>
      </c>
      <c r="E896" s="5">
        <v>45941</v>
      </c>
      <c r="F896" s="5">
        <v>45943</v>
      </c>
      <c r="G896" s="5">
        <v>45946</v>
      </c>
      <c r="H896" t="s">
        <v>16</v>
      </c>
      <c r="I896" t="s">
        <v>17</v>
      </c>
      <c r="J896" s="5">
        <v>45959</v>
      </c>
      <c r="K896" s="15">
        <f t="shared" si="42"/>
        <v>2</v>
      </c>
      <c r="L896">
        <f t="shared" si="40"/>
        <v>2</v>
      </c>
      <c r="M896">
        <f t="shared" si="41"/>
        <v>3</v>
      </c>
      <c r="N896">
        <v>1</v>
      </c>
      <c r="O896">
        <f>DATEDIF(Table1[[#This Row],[lead_date]], Table1[[#This Row],[delivery_date]], "d")</f>
        <v>7</v>
      </c>
      <c r="P896" s="5" t="str">
        <f>IF(AND(Table1[[#This Row],[customer_rating]]&gt;=8, Table1[[#This Row],[Tat_day]]&lt;=7, Table1[[#This Row],[lead_type]]="Hot"), "High", "Normal")</f>
        <v>Normal</v>
      </c>
      <c r="Q896" s="5" t="str">
        <f>IF(Table1[[#This Row],[customer_rating]]&gt;=9,"Promoter",IF(Table1[[#This Row],[customer_rating]]&gt;=7,"Passive","Detractor"))</f>
        <v>Detractor</v>
      </c>
      <c r="R896" s="5"/>
    </row>
    <row r="897" spans="1:18">
      <c r="A897" t="s">
        <v>923</v>
      </c>
      <c r="B897" t="s">
        <v>14</v>
      </c>
      <c r="C897" t="s">
        <v>15</v>
      </c>
      <c r="D897" s="5">
        <v>45958</v>
      </c>
      <c r="E897" s="5">
        <v>45960</v>
      </c>
      <c r="F897" s="5">
        <v>45963</v>
      </c>
      <c r="G897" s="5">
        <v>45967</v>
      </c>
      <c r="H897" t="s">
        <v>23</v>
      </c>
      <c r="I897" t="s">
        <v>101</v>
      </c>
      <c r="K897" s="15">
        <f t="shared" si="42"/>
        <v>2</v>
      </c>
      <c r="L897">
        <f t="shared" si="40"/>
        <v>3</v>
      </c>
      <c r="M897">
        <f t="shared" si="41"/>
        <v>4</v>
      </c>
      <c r="O897">
        <f>DATEDIF(Table1[[#This Row],[lead_date]], Table1[[#This Row],[delivery_date]], "d")</f>
        <v>9</v>
      </c>
      <c r="P897" s="5" t="str">
        <f>IF(AND(Table1[[#This Row],[customer_rating]]&gt;=8, Table1[[#This Row],[Tat_day]]&lt;=7, Table1[[#This Row],[lead_type]]="Hot"), "High", "Normal")</f>
        <v>Normal</v>
      </c>
      <c r="Q897" s="5" t="str">
        <f>IF(Table1[[#This Row],[customer_rating]]&gt;=9,"Promoter",IF(Table1[[#This Row],[customer_rating]]&gt;=7,"Passive","Detractor"))</f>
        <v>Detractor</v>
      </c>
      <c r="R897" s="5"/>
    </row>
    <row r="898" spans="1:18">
      <c r="A898" t="s">
        <v>924</v>
      </c>
      <c r="B898" t="s">
        <v>14</v>
      </c>
      <c r="C898" t="s">
        <v>22</v>
      </c>
      <c r="D898" s="5">
        <v>45935</v>
      </c>
      <c r="H898" t="s">
        <v>23</v>
      </c>
      <c r="I898" t="s">
        <v>101</v>
      </c>
      <c r="K898" s="15" t="str">
        <f t="shared" si="42"/>
        <v/>
      </c>
      <c r="L898" t="str">
        <f t="shared" si="40"/>
        <v/>
      </c>
      <c r="M898" t="str">
        <f t="shared" si="41"/>
        <v/>
      </c>
      <c r="O898"/>
      <c r="P898" s="5" t="str">
        <f>IF(AND(Table1[[#This Row],[customer_rating]]&gt;=8, Table1[[#This Row],[Tat_day]]&lt;=7, Table1[[#This Row],[lead_type]]="Hot"), "High", "Normal")</f>
        <v>Normal</v>
      </c>
      <c r="Q898" s="5" t="str">
        <f>IF(Table1[[#This Row],[customer_rating]]&gt;=9,"Promoter",IF(Table1[[#This Row],[customer_rating]]&gt;=7,"Passive","Detractor"))</f>
        <v>Detractor</v>
      </c>
      <c r="R898" s="5"/>
    </row>
    <row r="899" spans="1:18">
      <c r="A899" t="s">
        <v>925</v>
      </c>
      <c r="B899" t="s">
        <v>19</v>
      </c>
      <c r="C899" t="s">
        <v>22</v>
      </c>
      <c r="D899" s="5">
        <v>45935</v>
      </c>
      <c r="H899" t="s">
        <v>23</v>
      </c>
      <c r="I899" t="s">
        <v>33</v>
      </c>
      <c r="K899" s="15" t="str">
        <f t="shared" si="42"/>
        <v/>
      </c>
      <c r="L899" t="str">
        <f t="shared" ref="L899:L962" si="43">IF(OR(E899="", F899=""), "", INT(F899 - E899))</f>
        <v/>
      </c>
      <c r="M899" t="str">
        <f t="shared" ref="M899:M962" si="44">IF(OR(F899="", G899=""), "", INT(G899 - F899))</f>
        <v/>
      </c>
      <c r="O899"/>
      <c r="P899" s="5" t="str">
        <f>IF(AND(Table1[[#This Row],[customer_rating]]&gt;=8, Table1[[#This Row],[Tat_day]]&lt;=7, Table1[[#This Row],[lead_type]]="Hot"), "High", "Normal")</f>
        <v>Normal</v>
      </c>
      <c r="Q899" s="5" t="str">
        <f>IF(Table1[[#This Row],[customer_rating]]&gt;=9,"Promoter",IF(Table1[[#This Row],[customer_rating]]&gt;=7,"Passive","Detractor"))</f>
        <v>Detractor</v>
      </c>
      <c r="R899" s="5"/>
    </row>
    <row r="900" spans="1:18">
      <c r="A900" t="s">
        <v>926</v>
      </c>
      <c r="B900" t="s">
        <v>14</v>
      </c>
      <c r="C900" t="s">
        <v>22</v>
      </c>
      <c r="D900" s="5">
        <v>45948</v>
      </c>
      <c r="H900" t="s">
        <v>23</v>
      </c>
      <c r="I900" t="s">
        <v>24</v>
      </c>
      <c r="K900" s="15" t="str">
        <f t="shared" si="42"/>
        <v/>
      </c>
      <c r="L900" t="str">
        <f t="shared" si="43"/>
        <v/>
      </c>
      <c r="M900" t="str">
        <f t="shared" si="44"/>
        <v/>
      </c>
      <c r="O900"/>
      <c r="P900" s="5" t="str">
        <f>IF(AND(Table1[[#This Row],[customer_rating]]&gt;=8, Table1[[#This Row],[Tat_day]]&lt;=7, Table1[[#This Row],[lead_type]]="Hot"), "High", "Normal")</f>
        <v>Normal</v>
      </c>
      <c r="Q900" s="5" t="str">
        <f>IF(Table1[[#This Row],[customer_rating]]&gt;=9,"Promoter",IF(Table1[[#This Row],[customer_rating]]&gt;=7,"Passive","Detractor"))</f>
        <v>Detractor</v>
      </c>
      <c r="R900" s="5"/>
    </row>
    <row r="901" spans="1:18">
      <c r="A901" t="s">
        <v>927</v>
      </c>
      <c r="B901" t="s">
        <v>32</v>
      </c>
      <c r="C901" t="s">
        <v>30</v>
      </c>
      <c r="D901" s="5">
        <v>45939</v>
      </c>
      <c r="E901" s="5">
        <v>45943</v>
      </c>
      <c r="F901" s="5">
        <v>45945</v>
      </c>
      <c r="G901" s="5">
        <v>45948</v>
      </c>
      <c r="H901" t="s">
        <v>16</v>
      </c>
      <c r="I901" t="s">
        <v>17</v>
      </c>
      <c r="J901" s="5">
        <v>45976</v>
      </c>
      <c r="K901" s="15">
        <f t="shared" si="42"/>
        <v>4</v>
      </c>
      <c r="L901">
        <f t="shared" si="43"/>
        <v>2</v>
      </c>
      <c r="M901">
        <f t="shared" si="44"/>
        <v>3</v>
      </c>
      <c r="N901">
        <v>9</v>
      </c>
      <c r="O901">
        <f>DATEDIF(Table1[[#This Row],[lead_date]], Table1[[#This Row],[delivery_date]], "d")</f>
        <v>9</v>
      </c>
      <c r="P901" s="5" t="str">
        <f>IF(AND(Table1[[#This Row],[customer_rating]]&gt;=8, Table1[[#This Row],[Tat_day]]&lt;=7, Table1[[#This Row],[lead_type]]="Hot"), "High", "Normal")</f>
        <v>Normal</v>
      </c>
      <c r="Q901" s="5" t="str">
        <f>IF(Table1[[#This Row],[customer_rating]]&gt;=9,"Promoter",IF(Table1[[#This Row],[customer_rating]]&gt;=7,"Passive","Detractor"))</f>
        <v>Promoter</v>
      </c>
      <c r="R901" s="5"/>
    </row>
    <row r="902" spans="1:18">
      <c r="A902" t="s">
        <v>928</v>
      </c>
      <c r="B902" t="s">
        <v>19</v>
      </c>
      <c r="C902" t="s">
        <v>15</v>
      </c>
      <c r="D902" s="5">
        <v>45956</v>
      </c>
      <c r="E902" s="5">
        <v>45961</v>
      </c>
      <c r="F902" s="5">
        <v>45965</v>
      </c>
      <c r="G902" s="5">
        <v>45968</v>
      </c>
      <c r="H902" t="s">
        <v>16</v>
      </c>
      <c r="I902" t="s">
        <v>17</v>
      </c>
      <c r="J902" s="5">
        <v>45993</v>
      </c>
      <c r="K902" s="15">
        <f t="shared" si="42"/>
        <v>5</v>
      </c>
      <c r="L902">
        <f t="shared" si="43"/>
        <v>4</v>
      </c>
      <c r="M902">
        <f t="shared" si="44"/>
        <v>3</v>
      </c>
      <c r="N902">
        <v>10</v>
      </c>
      <c r="O902">
        <f>DATEDIF(Table1[[#This Row],[lead_date]], Table1[[#This Row],[delivery_date]], "d")</f>
        <v>12</v>
      </c>
      <c r="P902" s="5" t="str">
        <f>IF(AND(Table1[[#This Row],[customer_rating]]&gt;=8, Table1[[#This Row],[Tat_day]]&lt;=7, Table1[[#This Row],[lead_type]]="Hot"), "High", "Normal")</f>
        <v>Normal</v>
      </c>
      <c r="Q902" s="5" t="str">
        <f>IF(Table1[[#This Row],[customer_rating]]&gt;=9,"Promoter",IF(Table1[[#This Row],[customer_rating]]&gt;=7,"Passive","Detractor"))</f>
        <v>Promoter</v>
      </c>
      <c r="R902" s="5"/>
    </row>
    <row r="903" spans="1:18">
      <c r="A903" t="s">
        <v>929</v>
      </c>
      <c r="B903" t="s">
        <v>19</v>
      </c>
      <c r="C903" t="s">
        <v>15</v>
      </c>
      <c r="D903" s="5">
        <v>45936</v>
      </c>
      <c r="E903" s="5">
        <v>45940</v>
      </c>
      <c r="F903" s="5">
        <v>45944</v>
      </c>
      <c r="G903" s="5">
        <v>45948</v>
      </c>
      <c r="H903" t="s">
        <v>16</v>
      </c>
      <c r="I903" t="s">
        <v>17</v>
      </c>
      <c r="J903" s="5">
        <v>45962</v>
      </c>
      <c r="K903" s="15">
        <f t="shared" si="42"/>
        <v>4</v>
      </c>
      <c r="L903">
        <f t="shared" si="43"/>
        <v>4</v>
      </c>
      <c r="M903">
        <f t="shared" si="44"/>
        <v>4</v>
      </c>
      <c r="N903">
        <v>0</v>
      </c>
      <c r="O903">
        <f>DATEDIF(Table1[[#This Row],[lead_date]], Table1[[#This Row],[delivery_date]], "d")</f>
        <v>12</v>
      </c>
      <c r="P903" s="5" t="str">
        <f>IF(AND(Table1[[#This Row],[customer_rating]]&gt;=8, Table1[[#This Row],[Tat_day]]&lt;=7, Table1[[#This Row],[lead_type]]="Hot"), "High", "Normal")</f>
        <v>Normal</v>
      </c>
      <c r="Q903" s="5" t="str">
        <f>IF(Table1[[#This Row],[customer_rating]]&gt;=9,"Promoter",IF(Table1[[#This Row],[customer_rating]]&gt;=7,"Passive","Detractor"))</f>
        <v>Detractor</v>
      </c>
      <c r="R903" s="5"/>
    </row>
    <row r="904" spans="1:18">
      <c r="A904" t="s">
        <v>930</v>
      </c>
      <c r="B904" t="s">
        <v>19</v>
      </c>
      <c r="C904" t="s">
        <v>15</v>
      </c>
      <c r="D904" s="5">
        <v>45934</v>
      </c>
      <c r="E904" s="5">
        <v>45938</v>
      </c>
      <c r="F904" s="5">
        <v>45939</v>
      </c>
      <c r="G904" s="5">
        <v>45943</v>
      </c>
      <c r="H904" t="s">
        <v>16</v>
      </c>
      <c r="I904" t="s">
        <v>17</v>
      </c>
      <c r="J904" s="5">
        <v>45955</v>
      </c>
      <c r="K904" s="15">
        <f t="shared" si="42"/>
        <v>4</v>
      </c>
      <c r="L904">
        <f t="shared" si="43"/>
        <v>1</v>
      </c>
      <c r="M904">
        <f t="shared" si="44"/>
        <v>4</v>
      </c>
      <c r="N904">
        <v>5</v>
      </c>
      <c r="O904">
        <f>DATEDIF(Table1[[#This Row],[lead_date]], Table1[[#This Row],[delivery_date]], "d")</f>
        <v>9</v>
      </c>
      <c r="P904" s="5" t="str">
        <f>IF(AND(Table1[[#This Row],[customer_rating]]&gt;=8, Table1[[#This Row],[Tat_day]]&lt;=7, Table1[[#This Row],[lead_type]]="Hot"), "High", "Normal")</f>
        <v>Normal</v>
      </c>
      <c r="Q904" s="5" t="str">
        <f>IF(Table1[[#This Row],[customer_rating]]&gt;=9,"Promoter",IF(Table1[[#This Row],[customer_rating]]&gt;=7,"Passive","Detractor"))</f>
        <v>Detractor</v>
      </c>
      <c r="R904" s="5"/>
    </row>
    <row r="905" spans="1:18">
      <c r="A905" t="s">
        <v>931</v>
      </c>
      <c r="B905" t="s">
        <v>32</v>
      </c>
      <c r="C905" t="s">
        <v>15</v>
      </c>
      <c r="D905" s="5">
        <v>45952</v>
      </c>
      <c r="E905" s="5">
        <v>45955</v>
      </c>
      <c r="F905" s="5">
        <v>45959</v>
      </c>
      <c r="G905" s="5">
        <v>45964</v>
      </c>
      <c r="H905" t="s">
        <v>16</v>
      </c>
      <c r="I905" t="s">
        <v>17</v>
      </c>
      <c r="J905" s="5">
        <v>45990</v>
      </c>
      <c r="K905" s="15">
        <f t="shared" ref="K905:K968" si="45">IF(OR(D905="",E905=""),"",INT(E905-D905))</f>
        <v>3</v>
      </c>
      <c r="L905">
        <f t="shared" si="43"/>
        <v>4</v>
      </c>
      <c r="M905">
        <f t="shared" si="44"/>
        <v>5</v>
      </c>
      <c r="N905">
        <v>9</v>
      </c>
      <c r="O905">
        <f>DATEDIF(Table1[[#This Row],[lead_date]], Table1[[#This Row],[delivery_date]], "d")</f>
        <v>12</v>
      </c>
      <c r="P905" s="5" t="str">
        <f>IF(AND(Table1[[#This Row],[customer_rating]]&gt;=8, Table1[[#This Row],[Tat_day]]&lt;=7, Table1[[#This Row],[lead_type]]="Hot"), "High", "Normal")</f>
        <v>Normal</v>
      </c>
      <c r="Q905" s="5" t="str">
        <f>IF(Table1[[#This Row],[customer_rating]]&gt;=9,"Promoter",IF(Table1[[#This Row],[customer_rating]]&gt;=7,"Passive","Detractor"))</f>
        <v>Promoter</v>
      </c>
      <c r="R905" s="5"/>
    </row>
    <row r="906" spans="1:18">
      <c r="A906" t="s">
        <v>932</v>
      </c>
      <c r="B906" t="s">
        <v>19</v>
      </c>
      <c r="C906" t="s">
        <v>22</v>
      </c>
      <c r="D906" s="5">
        <v>45958</v>
      </c>
      <c r="H906" t="s">
        <v>23</v>
      </c>
      <c r="I906" t="s">
        <v>63</v>
      </c>
      <c r="K906" s="15" t="str">
        <f t="shared" si="45"/>
        <v/>
      </c>
      <c r="L906" t="str">
        <f t="shared" si="43"/>
        <v/>
      </c>
      <c r="M906" t="str">
        <f t="shared" si="44"/>
        <v/>
      </c>
      <c r="O906"/>
      <c r="P906" s="5" t="str">
        <f>IF(AND(Table1[[#This Row],[customer_rating]]&gt;=8, Table1[[#This Row],[Tat_day]]&lt;=7, Table1[[#This Row],[lead_type]]="Hot"), "High", "Normal")</f>
        <v>Normal</v>
      </c>
      <c r="Q906" s="5" t="str">
        <f>IF(Table1[[#This Row],[customer_rating]]&gt;=9,"Promoter",IF(Table1[[#This Row],[customer_rating]]&gt;=7,"Passive","Detractor"))</f>
        <v>Detractor</v>
      </c>
      <c r="R906" s="5"/>
    </row>
    <row r="907" spans="1:18">
      <c r="A907" t="s">
        <v>933</v>
      </c>
      <c r="B907" t="s">
        <v>32</v>
      </c>
      <c r="C907" t="s">
        <v>15</v>
      </c>
      <c r="D907" s="5">
        <v>45931</v>
      </c>
      <c r="E907" s="5">
        <v>45935</v>
      </c>
      <c r="F907" s="5">
        <v>45940</v>
      </c>
      <c r="G907" s="5">
        <v>45943</v>
      </c>
      <c r="H907" t="s">
        <v>16</v>
      </c>
      <c r="I907" t="s">
        <v>17</v>
      </c>
      <c r="J907" s="5">
        <v>45955</v>
      </c>
      <c r="K907" s="15">
        <f t="shared" si="45"/>
        <v>4</v>
      </c>
      <c r="L907">
        <f t="shared" si="43"/>
        <v>5</v>
      </c>
      <c r="M907">
        <f t="shared" si="44"/>
        <v>3</v>
      </c>
      <c r="N907">
        <v>7</v>
      </c>
      <c r="O907">
        <f>DATEDIF(Table1[[#This Row],[lead_date]], Table1[[#This Row],[delivery_date]], "d")</f>
        <v>12</v>
      </c>
      <c r="P907" s="5" t="str">
        <f>IF(AND(Table1[[#This Row],[customer_rating]]&gt;=8, Table1[[#This Row],[Tat_day]]&lt;=7, Table1[[#This Row],[lead_type]]="Hot"), "High", "Normal")</f>
        <v>Normal</v>
      </c>
      <c r="Q907" s="5" t="str">
        <f>IF(Table1[[#This Row],[customer_rating]]&gt;=9,"Promoter",IF(Table1[[#This Row],[customer_rating]]&gt;=7,"Passive","Detractor"))</f>
        <v>Passive</v>
      </c>
      <c r="R907" s="5"/>
    </row>
    <row r="908" spans="1:18">
      <c r="A908" t="s">
        <v>934</v>
      </c>
      <c r="B908" t="s">
        <v>19</v>
      </c>
      <c r="C908" t="s">
        <v>15</v>
      </c>
      <c r="D908" s="5">
        <v>45935</v>
      </c>
      <c r="E908" s="5">
        <v>45936</v>
      </c>
      <c r="F908" s="5">
        <v>45940</v>
      </c>
      <c r="G908" s="5">
        <v>45942</v>
      </c>
      <c r="H908" t="s">
        <v>16</v>
      </c>
      <c r="I908" t="s">
        <v>17</v>
      </c>
      <c r="J908" s="5">
        <v>45955</v>
      </c>
      <c r="K908" s="15">
        <f t="shared" si="45"/>
        <v>1</v>
      </c>
      <c r="L908">
        <f t="shared" si="43"/>
        <v>4</v>
      </c>
      <c r="M908">
        <f t="shared" si="44"/>
        <v>2</v>
      </c>
      <c r="N908">
        <v>4</v>
      </c>
      <c r="O908">
        <f>DATEDIF(Table1[[#This Row],[lead_date]], Table1[[#This Row],[delivery_date]], "d")</f>
        <v>7</v>
      </c>
      <c r="P908" s="5" t="str">
        <f>IF(AND(Table1[[#This Row],[customer_rating]]&gt;=8, Table1[[#This Row],[Tat_day]]&lt;=7, Table1[[#This Row],[lead_type]]="Hot"), "High", "Normal")</f>
        <v>Normal</v>
      </c>
      <c r="Q908" s="5" t="str">
        <f>IF(Table1[[#This Row],[customer_rating]]&gt;=9,"Promoter",IF(Table1[[#This Row],[customer_rating]]&gt;=7,"Passive","Detractor"))</f>
        <v>Detractor</v>
      </c>
      <c r="R908" s="5"/>
    </row>
    <row r="909" spans="1:18">
      <c r="A909" t="s">
        <v>935</v>
      </c>
      <c r="B909" t="s">
        <v>21</v>
      </c>
      <c r="C909" t="s">
        <v>30</v>
      </c>
      <c r="D909" s="5">
        <v>45931</v>
      </c>
      <c r="E909" s="5">
        <v>45932</v>
      </c>
      <c r="F909" s="5">
        <v>45937</v>
      </c>
      <c r="G909" s="5">
        <v>45943</v>
      </c>
      <c r="H909" t="s">
        <v>16</v>
      </c>
      <c r="I909" t="s">
        <v>17</v>
      </c>
      <c r="J909" s="5">
        <v>45961</v>
      </c>
      <c r="K909" s="15">
        <f t="shared" si="45"/>
        <v>1</v>
      </c>
      <c r="L909">
        <f t="shared" si="43"/>
        <v>5</v>
      </c>
      <c r="M909">
        <f t="shared" si="44"/>
        <v>6</v>
      </c>
      <c r="N909">
        <v>2</v>
      </c>
      <c r="O909">
        <f>DATEDIF(Table1[[#This Row],[lead_date]], Table1[[#This Row],[delivery_date]], "d")</f>
        <v>12</v>
      </c>
      <c r="P909" s="5" t="str">
        <f>IF(AND(Table1[[#This Row],[customer_rating]]&gt;=8, Table1[[#This Row],[Tat_day]]&lt;=7, Table1[[#This Row],[lead_type]]="Hot"), "High", "Normal")</f>
        <v>Normal</v>
      </c>
      <c r="Q909" s="5" t="str">
        <f>IF(Table1[[#This Row],[customer_rating]]&gt;=9,"Promoter",IF(Table1[[#This Row],[customer_rating]]&gt;=7,"Passive","Detractor"))</f>
        <v>Detractor</v>
      </c>
      <c r="R909" s="5"/>
    </row>
    <row r="910" spans="1:18">
      <c r="A910" t="s">
        <v>936</v>
      </c>
      <c r="B910" t="s">
        <v>14</v>
      </c>
      <c r="C910" t="s">
        <v>15</v>
      </c>
      <c r="D910" s="5">
        <v>45942</v>
      </c>
      <c r="E910" s="5">
        <v>45946</v>
      </c>
      <c r="F910" s="5">
        <v>45950</v>
      </c>
      <c r="G910" s="5">
        <v>45956</v>
      </c>
      <c r="H910" t="s">
        <v>16</v>
      </c>
      <c r="I910" t="s">
        <v>17</v>
      </c>
      <c r="J910" s="5">
        <v>45986</v>
      </c>
      <c r="K910" s="15">
        <f t="shared" si="45"/>
        <v>4</v>
      </c>
      <c r="L910">
        <f t="shared" si="43"/>
        <v>4</v>
      </c>
      <c r="M910">
        <f t="shared" si="44"/>
        <v>6</v>
      </c>
      <c r="N910">
        <v>8</v>
      </c>
      <c r="O910">
        <f>DATEDIF(Table1[[#This Row],[lead_date]], Table1[[#This Row],[delivery_date]], "d")</f>
        <v>14</v>
      </c>
      <c r="P910" s="5" t="str">
        <f>IF(AND(Table1[[#This Row],[customer_rating]]&gt;=8, Table1[[#This Row],[Tat_day]]&lt;=7, Table1[[#This Row],[lead_type]]="Hot"), "High", "Normal")</f>
        <v>Normal</v>
      </c>
      <c r="Q910" s="5" t="str">
        <f>IF(Table1[[#This Row],[customer_rating]]&gt;=9,"Promoter",IF(Table1[[#This Row],[customer_rating]]&gt;=7,"Passive","Detractor"))</f>
        <v>Passive</v>
      </c>
      <c r="R910" s="5"/>
    </row>
    <row r="911" spans="1:18">
      <c r="A911" t="s">
        <v>937</v>
      </c>
      <c r="B911" t="s">
        <v>21</v>
      </c>
      <c r="C911" t="s">
        <v>15</v>
      </c>
      <c r="D911" s="5">
        <v>45956</v>
      </c>
      <c r="E911" s="5">
        <v>45961</v>
      </c>
      <c r="F911" s="5">
        <v>45966</v>
      </c>
      <c r="G911" s="5">
        <v>45972</v>
      </c>
      <c r="H911" t="s">
        <v>16</v>
      </c>
      <c r="I911" t="s">
        <v>17</v>
      </c>
      <c r="J911" s="5">
        <v>45989</v>
      </c>
      <c r="K911" s="15">
        <f t="shared" si="45"/>
        <v>5</v>
      </c>
      <c r="L911">
        <f t="shared" si="43"/>
        <v>5</v>
      </c>
      <c r="M911">
        <f t="shared" si="44"/>
        <v>6</v>
      </c>
      <c r="N911">
        <v>2</v>
      </c>
      <c r="O911">
        <f>DATEDIF(Table1[[#This Row],[lead_date]], Table1[[#This Row],[delivery_date]], "d")</f>
        <v>16</v>
      </c>
      <c r="P911" s="5" t="str">
        <f>IF(AND(Table1[[#This Row],[customer_rating]]&gt;=8, Table1[[#This Row],[Tat_day]]&lt;=7, Table1[[#This Row],[lead_type]]="Hot"), "High", "Normal")</f>
        <v>Normal</v>
      </c>
      <c r="Q911" s="5" t="str">
        <f>IF(Table1[[#This Row],[customer_rating]]&gt;=9,"Promoter",IF(Table1[[#This Row],[customer_rating]]&gt;=7,"Passive","Detractor"))</f>
        <v>Detractor</v>
      </c>
      <c r="R911" s="5"/>
    </row>
    <row r="912" spans="1:18">
      <c r="A912" t="s">
        <v>938</v>
      </c>
      <c r="B912" t="s">
        <v>14</v>
      </c>
      <c r="C912" t="s">
        <v>15</v>
      </c>
      <c r="D912" s="5">
        <v>45956</v>
      </c>
      <c r="E912" s="5">
        <v>45960</v>
      </c>
      <c r="F912" s="5">
        <v>45965</v>
      </c>
      <c r="G912" s="5">
        <v>45968</v>
      </c>
      <c r="H912" t="s">
        <v>16</v>
      </c>
      <c r="I912" t="s">
        <v>17</v>
      </c>
      <c r="J912" s="5">
        <v>45992</v>
      </c>
      <c r="K912" s="15">
        <f t="shared" si="45"/>
        <v>4</v>
      </c>
      <c r="L912">
        <f t="shared" si="43"/>
        <v>5</v>
      </c>
      <c r="M912">
        <f t="shared" si="44"/>
        <v>3</v>
      </c>
      <c r="N912">
        <v>4</v>
      </c>
      <c r="O912">
        <f>DATEDIF(Table1[[#This Row],[lead_date]], Table1[[#This Row],[delivery_date]], "d")</f>
        <v>12</v>
      </c>
      <c r="P912" s="5" t="str">
        <f>IF(AND(Table1[[#This Row],[customer_rating]]&gt;=8, Table1[[#This Row],[Tat_day]]&lt;=7, Table1[[#This Row],[lead_type]]="Hot"), "High", "Normal")</f>
        <v>Normal</v>
      </c>
      <c r="Q912" s="5" t="str">
        <f>IF(Table1[[#This Row],[customer_rating]]&gt;=9,"Promoter",IF(Table1[[#This Row],[customer_rating]]&gt;=7,"Passive","Detractor"))</f>
        <v>Detractor</v>
      </c>
      <c r="R912" s="5"/>
    </row>
    <row r="913" spans="1:18">
      <c r="A913" t="s">
        <v>939</v>
      </c>
      <c r="B913" t="s">
        <v>32</v>
      </c>
      <c r="C913" t="s">
        <v>30</v>
      </c>
      <c r="D913" s="5">
        <v>45938</v>
      </c>
      <c r="E913" s="5">
        <v>45940</v>
      </c>
      <c r="F913" s="5">
        <v>45944</v>
      </c>
      <c r="G913" s="5">
        <v>45951</v>
      </c>
      <c r="H913" t="s">
        <v>16</v>
      </c>
      <c r="I913" t="s">
        <v>17</v>
      </c>
      <c r="J913" s="5">
        <v>45970</v>
      </c>
      <c r="K913" s="15">
        <f t="shared" si="45"/>
        <v>2</v>
      </c>
      <c r="L913">
        <f t="shared" si="43"/>
        <v>4</v>
      </c>
      <c r="M913">
        <f t="shared" si="44"/>
        <v>7</v>
      </c>
      <c r="N913">
        <v>1</v>
      </c>
      <c r="O913">
        <f>DATEDIF(Table1[[#This Row],[lead_date]], Table1[[#This Row],[delivery_date]], "d")</f>
        <v>13</v>
      </c>
      <c r="P913" s="5" t="str">
        <f>IF(AND(Table1[[#This Row],[customer_rating]]&gt;=8, Table1[[#This Row],[Tat_day]]&lt;=7, Table1[[#This Row],[lead_type]]="Hot"), "High", "Normal")</f>
        <v>Normal</v>
      </c>
      <c r="Q913" s="5" t="str">
        <f>IF(Table1[[#This Row],[customer_rating]]&gt;=9,"Promoter",IF(Table1[[#This Row],[customer_rating]]&gt;=7,"Passive","Detractor"))</f>
        <v>Detractor</v>
      </c>
      <c r="R913" s="5"/>
    </row>
    <row r="914" spans="1:18">
      <c r="A914" t="s">
        <v>940</v>
      </c>
      <c r="B914" t="s">
        <v>21</v>
      </c>
      <c r="C914" t="s">
        <v>30</v>
      </c>
      <c r="D914" s="5">
        <v>45949</v>
      </c>
      <c r="E914" s="5">
        <v>45951</v>
      </c>
      <c r="F914" s="5">
        <v>45956</v>
      </c>
      <c r="G914" s="5">
        <v>45960</v>
      </c>
      <c r="H914" t="s">
        <v>16</v>
      </c>
      <c r="I914" t="s">
        <v>17</v>
      </c>
      <c r="J914" s="5">
        <v>45978</v>
      </c>
      <c r="K914" s="15">
        <f t="shared" si="45"/>
        <v>2</v>
      </c>
      <c r="L914">
        <f t="shared" si="43"/>
        <v>5</v>
      </c>
      <c r="M914">
        <f t="shared" si="44"/>
        <v>4</v>
      </c>
      <c r="N914">
        <v>8</v>
      </c>
      <c r="O914">
        <f>DATEDIF(Table1[[#This Row],[lead_date]], Table1[[#This Row],[delivery_date]], "d")</f>
        <v>11</v>
      </c>
      <c r="P914" s="5" t="str">
        <f>IF(AND(Table1[[#This Row],[customer_rating]]&gt;=8, Table1[[#This Row],[Tat_day]]&lt;=7, Table1[[#This Row],[lead_type]]="Hot"), "High", "Normal")</f>
        <v>Normal</v>
      </c>
      <c r="Q914" s="5" t="str">
        <f>IF(Table1[[#This Row],[customer_rating]]&gt;=9,"Promoter",IF(Table1[[#This Row],[customer_rating]]&gt;=7,"Passive","Detractor"))</f>
        <v>Passive</v>
      </c>
      <c r="R914" s="5"/>
    </row>
    <row r="915" spans="1:18">
      <c r="A915" t="s">
        <v>941</v>
      </c>
      <c r="B915" t="s">
        <v>19</v>
      </c>
      <c r="C915" t="s">
        <v>15</v>
      </c>
      <c r="D915" s="5">
        <v>45941</v>
      </c>
      <c r="E915" s="5">
        <v>45946</v>
      </c>
      <c r="F915" s="5">
        <v>45947</v>
      </c>
      <c r="G915" s="5">
        <v>45952</v>
      </c>
      <c r="H915" t="s">
        <v>16</v>
      </c>
      <c r="I915" t="s">
        <v>17</v>
      </c>
      <c r="J915" s="5">
        <v>45976</v>
      </c>
      <c r="K915" s="15">
        <f t="shared" si="45"/>
        <v>5</v>
      </c>
      <c r="L915">
        <f t="shared" si="43"/>
        <v>1</v>
      </c>
      <c r="M915">
        <f t="shared" si="44"/>
        <v>5</v>
      </c>
      <c r="N915">
        <v>9</v>
      </c>
      <c r="O915">
        <f>DATEDIF(Table1[[#This Row],[lead_date]], Table1[[#This Row],[delivery_date]], "d")</f>
        <v>11</v>
      </c>
      <c r="P915" s="5" t="str">
        <f>IF(AND(Table1[[#This Row],[customer_rating]]&gt;=8, Table1[[#This Row],[Tat_day]]&lt;=7, Table1[[#This Row],[lead_type]]="Hot"), "High", "Normal")</f>
        <v>Normal</v>
      </c>
      <c r="Q915" s="5" t="str">
        <f>IF(Table1[[#This Row],[customer_rating]]&gt;=9,"Promoter",IF(Table1[[#This Row],[customer_rating]]&gt;=7,"Passive","Detractor"))</f>
        <v>Promoter</v>
      </c>
      <c r="R915" s="5"/>
    </row>
    <row r="916" spans="1:18">
      <c r="A916" t="s">
        <v>942</v>
      </c>
      <c r="B916" t="s">
        <v>14</v>
      </c>
      <c r="C916" t="s">
        <v>30</v>
      </c>
      <c r="D916" s="5">
        <v>45931</v>
      </c>
      <c r="E916" s="5">
        <v>45934</v>
      </c>
      <c r="F916" s="5">
        <v>45937</v>
      </c>
      <c r="G916" s="5">
        <v>45942</v>
      </c>
      <c r="H916" t="s">
        <v>16</v>
      </c>
      <c r="I916" t="s">
        <v>17</v>
      </c>
      <c r="J916" s="5">
        <v>45953</v>
      </c>
      <c r="K916" s="15">
        <f t="shared" si="45"/>
        <v>3</v>
      </c>
      <c r="L916">
        <f t="shared" si="43"/>
        <v>3</v>
      </c>
      <c r="M916">
        <f t="shared" si="44"/>
        <v>5</v>
      </c>
      <c r="N916">
        <v>4</v>
      </c>
      <c r="O916">
        <f>DATEDIF(Table1[[#This Row],[lead_date]], Table1[[#This Row],[delivery_date]], "d")</f>
        <v>11</v>
      </c>
      <c r="P916" s="5" t="str">
        <f>IF(AND(Table1[[#This Row],[customer_rating]]&gt;=8, Table1[[#This Row],[Tat_day]]&lt;=7, Table1[[#This Row],[lead_type]]="Hot"), "High", "Normal")</f>
        <v>Normal</v>
      </c>
      <c r="Q916" s="5" t="str">
        <f>IF(Table1[[#This Row],[customer_rating]]&gt;=9,"Promoter",IF(Table1[[#This Row],[customer_rating]]&gt;=7,"Passive","Detractor"))</f>
        <v>Detractor</v>
      </c>
      <c r="R916" s="5"/>
    </row>
    <row r="917" spans="1:18">
      <c r="A917" t="s">
        <v>943</v>
      </c>
      <c r="B917" t="s">
        <v>14</v>
      </c>
      <c r="C917" t="s">
        <v>30</v>
      </c>
      <c r="D917" s="5">
        <v>45936</v>
      </c>
      <c r="E917" s="5">
        <v>45937</v>
      </c>
      <c r="F917" s="5">
        <v>45942</v>
      </c>
      <c r="G917" s="5">
        <v>45948</v>
      </c>
      <c r="H917" t="s">
        <v>16</v>
      </c>
      <c r="I917" t="s">
        <v>17</v>
      </c>
      <c r="J917" s="5">
        <v>45961</v>
      </c>
      <c r="K917" s="15">
        <f t="shared" si="45"/>
        <v>1</v>
      </c>
      <c r="L917">
        <f t="shared" si="43"/>
        <v>5</v>
      </c>
      <c r="M917">
        <f t="shared" si="44"/>
        <v>6</v>
      </c>
      <c r="N917">
        <v>1</v>
      </c>
      <c r="O917">
        <f>DATEDIF(Table1[[#This Row],[lead_date]], Table1[[#This Row],[delivery_date]], "d")</f>
        <v>12</v>
      </c>
      <c r="P917" s="5" t="str">
        <f>IF(AND(Table1[[#This Row],[customer_rating]]&gt;=8, Table1[[#This Row],[Tat_day]]&lt;=7, Table1[[#This Row],[lead_type]]="Hot"), "High", "Normal")</f>
        <v>Normal</v>
      </c>
      <c r="Q917" s="5" t="str">
        <f>IF(Table1[[#This Row],[customer_rating]]&gt;=9,"Promoter",IF(Table1[[#This Row],[customer_rating]]&gt;=7,"Passive","Detractor"))</f>
        <v>Detractor</v>
      </c>
      <c r="R917" s="5"/>
    </row>
    <row r="918" spans="1:18">
      <c r="A918" t="s">
        <v>944</v>
      </c>
      <c r="B918" t="s">
        <v>21</v>
      </c>
      <c r="C918" t="s">
        <v>30</v>
      </c>
      <c r="D918" s="5">
        <v>45939</v>
      </c>
      <c r="E918" s="5">
        <v>45940</v>
      </c>
      <c r="F918" s="5">
        <v>45945</v>
      </c>
      <c r="G918" s="5">
        <v>45950</v>
      </c>
      <c r="H918" t="s">
        <v>16</v>
      </c>
      <c r="I918" t="s">
        <v>17</v>
      </c>
      <c r="J918" s="5">
        <v>45965</v>
      </c>
      <c r="K918" s="15">
        <f t="shared" si="45"/>
        <v>1</v>
      </c>
      <c r="L918">
        <f t="shared" si="43"/>
        <v>5</v>
      </c>
      <c r="M918">
        <f t="shared" si="44"/>
        <v>5</v>
      </c>
      <c r="N918">
        <v>6</v>
      </c>
      <c r="O918">
        <f>DATEDIF(Table1[[#This Row],[lead_date]], Table1[[#This Row],[delivery_date]], "d")</f>
        <v>11</v>
      </c>
      <c r="P918" s="5" t="str">
        <f>IF(AND(Table1[[#This Row],[customer_rating]]&gt;=8, Table1[[#This Row],[Tat_day]]&lt;=7, Table1[[#This Row],[lead_type]]="Hot"), "High", "Normal")</f>
        <v>Normal</v>
      </c>
      <c r="Q918" s="5" t="str">
        <f>IF(Table1[[#This Row],[customer_rating]]&gt;=9,"Promoter",IF(Table1[[#This Row],[customer_rating]]&gt;=7,"Passive","Detractor"))</f>
        <v>Detractor</v>
      </c>
      <c r="R918" s="5"/>
    </row>
    <row r="919" spans="1:18">
      <c r="A919" t="s">
        <v>945</v>
      </c>
      <c r="B919" t="s">
        <v>32</v>
      </c>
      <c r="C919" t="s">
        <v>30</v>
      </c>
      <c r="D919" s="5">
        <v>45932</v>
      </c>
      <c r="E919" s="5">
        <v>45935</v>
      </c>
      <c r="F919" s="5">
        <v>45936</v>
      </c>
      <c r="G919" s="5">
        <v>45938</v>
      </c>
      <c r="H919" t="s">
        <v>16</v>
      </c>
      <c r="I919" t="s">
        <v>17</v>
      </c>
      <c r="J919" s="5">
        <v>45949</v>
      </c>
      <c r="K919" s="15">
        <f t="shared" si="45"/>
        <v>3</v>
      </c>
      <c r="L919">
        <f t="shared" si="43"/>
        <v>1</v>
      </c>
      <c r="M919">
        <f t="shared" si="44"/>
        <v>2</v>
      </c>
      <c r="N919">
        <v>8</v>
      </c>
      <c r="O919">
        <f>DATEDIF(Table1[[#This Row],[lead_date]], Table1[[#This Row],[delivery_date]], "d")</f>
        <v>6</v>
      </c>
      <c r="P919" s="5" t="str">
        <f>IF(AND(Table1[[#This Row],[customer_rating]]&gt;=8, Table1[[#This Row],[Tat_day]]&lt;=7, Table1[[#This Row],[lead_type]]="Hot"), "High", "Normal")</f>
        <v>High</v>
      </c>
      <c r="Q919" s="5" t="str">
        <f>IF(Table1[[#This Row],[customer_rating]]&gt;=9,"Promoter",IF(Table1[[#This Row],[customer_rating]]&gt;=7,"Passive","Detractor"))</f>
        <v>Passive</v>
      </c>
      <c r="R919" s="5"/>
    </row>
    <row r="920" spans="1:18">
      <c r="A920" t="s">
        <v>946</v>
      </c>
      <c r="B920" t="s">
        <v>21</v>
      </c>
      <c r="C920" t="s">
        <v>30</v>
      </c>
      <c r="D920" s="5">
        <v>45935</v>
      </c>
      <c r="E920" s="5">
        <v>45939</v>
      </c>
      <c r="F920" s="5">
        <v>45940</v>
      </c>
      <c r="G920" s="5">
        <v>45942</v>
      </c>
      <c r="H920" t="s">
        <v>16</v>
      </c>
      <c r="I920" t="s">
        <v>17</v>
      </c>
      <c r="J920" s="5">
        <v>45961</v>
      </c>
      <c r="K920" s="15">
        <f t="shared" si="45"/>
        <v>4</v>
      </c>
      <c r="L920">
        <f t="shared" si="43"/>
        <v>1</v>
      </c>
      <c r="M920">
        <f t="shared" si="44"/>
        <v>2</v>
      </c>
      <c r="N920">
        <v>1</v>
      </c>
      <c r="O920">
        <f>DATEDIF(Table1[[#This Row],[lead_date]], Table1[[#This Row],[delivery_date]], "d")</f>
        <v>7</v>
      </c>
      <c r="P920" s="5" t="str">
        <f>IF(AND(Table1[[#This Row],[customer_rating]]&gt;=8, Table1[[#This Row],[Tat_day]]&lt;=7, Table1[[#This Row],[lead_type]]="Hot"), "High", "Normal")</f>
        <v>Normal</v>
      </c>
      <c r="Q920" s="5" t="str">
        <f>IF(Table1[[#This Row],[customer_rating]]&gt;=9,"Promoter",IF(Table1[[#This Row],[customer_rating]]&gt;=7,"Passive","Detractor"))</f>
        <v>Detractor</v>
      </c>
      <c r="R920" s="5"/>
    </row>
    <row r="921" spans="1:18">
      <c r="A921" t="s">
        <v>947</v>
      </c>
      <c r="B921" t="s">
        <v>32</v>
      </c>
      <c r="C921" t="s">
        <v>15</v>
      </c>
      <c r="D921" s="5">
        <v>45954</v>
      </c>
      <c r="E921" s="5">
        <v>45959</v>
      </c>
      <c r="F921" s="5">
        <v>45961</v>
      </c>
      <c r="G921" s="5">
        <v>45965</v>
      </c>
      <c r="H921" t="s">
        <v>16</v>
      </c>
      <c r="I921" t="s">
        <v>17</v>
      </c>
      <c r="J921" s="5">
        <v>45986</v>
      </c>
      <c r="K921" s="15">
        <f t="shared" si="45"/>
        <v>5</v>
      </c>
      <c r="L921">
        <f t="shared" si="43"/>
        <v>2</v>
      </c>
      <c r="M921">
        <f t="shared" si="44"/>
        <v>4</v>
      </c>
      <c r="N921">
        <v>6</v>
      </c>
      <c r="O921">
        <f>DATEDIF(Table1[[#This Row],[lead_date]], Table1[[#This Row],[delivery_date]], "d")</f>
        <v>11</v>
      </c>
      <c r="P921" s="5" t="str">
        <f>IF(AND(Table1[[#This Row],[customer_rating]]&gt;=8, Table1[[#This Row],[Tat_day]]&lt;=7, Table1[[#This Row],[lead_type]]="Hot"), "High", "Normal")</f>
        <v>Normal</v>
      </c>
      <c r="Q921" s="5" t="str">
        <f>IF(Table1[[#This Row],[customer_rating]]&gt;=9,"Promoter",IF(Table1[[#This Row],[customer_rating]]&gt;=7,"Passive","Detractor"))</f>
        <v>Detractor</v>
      </c>
      <c r="R921" s="5"/>
    </row>
    <row r="922" spans="1:18">
      <c r="A922" t="s">
        <v>948</v>
      </c>
      <c r="B922" t="s">
        <v>32</v>
      </c>
      <c r="C922" t="s">
        <v>15</v>
      </c>
      <c r="D922" s="5">
        <v>45944</v>
      </c>
      <c r="E922" s="5">
        <v>45948</v>
      </c>
      <c r="F922" s="5">
        <v>45951</v>
      </c>
      <c r="G922" s="5">
        <v>45956</v>
      </c>
      <c r="H922" t="s">
        <v>16</v>
      </c>
      <c r="I922" t="s">
        <v>17</v>
      </c>
      <c r="J922" s="5">
        <v>45976</v>
      </c>
      <c r="K922" s="15">
        <f t="shared" si="45"/>
        <v>4</v>
      </c>
      <c r="L922">
        <f t="shared" si="43"/>
        <v>3</v>
      </c>
      <c r="M922">
        <f t="shared" si="44"/>
        <v>5</v>
      </c>
      <c r="N922">
        <v>0</v>
      </c>
      <c r="O922">
        <f>DATEDIF(Table1[[#This Row],[lead_date]], Table1[[#This Row],[delivery_date]], "d")</f>
        <v>12</v>
      </c>
      <c r="P922" s="5" t="str">
        <f>IF(AND(Table1[[#This Row],[customer_rating]]&gt;=8, Table1[[#This Row],[Tat_day]]&lt;=7, Table1[[#This Row],[lead_type]]="Hot"), "High", "Normal")</f>
        <v>Normal</v>
      </c>
      <c r="Q922" s="5" t="str">
        <f>IF(Table1[[#This Row],[customer_rating]]&gt;=9,"Promoter",IF(Table1[[#This Row],[customer_rating]]&gt;=7,"Passive","Detractor"))</f>
        <v>Detractor</v>
      </c>
      <c r="R922" s="5"/>
    </row>
    <row r="923" spans="1:18">
      <c r="A923" t="s">
        <v>949</v>
      </c>
      <c r="B923" t="s">
        <v>14</v>
      </c>
      <c r="C923" t="s">
        <v>22</v>
      </c>
      <c r="D923" s="5">
        <v>45947</v>
      </c>
      <c r="H923" t="s">
        <v>23</v>
      </c>
      <c r="I923" t="s">
        <v>24</v>
      </c>
      <c r="K923" s="15" t="str">
        <f t="shared" si="45"/>
        <v/>
      </c>
      <c r="L923" t="str">
        <f t="shared" si="43"/>
        <v/>
      </c>
      <c r="M923" t="str">
        <f t="shared" si="44"/>
        <v/>
      </c>
      <c r="O923"/>
      <c r="P923" s="5" t="str">
        <f>IF(AND(Table1[[#This Row],[customer_rating]]&gt;=8, Table1[[#This Row],[Tat_day]]&lt;=7, Table1[[#This Row],[lead_type]]="Hot"), "High", "Normal")</f>
        <v>Normal</v>
      </c>
      <c r="Q923" s="5" t="str">
        <f>IF(Table1[[#This Row],[customer_rating]]&gt;=9,"Promoter",IF(Table1[[#This Row],[customer_rating]]&gt;=7,"Passive","Detractor"))</f>
        <v>Detractor</v>
      </c>
      <c r="R923" s="5"/>
    </row>
    <row r="924" spans="1:18">
      <c r="A924" t="s">
        <v>950</v>
      </c>
      <c r="B924" t="s">
        <v>21</v>
      </c>
      <c r="C924" t="s">
        <v>15</v>
      </c>
      <c r="D924" s="5">
        <v>45934</v>
      </c>
      <c r="E924" s="5">
        <v>45937</v>
      </c>
      <c r="F924" s="5">
        <v>45939</v>
      </c>
      <c r="G924" s="5">
        <v>45942</v>
      </c>
      <c r="H924" t="s">
        <v>16</v>
      </c>
      <c r="I924" t="s">
        <v>17</v>
      </c>
      <c r="J924" s="5">
        <v>45965</v>
      </c>
      <c r="K924" s="15">
        <f t="shared" si="45"/>
        <v>3</v>
      </c>
      <c r="L924">
        <f t="shared" si="43"/>
        <v>2</v>
      </c>
      <c r="M924">
        <f t="shared" si="44"/>
        <v>3</v>
      </c>
      <c r="N924">
        <v>6</v>
      </c>
      <c r="O924">
        <f>DATEDIF(Table1[[#This Row],[lead_date]], Table1[[#This Row],[delivery_date]], "d")</f>
        <v>8</v>
      </c>
      <c r="P924" s="5" t="str">
        <f>IF(AND(Table1[[#This Row],[customer_rating]]&gt;=8, Table1[[#This Row],[Tat_day]]&lt;=7, Table1[[#This Row],[lead_type]]="Hot"), "High", "Normal")</f>
        <v>Normal</v>
      </c>
      <c r="Q924" s="5" t="str">
        <f>IF(Table1[[#This Row],[customer_rating]]&gt;=9,"Promoter",IF(Table1[[#This Row],[customer_rating]]&gt;=7,"Passive","Detractor"))</f>
        <v>Detractor</v>
      </c>
      <c r="R924" s="5"/>
    </row>
    <row r="925" spans="1:18">
      <c r="A925" t="s">
        <v>951</v>
      </c>
      <c r="B925" t="s">
        <v>21</v>
      </c>
      <c r="C925" t="s">
        <v>15</v>
      </c>
      <c r="D925" s="5">
        <v>45954</v>
      </c>
      <c r="E925" s="5">
        <v>45959</v>
      </c>
      <c r="F925" s="5">
        <v>45964</v>
      </c>
      <c r="G925" s="5">
        <v>45969</v>
      </c>
      <c r="H925" t="s">
        <v>16</v>
      </c>
      <c r="I925" t="s">
        <v>17</v>
      </c>
      <c r="J925" s="5">
        <v>45982</v>
      </c>
      <c r="K925" s="15">
        <f t="shared" si="45"/>
        <v>5</v>
      </c>
      <c r="L925">
        <f t="shared" si="43"/>
        <v>5</v>
      </c>
      <c r="M925">
        <f t="shared" si="44"/>
        <v>5</v>
      </c>
      <c r="N925">
        <v>6</v>
      </c>
      <c r="O925">
        <f>DATEDIF(Table1[[#This Row],[lead_date]], Table1[[#This Row],[delivery_date]], "d")</f>
        <v>15</v>
      </c>
      <c r="P925" s="5" t="str">
        <f>IF(AND(Table1[[#This Row],[customer_rating]]&gt;=8, Table1[[#This Row],[Tat_day]]&lt;=7, Table1[[#This Row],[lead_type]]="Hot"), "High", "Normal")</f>
        <v>Normal</v>
      </c>
      <c r="Q925" s="5" t="str">
        <f>IF(Table1[[#This Row],[customer_rating]]&gt;=9,"Promoter",IF(Table1[[#This Row],[customer_rating]]&gt;=7,"Passive","Detractor"))</f>
        <v>Detractor</v>
      </c>
      <c r="R925" s="5"/>
    </row>
    <row r="926" spans="1:18">
      <c r="A926" t="s">
        <v>952</v>
      </c>
      <c r="B926" t="s">
        <v>32</v>
      </c>
      <c r="C926" t="s">
        <v>30</v>
      </c>
      <c r="D926" s="5">
        <v>45933</v>
      </c>
      <c r="E926" s="5">
        <v>45934</v>
      </c>
      <c r="F926" s="5">
        <v>45935</v>
      </c>
      <c r="G926" s="5">
        <v>45938</v>
      </c>
      <c r="H926" t="s">
        <v>16</v>
      </c>
      <c r="I926" t="s">
        <v>17</v>
      </c>
      <c r="J926" s="5">
        <v>45951</v>
      </c>
      <c r="K926" s="15">
        <f t="shared" si="45"/>
        <v>1</v>
      </c>
      <c r="L926">
        <f t="shared" si="43"/>
        <v>1</v>
      </c>
      <c r="M926">
        <f t="shared" si="44"/>
        <v>3</v>
      </c>
      <c r="N926">
        <v>6</v>
      </c>
      <c r="O926">
        <f>DATEDIF(Table1[[#This Row],[lead_date]], Table1[[#This Row],[delivery_date]], "d")</f>
        <v>5</v>
      </c>
      <c r="P926" s="5" t="str">
        <f>IF(AND(Table1[[#This Row],[customer_rating]]&gt;=8, Table1[[#This Row],[Tat_day]]&lt;=7, Table1[[#This Row],[lead_type]]="Hot"), "High", "Normal")</f>
        <v>Normal</v>
      </c>
      <c r="Q926" s="5" t="str">
        <f>IF(Table1[[#This Row],[customer_rating]]&gt;=9,"Promoter",IF(Table1[[#This Row],[customer_rating]]&gt;=7,"Passive","Detractor"))</f>
        <v>Detractor</v>
      </c>
      <c r="R926" s="5"/>
    </row>
    <row r="927" spans="1:18">
      <c r="A927" t="s">
        <v>953</v>
      </c>
      <c r="B927" t="s">
        <v>21</v>
      </c>
      <c r="C927" t="s">
        <v>30</v>
      </c>
      <c r="D927" s="5">
        <v>45946</v>
      </c>
      <c r="E927" s="5">
        <v>45947</v>
      </c>
      <c r="F927" s="5">
        <v>45952</v>
      </c>
      <c r="G927" s="5">
        <v>45959</v>
      </c>
      <c r="H927" t="s">
        <v>16</v>
      </c>
      <c r="I927" t="s">
        <v>17</v>
      </c>
      <c r="J927" s="5">
        <v>45970</v>
      </c>
      <c r="K927" s="15">
        <f t="shared" si="45"/>
        <v>1</v>
      </c>
      <c r="L927">
        <f t="shared" si="43"/>
        <v>5</v>
      </c>
      <c r="M927">
        <f t="shared" si="44"/>
        <v>7</v>
      </c>
      <c r="N927">
        <v>2</v>
      </c>
      <c r="O927">
        <f>DATEDIF(Table1[[#This Row],[lead_date]], Table1[[#This Row],[delivery_date]], "d")</f>
        <v>13</v>
      </c>
      <c r="P927" s="5" t="str">
        <f>IF(AND(Table1[[#This Row],[customer_rating]]&gt;=8, Table1[[#This Row],[Tat_day]]&lt;=7, Table1[[#This Row],[lead_type]]="Hot"), "High", "Normal")</f>
        <v>Normal</v>
      </c>
      <c r="Q927" s="5" t="str">
        <f>IF(Table1[[#This Row],[customer_rating]]&gt;=9,"Promoter",IF(Table1[[#This Row],[customer_rating]]&gt;=7,"Passive","Detractor"))</f>
        <v>Detractor</v>
      </c>
      <c r="R927" s="5"/>
    </row>
    <row r="928" spans="1:18">
      <c r="A928" t="s">
        <v>954</v>
      </c>
      <c r="B928" t="s">
        <v>19</v>
      </c>
      <c r="C928" t="s">
        <v>15</v>
      </c>
      <c r="D928" s="5">
        <v>45945</v>
      </c>
      <c r="E928" s="5">
        <v>45949</v>
      </c>
      <c r="F928" s="5">
        <v>45953</v>
      </c>
      <c r="G928" s="5">
        <v>45959</v>
      </c>
      <c r="H928" t="s">
        <v>16</v>
      </c>
      <c r="I928" t="s">
        <v>17</v>
      </c>
      <c r="J928" s="5">
        <v>45969</v>
      </c>
      <c r="K928" s="15">
        <f t="shared" si="45"/>
        <v>4</v>
      </c>
      <c r="L928">
        <f t="shared" si="43"/>
        <v>4</v>
      </c>
      <c r="M928">
        <f t="shared" si="44"/>
        <v>6</v>
      </c>
      <c r="N928">
        <v>7</v>
      </c>
      <c r="O928">
        <f>DATEDIF(Table1[[#This Row],[lead_date]], Table1[[#This Row],[delivery_date]], "d")</f>
        <v>14</v>
      </c>
      <c r="P928" s="5" t="str">
        <f>IF(AND(Table1[[#This Row],[customer_rating]]&gt;=8, Table1[[#This Row],[Tat_day]]&lt;=7, Table1[[#This Row],[lead_type]]="Hot"), "High", "Normal")</f>
        <v>Normal</v>
      </c>
      <c r="Q928" s="5" t="str">
        <f>IF(Table1[[#This Row],[customer_rating]]&gt;=9,"Promoter",IF(Table1[[#This Row],[customer_rating]]&gt;=7,"Passive","Detractor"))</f>
        <v>Passive</v>
      </c>
      <c r="R928" s="5"/>
    </row>
    <row r="929" spans="1:18">
      <c r="A929" t="s">
        <v>955</v>
      </c>
      <c r="B929" t="s">
        <v>19</v>
      </c>
      <c r="C929" t="s">
        <v>30</v>
      </c>
      <c r="D929" s="5">
        <v>45955</v>
      </c>
      <c r="E929" s="5">
        <v>45957</v>
      </c>
      <c r="F929" s="5">
        <v>45960</v>
      </c>
      <c r="G929" s="5">
        <v>45963</v>
      </c>
      <c r="H929" t="s">
        <v>23</v>
      </c>
      <c r="I929" t="s">
        <v>63</v>
      </c>
      <c r="K929" s="15">
        <f t="shared" si="45"/>
        <v>2</v>
      </c>
      <c r="L929">
        <f t="shared" si="43"/>
        <v>3</v>
      </c>
      <c r="M929">
        <f t="shared" si="44"/>
        <v>3</v>
      </c>
      <c r="O929">
        <f>DATEDIF(Table1[[#This Row],[lead_date]], Table1[[#This Row],[delivery_date]], "d")</f>
        <v>8</v>
      </c>
      <c r="P929" s="5" t="str">
        <f>IF(AND(Table1[[#This Row],[customer_rating]]&gt;=8, Table1[[#This Row],[Tat_day]]&lt;=7, Table1[[#This Row],[lead_type]]="Hot"), "High", "Normal")</f>
        <v>Normal</v>
      </c>
      <c r="Q929" s="5" t="str">
        <f>IF(Table1[[#This Row],[customer_rating]]&gt;=9,"Promoter",IF(Table1[[#This Row],[customer_rating]]&gt;=7,"Passive","Detractor"))</f>
        <v>Detractor</v>
      </c>
      <c r="R929" s="5"/>
    </row>
    <row r="930" spans="1:18">
      <c r="A930" t="s">
        <v>956</v>
      </c>
      <c r="B930" t="s">
        <v>21</v>
      </c>
      <c r="C930" t="s">
        <v>15</v>
      </c>
      <c r="D930" s="5">
        <v>45942</v>
      </c>
      <c r="E930" s="5">
        <v>45945</v>
      </c>
      <c r="F930" s="5">
        <v>45949</v>
      </c>
      <c r="G930" s="5">
        <v>45956</v>
      </c>
      <c r="H930" t="s">
        <v>16</v>
      </c>
      <c r="I930" t="s">
        <v>17</v>
      </c>
      <c r="J930" s="5">
        <v>45970</v>
      </c>
      <c r="K930" s="15">
        <f t="shared" si="45"/>
        <v>3</v>
      </c>
      <c r="L930">
        <f t="shared" si="43"/>
        <v>4</v>
      </c>
      <c r="M930">
        <f t="shared" si="44"/>
        <v>7</v>
      </c>
      <c r="N930">
        <v>8</v>
      </c>
      <c r="O930">
        <f>DATEDIF(Table1[[#This Row],[lead_date]], Table1[[#This Row],[delivery_date]], "d")</f>
        <v>14</v>
      </c>
      <c r="P930" s="5" t="str">
        <f>IF(AND(Table1[[#This Row],[customer_rating]]&gt;=8, Table1[[#This Row],[Tat_day]]&lt;=7, Table1[[#This Row],[lead_type]]="Hot"), "High", "Normal")</f>
        <v>Normal</v>
      </c>
      <c r="Q930" s="5" t="str">
        <f>IF(Table1[[#This Row],[customer_rating]]&gt;=9,"Promoter",IF(Table1[[#This Row],[customer_rating]]&gt;=7,"Passive","Detractor"))</f>
        <v>Passive</v>
      </c>
      <c r="R930" s="5"/>
    </row>
    <row r="931" spans="1:18">
      <c r="A931" t="s">
        <v>957</v>
      </c>
      <c r="B931" t="s">
        <v>21</v>
      </c>
      <c r="C931" t="s">
        <v>15</v>
      </c>
      <c r="D931" s="5">
        <v>45947</v>
      </c>
      <c r="E931" s="5">
        <v>45950</v>
      </c>
      <c r="F931" s="5">
        <v>45951</v>
      </c>
      <c r="G931" s="5">
        <v>45957</v>
      </c>
      <c r="H931" t="s">
        <v>16</v>
      </c>
      <c r="I931" t="s">
        <v>17</v>
      </c>
      <c r="J931" s="5">
        <v>45987</v>
      </c>
      <c r="K931" s="15">
        <f t="shared" si="45"/>
        <v>3</v>
      </c>
      <c r="L931">
        <f t="shared" si="43"/>
        <v>1</v>
      </c>
      <c r="M931">
        <f t="shared" si="44"/>
        <v>6</v>
      </c>
      <c r="N931">
        <v>1</v>
      </c>
      <c r="O931">
        <f>DATEDIF(Table1[[#This Row],[lead_date]], Table1[[#This Row],[delivery_date]], "d")</f>
        <v>10</v>
      </c>
      <c r="P931" s="5" t="str">
        <f>IF(AND(Table1[[#This Row],[customer_rating]]&gt;=8, Table1[[#This Row],[Tat_day]]&lt;=7, Table1[[#This Row],[lead_type]]="Hot"), "High", "Normal")</f>
        <v>Normal</v>
      </c>
      <c r="Q931" s="5" t="str">
        <f>IF(Table1[[#This Row],[customer_rating]]&gt;=9,"Promoter",IF(Table1[[#This Row],[customer_rating]]&gt;=7,"Passive","Detractor"))</f>
        <v>Detractor</v>
      </c>
      <c r="R931" s="5"/>
    </row>
    <row r="932" spans="1:18">
      <c r="A932" t="s">
        <v>958</v>
      </c>
      <c r="B932" t="s">
        <v>32</v>
      </c>
      <c r="C932" t="s">
        <v>15</v>
      </c>
      <c r="D932" s="5">
        <v>45949</v>
      </c>
      <c r="E932" s="5">
        <v>45953</v>
      </c>
      <c r="F932" s="5">
        <v>45954</v>
      </c>
      <c r="G932" s="5">
        <v>45956</v>
      </c>
      <c r="H932" t="s">
        <v>16</v>
      </c>
      <c r="I932" t="s">
        <v>17</v>
      </c>
      <c r="J932" s="5">
        <v>45971</v>
      </c>
      <c r="K932" s="15">
        <f t="shared" si="45"/>
        <v>4</v>
      </c>
      <c r="L932">
        <f t="shared" si="43"/>
        <v>1</v>
      </c>
      <c r="M932">
        <f t="shared" si="44"/>
        <v>2</v>
      </c>
      <c r="N932">
        <v>7</v>
      </c>
      <c r="O932">
        <f>DATEDIF(Table1[[#This Row],[lead_date]], Table1[[#This Row],[delivery_date]], "d")</f>
        <v>7</v>
      </c>
      <c r="P932" s="5" t="str">
        <f>IF(AND(Table1[[#This Row],[customer_rating]]&gt;=8, Table1[[#This Row],[Tat_day]]&lt;=7, Table1[[#This Row],[lead_type]]="Hot"), "High", "Normal")</f>
        <v>Normal</v>
      </c>
      <c r="Q932" s="5" t="str">
        <f>IF(Table1[[#This Row],[customer_rating]]&gt;=9,"Promoter",IF(Table1[[#This Row],[customer_rating]]&gt;=7,"Passive","Detractor"))</f>
        <v>Passive</v>
      </c>
      <c r="R932" s="5"/>
    </row>
    <row r="933" spans="1:18">
      <c r="A933" t="s">
        <v>959</v>
      </c>
      <c r="B933" t="s">
        <v>19</v>
      </c>
      <c r="C933" t="s">
        <v>30</v>
      </c>
      <c r="D933" s="5">
        <v>45934</v>
      </c>
      <c r="E933" s="5">
        <v>45937</v>
      </c>
      <c r="F933" s="5">
        <v>45938</v>
      </c>
      <c r="G933" s="5">
        <v>45943</v>
      </c>
      <c r="H933" t="s">
        <v>16</v>
      </c>
      <c r="I933" t="s">
        <v>17</v>
      </c>
      <c r="J933" s="5">
        <v>45963</v>
      </c>
      <c r="K933" s="15">
        <f t="shared" si="45"/>
        <v>3</v>
      </c>
      <c r="L933">
        <f t="shared" si="43"/>
        <v>1</v>
      </c>
      <c r="M933">
        <f t="shared" si="44"/>
        <v>5</v>
      </c>
      <c r="N933">
        <v>9</v>
      </c>
      <c r="O933">
        <f>DATEDIF(Table1[[#This Row],[lead_date]], Table1[[#This Row],[delivery_date]], "d")</f>
        <v>9</v>
      </c>
      <c r="P933" s="5" t="str">
        <f>IF(AND(Table1[[#This Row],[customer_rating]]&gt;=8, Table1[[#This Row],[Tat_day]]&lt;=7, Table1[[#This Row],[lead_type]]="Hot"), "High", "Normal")</f>
        <v>Normal</v>
      </c>
      <c r="Q933" s="5" t="str">
        <f>IF(Table1[[#This Row],[customer_rating]]&gt;=9,"Promoter",IF(Table1[[#This Row],[customer_rating]]&gt;=7,"Passive","Detractor"))</f>
        <v>Promoter</v>
      </c>
      <c r="R933" s="5"/>
    </row>
    <row r="934" spans="1:18">
      <c r="A934" t="s">
        <v>960</v>
      </c>
      <c r="B934" t="s">
        <v>19</v>
      </c>
      <c r="C934" t="s">
        <v>15</v>
      </c>
      <c r="D934" s="5">
        <v>45945</v>
      </c>
      <c r="E934" s="5">
        <v>45946</v>
      </c>
      <c r="F934" s="5">
        <v>45949</v>
      </c>
      <c r="G934" s="5">
        <v>45956</v>
      </c>
      <c r="H934" t="s">
        <v>16</v>
      </c>
      <c r="I934" t="s">
        <v>17</v>
      </c>
      <c r="J934" s="5">
        <v>45977</v>
      </c>
      <c r="K934" s="15">
        <f t="shared" si="45"/>
        <v>1</v>
      </c>
      <c r="L934">
        <f t="shared" si="43"/>
        <v>3</v>
      </c>
      <c r="M934">
        <f t="shared" si="44"/>
        <v>7</v>
      </c>
      <c r="N934">
        <v>2</v>
      </c>
      <c r="O934">
        <f>DATEDIF(Table1[[#This Row],[lead_date]], Table1[[#This Row],[delivery_date]], "d")</f>
        <v>11</v>
      </c>
      <c r="P934" s="5" t="str">
        <f>IF(AND(Table1[[#This Row],[customer_rating]]&gt;=8, Table1[[#This Row],[Tat_day]]&lt;=7, Table1[[#This Row],[lead_type]]="Hot"), "High", "Normal")</f>
        <v>Normal</v>
      </c>
      <c r="Q934" s="5" t="str">
        <f>IF(Table1[[#This Row],[customer_rating]]&gt;=9,"Promoter",IF(Table1[[#This Row],[customer_rating]]&gt;=7,"Passive","Detractor"))</f>
        <v>Detractor</v>
      </c>
      <c r="R934" s="5"/>
    </row>
    <row r="935" spans="1:18">
      <c r="A935" t="s">
        <v>961</v>
      </c>
      <c r="B935" t="s">
        <v>14</v>
      </c>
      <c r="C935" t="s">
        <v>15</v>
      </c>
      <c r="D935" s="5">
        <v>45947</v>
      </c>
      <c r="E935" s="5">
        <v>45951</v>
      </c>
      <c r="F935" s="5">
        <v>45953</v>
      </c>
      <c r="G935" s="5">
        <v>45957</v>
      </c>
      <c r="H935" t="s">
        <v>23</v>
      </c>
      <c r="I935" t="s">
        <v>33</v>
      </c>
      <c r="K935" s="15">
        <f t="shared" si="45"/>
        <v>4</v>
      </c>
      <c r="L935">
        <f t="shared" si="43"/>
        <v>2</v>
      </c>
      <c r="M935">
        <f t="shared" si="44"/>
        <v>4</v>
      </c>
      <c r="O935">
        <f>DATEDIF(Table1[[#This Row],[lead_date]], Table1[[#This Row],[delivery_date]], "d")</f>
        <v>10</v>
      </c>
      <c r="P935" s="5" t="str">
        <f>IF(AND(Table1[[#This Row],[customer_rating]]&gt;=8, Table1[[#This Row],[Tat_day]]&lt;=7, Table1[[#This Row],[lead_type]]="Hot"), "High", "Normal")</f>
        <v>Normal</v>
      </c>
      <c r="Q935" s="5" t="str">
        <f>IF(Table1[[#This Row],[customer_rating]]&gt;=9,"Promoter",IF(Table1[[#This Row],[customer_rating]]&gt;=7,"Passive","Detractor"))</f>
        <v>Detractor</v>
      </c>
      <c r="R935" s="5"/>
    </row>
    <row r="936" spans="1:18">
      <c r="A936" t="s">
        <v>962</v>
      </c>
      <c r="B936" t="s">
        <v>32</v>
      </c>
      <c r="C936" t="s">
        <v>30</v>
      </c>
      <c r="D936" s="5">
        <v>45938</v>
      </c>
      <c r="E936" s="5">
        <v>45939</v>
      </c>
      <c r="F936" s="5">
        <v>45944</v>
      </c>
      <c r="G936" s="5">
        <v>45949</v>
      </c>
      <c r="H936" t="s">
        <v>16</v>
      </c>
      <c r="I936" t="s">
        <v>17</v>
      </c>
      <c r="J936" s="5">
        <v>45973</v>
      </c>
      <c r="K936" s="15">
        <f t="shared" si="45"/>
        <v>1</v>
      </c>
      <c r="L936">
        <f t="shared" si="43"/>
        <v>5</v>
      </c>
      <c r="M936">
        <f t="shared" si="44"/>
        <v>5</v>
      </c>
      <c r="N936">
        <v>9</v>
      </c>
      <c r="O936">
        <f>DATEDIF(Table1[[#This Row],[lead_date]], Table1[[#This Row],[delivery_date]], "d")</f>
        <v>11</v>
      </c>
      <c r="P936" s="5" t="str">
        <f>IF(AND(Table1[[#This Row],[customer_rating]]&gt;=8, Table1[[#This Row],[Tat_day]]&lt;=7, Table1[[#This Row],[lead_type]]="Hot"), "High", "Normal")</f>
        <v>Normal</v>
      </c>
      <c r="Q936" s="5" t="str">
        <f>IF(Table1[[#This Row],[customer_rating]]&gt;=9,"Promoter",IF(Table1[[#This Row],[customer_rating]]&gt;=7,"Passive","Detractor"))</f>
        <v>Promoter</v>
      </c>
      <c r="R936" s="5"/>
    </row>
    <row r="937" spans="1:18">
      <c r="A937" t="s">
        <v>963</v>
      </c>
      <c r="B937" t="s">
        <v>14</v>
      </c>
      <c r="C937" t="s">
        <v>15</v>
      </c>
      <c r="D937" s="5">
        <v>45961</v>
      </c>
      <c r="E937" s="5">
        <v>45966</v>
      </c>
      <c r="F937" s="5">
        <v>45971</v>
      </c>
      <c r="G937" s="5">
        <v>45977</v>
      </c>
      <c r="H937" t="s">
        <v>16</v>
      </c>
      <c r="I937" t="s">
        <v>17</v>
      </c>
      <c r="J937" s="5">
        <v>46006</v>
      </c>
      <c r="K937" s="15">
        <f t="shared" si="45"/>
        <v>5</v>
      </c>
      <c r="L937">
        <f t="shared" si="43"/>
        <v>5</v>
      </c>
      <c r="M937">
        <f t="shared" si="44"/>
        <v>6</v>
      </c>
      <c r="N937">
        <v>2</v>
      </c>
      <c r="O937">
        <f>DATEDIF(Table1[[#This Row],[lead_date]], Table1[[#This Row],[delivery_date]], "d")</f>
        <v>16</v>
      </c>
      <c r="P937" s="5" t="str">
        <f>IF(AND(Table1[[#This Row],[customer_rating]]&gt;=8, Table1[[#This Row],[Tat_day]]&lt;=7, Table1[[#This Row],[lead_type]]="Hot"), "High", "Normal")</f>
        <v>Normal</v>
      </c>
      <c r="Q937" s="5" t="str">
        <f>IF(Table1[[#This Row],[customer_rating]]&gt;=9,"Promoter",IF(Table1[[#This Row],[customer_rating]]&gt;=7,"Passive","Detractor"))</f>
        <v>Detractor</v>
      </c>
      <c r="R937" s="5"/>
    </row>
    <row r="938" spans="1:18">
      <c r="A938" t="s">
        <v>964</v>
      </c>
      <c r="B938" t="s">
        <v>19</v>
      </c>
      <c r="C938" t="s">
        <v>15</v>
      </c>
      <c r="D938" s="5">
        <v>45950</v>
      </c>
      <c r="E938" s="5">
        <v>45955</v>
      </c>
      <c r="F938" s="5">
        <v>45960</v>
      </c>
      <c r="G938" s="5">
        <v>45965</v>
      </c>
      <c r="H938" t="s">
        <v>16</v>
      </c>
      <c r="I938" t="s">
        <v>17</v>
      </c>
      <c r="J938" s="5">
        <v>45983</v>
      </c>
      <c r="K938" s="15">
        <f t="shared" si="45"/>
        <v>5</v>
      </c>
      <c r="L938">
        <f t="shared" si="43"/>
        <v>5</v>
      </c>
      <c r="M938">
        <f t="shared" si="44"/>
        <v>5</v>
      </c>
      <c r="N938">
        <v>4</v>
      </c>
      <c r="O938">
        <f>DATEDIF(Table1[[#This Row],[lead_date]], Table1[[#This Row],[delivery_date]], "d")</f>
        <v>15</v>
      </c>
      <c r="P938" s="5" t="str">
        <f>IF(AND(Table1[[#This Row],[customer_rating]]&gt;=8, Table1[[#This Row],[Tat_day]]&lt;=7, Table1[[#This Row],[lead_type]]="Hot"), "High", "Normal")</f>
        <v>Normal</v>
      </c>
      <c r="Q938" s="5" t="str">
        <f>IF(Table1[[#This Row],[customer_rating]]&gt;=9,"Promoter",IF(Table1[[#This Row],[customer_rating]]&gt;=7,"Passive","Detractor"))</f>
        <v>Detractor</v>
      </c>
      <c r="R938" s="5"/>
    </row>
    <row r="939" spans="1:18">
      <c r="A939" t="s">
        <v>965</v>
      </c>
      <c r="B939" t="s">
        <v>32</v>
      </c>
      <c r="C939" t="s">
        <v>22</v>
      </c>
      <c r="D939" s="5">
        <v>45932</v>
      </c>
      <c r="H939" t="s">
        <v>23</v>
      </c>
      <c r="I939" t="s">
        <v>101</v>
      </c>
      <c r="K939" s="15" t="str">
        <f t="shared" si="45"/>
        <v/>
      </c>
      <c r="L939" t="str">
        <f t="shared" si="43"/>
        <v/>
      </c>
      <c r="M939" t="str">
        <f t="shared" si="44"/>
        <v/>
      </c>
      <c r="O939"/>
      <c r="P939" s="5" t="str">
        <f>IF(AND(Table1[[#This Row],[customer_rating]]&gt;=8, Table1[[#This Row],[Tat_day]]&lt;=7, Table1[[#This Row],[lead_type]]="Hot"), "High", "Normal")</f>
        <v>Normal</v>
      </c>
      <c r="Q939" s="5" t="str">
        <f>IF(Table1[[#This Row],[customer_rating]]&gt;=9,"Promoter",IF(Table1[[#This Row],[customer_rating]]&gt;=7,"Passive","Detractor"))</f>
        <v>Detractor</v>
      </c>
      <c r="R939" s="5"/>
    </row>
    <row r="940" spans="1:18">
      <c r="A940" t="s">
        <v>966</v>
      </c>
      <c r="B940" t="s">
        <v>21</v>
      </c>
      <c r="C940" t="s">
        <v>30</v>
      </c>
      <c r="D940" s="5">
        <v>45954</v>
      </c>
      <c r="E940" s="5">
        <v>45956</v>
      </c>
      <c r="F940" s="5">
        <v>45961</v>
      </c>
      <c r="G940" s="5">
        <v>45965</v>
      </c>
      <c r="H940" t="s">
        <v>16</v>
      </c>
      <c r="I940" t="s">
        <v>17</v>
      </c>
      <c r="J940" s="5">
        <v>45977</v>
      </c>
      <c r="K940" s="15">
        <f t="shared" si="45"/>
        <v>2</v>
      </c>
      <c r="L940">
        <f t="shared" si="43"/>
        <v>5</v>
      </c>
      <c r="M940">
        <f t="shared" si="44"/>
        <v>4</v>
      </c>
      <c r="N940">
        <v>7</v>
      </c>
      <c r="O940">
        <f>DATEDIF(Table1[[#This Row],[lead_date]], Table1[[#This Row],[delivery_date]], "d")</f>
        <v>11</v>
      </c>
      <c r="P940" s="5" t="str">
        <f>IF(AND(Table1[[#This Row],[customer_rating]]&gt;=8, Table1[[#This Row],[Tat_day]]&lt;=7, Table1[[#This Row],[lead_type]]="Hot"), "High", "Normal")</f>
        <v>Normal</v>
      </c>
      <c r="Q940" s="5" t="str">
        <f>IF(Table1[[#This Row],[customer_rating]]&gt;=9,"Promoter",IF(Table1[[#This Row],[customer_rating]]&gt;=7,"Passive","Detractor"))</f>
        <v>Passive</v>
      </c>
      <c r="R940" s="5"/>
    </row>
    <row r="941" spans="1:18">
      <c r="A941" t="s">
        <v>967</v>
      </c>
      <c r="B941" t="s">
        <v>32</v>
      </c>
      <c r="C941" t="s">
        <v>22</v>
      </c>
      <c r="D941" s="5">
        <v>45956</v>
      </c>
      <c r="H941" t="s">
        <v>23</v>
      </c>
      <c r="I941" t="s">
        <v>101</v>
      </c>
      <c r="K941" s="15" t="str">
        <f t="shared" si="45"/>
        <v/>
      </c>
      <c r="L941" t="str">
        <f t="shared" si="43"/>
        <v/>
      </c>
      <c r="M941" t="str">
        <f t="shared" si="44"/>
        <v/>
      </c>
      <c r="O941"/>
      <c r="P941" s="5" t="str">
        <f>IF(AND(Table1[[#This Row],[customer_rating]]&gt;=8, Table1[[#This Row],[Tat_day]]&lt;=7, Table1[[#This Row],[lead_type]]="Hot"), "High", "Normal")</f>
        <v>Normal</v>
      </c>
      <c r="Q941" s="5" t="str">
        <f>IF(Table1[[#This Row],[customer_rating]]&gt;=9,"Promoter",IF(Table1[[#This Row],[customer_rating]]&gt;=7,"Passive","Detractor"))</f>
        <v>Detractor</v>
      </c>
      <c r="R941" s="5"/>
    </row>
    <row r="942" spans="1:18">
      <c r="A942" t="s">
        <v>968</v>
      </c>
      <c r="B942" t="s">
        <v>21</v>
      </c>
      <c r="C942" t="s">
        <v>15</v>
      </c>
      <c r="D942" s="5">
        <v>45960</v>
      </c>
      <c r="E942" s="5">
        <v>45963</v>
      </c>
      <c r="F942" s="5">
        <v>45968</v>
      </c>
      <c r="G942" s="5">
        <v>45974</v>
      </c>
      <c r="H942" t="s">
        <v>16</v>
      </c>
      <c r="I942" t="s">
        <v>17</v>
      </c>
      <c r="J942" s="5">
        <v>45995</v>
      </c>
      <c r="K942" s="15">
        <f t="shared" si="45"/>
        <v>3</v>
      </c>
      <c r="L942">
        <f t="shared" si="43"/>
        <v>5</v>
      </c>
      <c r="M942">
        <f t="shared" si="44"/>
        <v>6</v>
      </c>
      <c r="N942">
        <v>8</v>
      </c>
      <c r="O942">
        <f>DATEDIF(Table1[[#This Row],[lead_date]], Table1[[#This Row],[delivery_date]], "d")</f>
        <v>14</v>
      </c>
      <c r="P942" s="5" t="str">
        <f>IF(AND(Table1[[#This Row],[customer_rating]]&gt;=8, Table1[[#This Row],[Tat_day]]&lt;=7, Table1[[#This Row],[lead_type]]="Hot"), "High", "Normal")</f>
        <v>Normal</v>
      </c>
      <c r="Q942" s="5" t="str">
        <f>IF(Table1[[#This Row],[customer_rating]]&gt;=9,"Promoter",IF(Table1[[#This Row],[customer_rating]]&gt;=7,"Passive","Detractor"))</f>
        <v>Passive</v>
      </c>
      <c r="R942" s="5"/>
    </row>
    <row r="943" spans="1:18">
      <c r="A943" t="s">
        <v>969</v>
      </c>
      <c r="B943" t="s">
        <v>21</v>
      </c>
      <c r="C943" t="s">
        <v>15</v>
      </c>
      <c r="D943" s="5">
        <v>45958</v>
      </c>
      <c r="E943" s="5">
        <v>45963</v>
      </c>
      <c r="F943" s="5">
        <v>45965</v>
      </c>
      <c r="G943" s="5">
        <v>45971</v>
      </c>
      <c r="H943" t="s">
        <v>16</v>
      </c>
      <c r="I943" t="s">
        <v>17</v>
      </c>
      <c r="J943" s="5">
        <v>45991</v>
      </c>
      <c r="K943" s="15">
        <f t="shared" si="45"/>
        <v>5</v>
      </c>
      <c r="L943">
        <f t="shared" si="43"/>
        <v>2</v>
      </c>
      <c r="M943">
        <f t="shared" si="44"/>
        <v>6</v>
      </c>
      <c r="N943">
        <v>5</v>
      </c>
      <c r="O943">
        <f>DATEDIF(Table1[[#This Row],[lead_date]], Table1[[#This Row],[delivery_date]], "d")</f>
        <v>13</v>
      </c>
      <c r="P943" s="5" t="str">
        <f>IF(AND(Table1[[#This Row],[customer_rating]]&gt;=8, Table1[[#This Row],[Tat_day]]&lt;=7, Table1[[#This Row],[lead_type]]="Hot"), "High", "Normal")</f>
        <v>Normal</v>
      </c>
      <c r="Q943" s="5" t="str">
        <f>IF(Table1[[#This Row],[customer_rating]]&gt;=9,"Promoter",IF(Table1[[#This Row],[customer_rating]]&gt;=7,"Passive","Detractor"))</f>
        <v>Detractor</v>
      </c>
      <c r="R943" s="5"/>
    </row>
    <row r="944" spans="1:18">
      <c r="A944" t="s">
        <v>970</v>
      </c>
      <c r="B944" t="s">
        <v>32</v>
      </c>
      <c r="C944" t="s">
        <v>30</v>
      </c>
      <c r="D944" s="5">
        <v>45952</v>
      </c>
      <c r="E944" s="5">
        <v>45955</v>
      </c>
      <c r="F944" s="5">
        <v>45959</v>
      </c>
      <c r="G944" s="5">
        <v>45963</v>
      </c>
      <c r="H944" t="s">
        <v>16</v>
      </c>
      <c r="I944" t="s">
        <v>17</v>
      </c>
      <c r="J944" s="5">
        <v>45978</v>
      </c>
      <c r="K944" s="15">
        <f t="shared" si="45"/>
        <v>3</v>
      </c>
      <c r="L944">
        <f t="shared" si="43"/>
        <v>4</v>
      </c>
      <c r="M944">
        <f t="shared" si="44"/>
        <v>4</v>
      </c>
      <c r="N944">
        <v>4</v>
      </c>
      <c r="O944">
        <f>DATEDIF(Table1[[#This Row],[lead_date]], Table1[[#This Row],[delivery_date]], "d")</f>
        <v>11</v>
      </c>
      <c r="P944" s="5" t="str">
        <f>IF(AND(Table1[[#This Row],[customer_rating]]&gt;=8, Table1[[#This Row],[Tat_day]]&lt;=7, Table1[[#This Row],[lead_type]]="Hot"), "High", "Normal")</f>
        <v>Normal</v>
      </c>
      <c r="Q944" s="5" t="str">
        <f>IF(Table1[[#This Row],[customer_rating]]&gt;=9,"Promoter",IF(Table1[[#This Row],[customer_rating]]&gt;=7,"Passive","Detractor"))</f>
        <v>Detractor</v>
      </c>
      <c r="R944" s="5"/>
    </row>
    <row r="945" spans="1:18">
      <c r="A945" t="s">
        <v>971</v>
      </c>
      <c r="B945" t="s">
        <v>21</v>
      </c>
      <c r="C945" t="s">
        <v>15</v>
      </c>
      <c r="D945" s="5">
        <v>45947</v>
      </c>
      <c r="E945" s="5">
        <v>45948</v>
      </c>
      <c r="F945" s="5">
        <v>45951</v>
      </c>
      <c r="G945" s="5">
        <v>45956</v>
      </c>
      <c r="H945" t="s">
        <v>16</v>
      </c>
      <c r="I945" t="s">
        <v>17</v>
      </c>
      <c r="J945" s="5">
        <v>45969</v>
      </c>
      <c r="K945" s="15">
        <f t="shared" si="45"/>
        <v>1</v>
      </c>
      <c r="L945">
        <f t="shared" si="43"/>
        <v>3</v>
      </c>
      <c r="M945">
        <f t="shared" si="44"/>
        <v>5</v>
      </c>
      <c r="N945">
        <v>2</v>
      </c>
      <c r="O945">
        <f>DATEDIF(Table1[[#This Row],[lead_date]], Table1[[#This Row],[delivery_date]], "d")</f>
        <v>9</v>
      </c>
      <c r="P945" s="5" t="str">
        <f>IF(AND(Table1[[#This Row],[customer_rating]]&gt;=8, Table1[[#This Row],[Tat_day]]&lt;=7, Table1[[#This Row],[lead_type]]="Hot"), "High", "Normal")</f>
        <v>Normal</v>
      </c>
      <c r="Q945" s="5" t="str">
        <f>IF(Table1[[#This Row],[customer_rating]]&gt;=9,"Promoter",IF(Table1[[#This Row],[customer_rating]]&gt;=7,"Passive","Detractor"))</f>
        <v>Detractor</v>
      </c>
      <c r="R945" s="5"/>
    </row>
    <row r="946" spans="1:18">
      <c r="A946" t="s">
        <v>972</v>
      </c>
      <c r="B946" t="s">
        <v>14</v>
      </c>
      <c r="C946" t="s">
        <v>30</v>
      </c>
      <c r="D946" s="5">
        <v>45940</v>
      </c>
      <c r="E946" s="5">
        <v>45944</v>
      </c>
      <c r="F946" s="5">
        <v>45948</v>
      </c>
      <c r="G946" s="5">
        <v>45952</v>
      </c>
      <c r="H946" t="s">
        <v>16</v>
      </c>
      <c r="I946" t="s">
        <v>17</v>
      </c>
      <c r="J946" s="5">
        <v>45974</v>
      </c>
      <c r="K946" s="15">
        <f t="shared" si="45"/>
        <v>4</v>
      </c>
      <c r="L946">
        <f t="shared" si="43"/>
        <v>4</v>
      </c>
      <c r="M946">
        <f t="shared" si="44"/>
        <v>4</v>
      </c>
      <c r="N946">
        <v>3</v>
      </c>
      <c r="O946">
        <f>DATEDIF(Table1[[#This Row],[lead_date]], Table1[[#This Row],[delivery_date]], "d")</f>
        <v>12</v>
      </c>
      <c r="P946" s="5" t="str">
        <f>IF(AND(Table1[[#This Row],[customer_rating]]&gt;=8, Table1[[#This Row],[Tat_day]]&lt;=7, Table1[[#This Row],[lead_type]]="Hot"), "High", "Normal")</f>
        <v>Normal</v>
      </c>
      <c r="Q946" s="5" t="str">
        <f>IF(Table1[[#This Row],[customer_rating]]&gt;=9,"Promoter",IF(Table1[[#This Row],[customer_rating]]&gt;=7,"Passive","Detractor"))</f>
        <v>Detractor</v>
      </c>
      <c r="R946" s="5"/>
    </row>
    <row r="947" spans="1:18">
      <c r="A947" t="s">
        <v>973</v>
      </c>
      <c r="B947" t="s">
        <v>19</v>
      </c>
      <c r="C947" t="s">
        <v>15</v>
      </c>
      <c r="D947" s="5">
        <v>45945</v>
      </c>
      <c r="E947" s="5">
        <v>45950</v>
      </c>
      <c r="F947" s="5">
        <v>45954</v>
      </c>
      <c r="G947" s="5">
        <v>45957</v>
      </c>
      <c r="H947" t="s">
        <v>16</v>
      </c>
      <c r="I947" t="s">
        <v>17</v>
      </c>
      <c r="J947" s="5">
        <v>45979</v>
      </c>
      <c r="K947" s="15">
        <f t="shared" si="45"/>
        <v>5</v>
      </c>
      <c r="L947">
        <f t="shared" si="43"/>
        <v>4</v>
      </c>
      <c r="M947">
        <f t="shared" si="44"/>
        <v>3</v>
      </c>
      <c r="N947">
        <v>6</v>
      </c>
      <c r="O947">
        <f>DATEDIF(Table1[[#This Row],[lead_date]], Table1[[#This Row],[delivery_date]], "d")</f>
        <v>12</v>
      </c>
      <c r="P947" s="5" t="str">
        <f>IF(AND(Table1[[#This Row],[customer_rating]]&gt;=8, Table1[[#This Row],[Tat_day]]&lt;=7, Table1[[#This Row],[lead_type]]="Hot"), "High", "Normal")</f>
        <v>Normal</v>
      </c>
      <c r="Q947" s="5" t="str">
        <f>IF(Table1[[#This Row],[customer_rating]]&gt;=9,"Promoter",IF(Table1[[#This Row],[customer_rating]]&gt;=7,"Passive","Detractor"))</f>
        <v>Detractor</v>
      </c>
      <c r="R947" s="5"/>
    </row>
    <row r="948" spans="1:18">
      <c r="A948" t="s">
        <v>974</v>
      </c>
      <c r="B948" t="s">
        <v>21</v>
      </c>
      <c r="C948" t="s">
        <v>30</v>
      </c>
      <c r="D948" s="5">
        <v>45951</v>
      </c>
      <c r="E948" s="5">
        <v>45955</v>
      </c>
      <c r="F948" s="5">
        <v>45960</v>
      </c>
      <c r="G948" s="5">
        <v>45962</v>
      </c>
      <c r="H948" t="s">
        <v>16</v>
      </c>
      <c r="I948" t="s">
        <v>17</v>
      </c>
      <c r="J948" s="5">
        <v>45986</v>
      </c>
      <c r="K948" s="15">
        <f t="shared" si="45"/>
        <v>4</v>
      </c>
      <c r="L948">
        <f t="shared" si="43"/>
        <v>5</v>
      </c>
      <c r="M948">
        <f t="shared" si="44"/>
        <v>2</v>
      </c>
      <c r="N948">
        <v>6</v>
      </c>
      <c r="O948">
        <f>DATEDIF(Table1[[#This Row],[lead_date]], Table1[[#This Row],[delivery_date]], "d")</f>
        <v>11</v>
      </c>
      <c r="P948" s="5" t="str">
        <f>IF(AND(Table1[[#This Row],[customer_rating]]&gt;=8, Table1[[#This Row],[Tat_day]]&lt;=7, Table1[[#This Row],[lead_type]]="Hot"), "High", "Normal")</f>
        <v>Normal</v>
      </c>
      <c r="Q948" s="5" t="str">
        <f>IF(Table1[[#This Row],[customer_rating]]&gt;=9,"Promoter",IF(Table1[[#This Row],[customer_rating]]&gt;=7,"Passive","Detractor"))</f>
        <v>Detractor</v>
      </c>
      <c r="R948" s="5"/>
    </row>
    <row r="949" spans="1:18">
      <c r="A949" t="s">
        <v>975</v>
      </c>
      <c r="B949" t="s">
        <v>14</v>
      </c>
      <c r="C949" t="s">
        <v>22</v>
      </c>
      <c r="D949" s="5">
        <v>45961</v>
      </c>
      <c r="H949" t="s">
        <v>23</v>
      </c>
      <c r="I949" t="s">
        <v>24</v>
      </c>
      <c r="K949" s="15" t="str">
        <f t="shared" si="45"/>
        <v/>
      </c>
      <c r="L949" t="str">
        <f t="shared" si="43"/>
        <v/>
      </c>
      <c r="M949" t="str">
        <f t="shared" si="44"/>
        <v/>
      </c>
      <c r="O949"/>
      <c r="P949" s="5" t="str">
        <f>IF(AND(Table1[[#This Row],[customer_rating]]&gt;=8, Table1[[#This Row],[Tat_day]]&lt;=7, Table1[[#This Row],[lead_type]]="Hot"), "High", "Normal")</f>
        <v>Normal</v>
      </c>
      <c r="Q949" s="5" t="str">
        <f>IF(Table1[[#This Row],[customer_rating]]&gt;=9,"Promoter",IF(Table1[[#This Row],[customer_rating]]&gt;=7,"Passive","Detractor"))</f>
        <v>Detractor</v>
      </c>
      <c r="R949" s="5"/>
    </row>
    <row r="950" spans="1:18">
      <c r="A950" t="s">
        <v>976</v>
      </c>
      <c r="B950" t="s">
        <v>21</v>
      </c>
      <c r="C950" t="s">
        <v>15</v>
      </c>
      <c r="D950" s="5">
        <v>45931</v>
      </c>
      <c r="E950" s="5">
        <v>45936</v>
      </c>
      <c r="F950" s="5">
        <v>45941</v>
      </c>
      <c r="G950" s="5">
        <v>45945</v>
      </c>
      <c r="H950" t="s">
        <v>16</v>
      </c>
      <c r="I950" t="s">
        <v>17</v>
      </c>
      <c r="J950" s="5">
        <v>45963</v>
      </c>
      <c r="K950" s="15">
        <f t="shared" si="45"/>
        <v>5</v>
      </c>
      <c r="L950">
        <f t="shared" si="43"/>
        <v>5</v>
      </c>
      <c r="M950">
        <f t="shared" si="44"/>
        <v>4</v>
      </c>
      <c r="N950">
        <v>8</v>
      </c>
      <c r="O950">
        <f>DATEDIF(Table1[[#This Row],[lead_date]], Table1[[#This Row],[delivery_date]], "d")</f>
        <v>14</v>
      </c>
      <c r="P950" s="5" t="str">
        <f>IF(AND(Table1[[#This Row],[customer_rating]]&gt;=8, Table1[[#This Row],[Tat_day]]&lt;=7, Table1[[#This Row],[lead_type]]="Hot"), "High", "Normal")</f>
        <v>Normal</v>
      </c>
      <c r="Q950" s="5" t="str">
        <f>IF(Table1[[#This Row],[customer_rating]]&gt;=9,"Promoter",IF(Table1[[#This Row],[customer_rating]]&gt;=7,"Passive","Detractor"))</f>
        <v>Passive</v>
      </c>
      <c r="R950" s="5"/>
    </row>
    <row r="951" spans="1:18">
      <c r="A951" t="s">
        <v>977</v>
      </c>
      <c r="B951" t="s">
        <v>19</v>
      </c>
      <c r="C951" t="s">
        <v>15</v>
      </c>
      <c r="D951" s="5">
        <v>45932</v>
      </c>
      <c r="E951" s="5">
        <v>45935</v>
      </c>
      <c r="F951" s="5">
        <v>45937</v>
      </c>
      <c r="G951" s="5">
        <v>45943</v>
      </c>
      <c r="H951" t="s">
        <v>16</v>
      </c>
      <c r="I951" t="s">
        <v>17</v>
      </c>
      <c r="J951" s="5">
        <v>45965</v>
      </c>
      <c r="K951" s="15">
        <f t="shared" si="45"/>
        <v>3</v>
      </c>
      <c r="L951">
        <f t="shared" si="43"/>
        <v>2</v>
      </c>
      <c r="M951">
        <f t="shared" si="44"/>
        <v>6</v>
      </c>
      <c r="N951">
        <v>2</v>
      </c>
      <c r="O951">
        <f>DATEDIF(Table1[[#This Row],[lead_date]], Table1[[#This Row],[delivery_date]], "d")</f>
        <v>11</v>
      </c>
      <c r="P951" s="5" t="str">
        <f>IF(AND(Table1[[#This Row],[customer_rating]]&gt;=8, Table1[[#This Row],[Tat_day]]&lt;=7, Table1[[#This Row],[lead_type]]="Hot"), "High", "Normal")</f>
        <v>Normal</v>
      </c>
      <c r="Q951" s="5" t="str">
        <f>IF(Table1[[#This Row],[customer_rating]]&gt;=9,"Promoter",IF(Table1[[#This Row],[customer_rating]]&gt;=7,"Passive","Detractor"))</f>
        <v>Detractor</v>
      </c>
      <c r="R951" s="5"/>
    </row>
    <row r="952" spans="1:18">
      <c r="A952" t="s">
        <v>978</v>
      </c>
      <c r="B952" t="s">
        <v>14</v>
      </c>
      <c r="C952" t="s">
        <v>30</v>
      </c>
      <c r="D952" s="5">
        <v>45946</v>
      </c>
      <c r="E952" s="5">
        <v>45951</v>
      </c>
      <c r="F952" s="5">
        <v>45954</v>
      </c>
      <c r="G952" s="5">
        <v>45957</v>
      </c>
      <c r="H952" t="s">
        <v>16</v>
      </c>
      <c r="I952" t="s">
        <v>17</v>
      </c>
      <c r="J952" s="5">
        <v>45982</v>
      </c>
      <c r="K952" s="15">
        <f t="shared" si="45"/>
        <v>5</v>
      </c>
      <c r="L952">
        <f t="shared" si="43"/>
        <v>3</v>
      </c>
      <c r="M952">
        <f t="shared" si="44"/>
        <v>3</v>
      </c>
      <c r="N952">
        <v>3</v>
      </c>
      <c r="O952">
        <f>DATEDIF(Table1[[#This Row],[lead_date]], Table1[[#This Row],[delivery_date]], "d")</f>
        <v>11</v>
      </c>
      <c r="P952" s="5" t="str">
        <f>IF(AND(Table1[[#This Row],[customer_rating]]&gt;=8, Table1[[#This Row],[Tat_day]]&lt;=7, Table1[[#This Row],[lead_type]]="Hot"), "High", "Normal")</f>
        <v>Normal</v>
      </c>
      <c r="Q952" s="5" t="str">
        <f>IF(Table1[[#This Row],[customer_rating]]&gt;=9,"Promoter",IF(Table1[[#This Row],[customer_rating]]&gt;=7,"Passive","Detractor"))</f>
        <v>Detractor</v>
      </c>
      <c r="R952" s="5"/>
    </row>
    <row r="953" spans="1:18">
      <c r="A953" t="s">
        <v>979</v>
      </c>
      <c r="B953" t="s">
        <v>19</v>
      </c>
      <c r="C953" t="s">
        <v>30</v>
      </c>
      <c r="D953" s="5">
        <v>45958</v>
      </c>
      <c r="E953" s="5">
        <v>45963</v>
      </c>
      <c r="F953" s="5">
        <v>45964</v>
      </c>
      <c r="G953" s="5">
        <v>45966</v>
      </c>
      <c r="H953" t="s">
        <v>16</v>
      </c>
      <c r="I953" t="s">
        <v>17</v>
      </c>
      <c r="J953" s="5">
        <v>45989</v>
      </c>
      <c r="K953" s="15">
        <f t="shared" si="45"/>
        <v>5</v>
      </c>
      <c r="L953">
        <f t="shared" si="43"/>
        <v>1</v>
      </c>
      <c r="M953">
        <f t="shared" si="44"/>
        <v>2</v>
      </c>
      <c r="N953">
        <v>1</v>
      </c>
      <c r="O953">
        <f>DATEDIF(Table1[[#This Row],[lead_date]], Table1[[#This Row],[delivery_date]], "d")</f>
        <v>8</v>
      </c>
      <c r="P953" s="5" t="str">
        <f>IF(AND(Table1[[#This Row],[customer_rating]]&gt;=8, Table1[[#This Row],[Tat_day]]&lt;=7, Table1[[#This Row],[lead_type]]="Hot"), "High", "Normal")</f>
        <v>Normal</v>
      </c>
      <c r="Q953" s="5" t="str">
        <f>IF(Table1[[#This Row],[customer_rating]]&gt;=9,"Promoter",IF(Table1[[#This Row],[customer_rating]]&gt;=7,"Passive","Detractor"))</f>
        <v>Detractor</v>
      </c>
      <c r="R953" s="5"/>
    </row>
    <row r="954" spans="1:18">
      <c r="A954" t="s">
        <v>980</v>
      </c>
      <c r="B954" t="s">
        <v>19</v>
      </c>
      <c r="C954" t="s">
        <v>15</v>
      </c>
      <c r="D954" s="5">
        <v>45943</v>
      </c>
      <c r="E954" s="5">
        <v>45944</v>
      </c>
      <c r="F954" s="5">
        <v>45948</v>
      </c>
      <c r="G954" s="5">
        <v>45952</v>
      </c>
      <c r="H954" t="s">
        <v>16</v>
      </c>
      <c r="I954" t="s">
        <v>17</v>
      </c>
      <c r="J954" s="5">
        <v>45982</v>
      </c>
      <c r="K954" s="15">
        <f t="shared" si="45"/>
        <v>1</v>
      </c>
      <c r="L954">
        <f t="shared" si="43"/>
        <v>4</v>
      </c>
      <c r="M954">
        <f t="shared" si="44"/>
        <v>4</v>
      </c>
      <c r="N954">
        <v>1</v>
      </c>
      <c r="O954">
        <f>DATEDIF(Table1[[#This Row],[lead_date]], Table1[[#This Row],[delivery_date]], "d")</f>
        <v>9</v>
      </c>
      <c r="P954" s="5" t="str">
        <f>IF(AND(Table1[[#This Row],[customer_rating]]&gt;=8, Table1[[#This Row],[Tat_day]]&lt;=7, Table1[[#This Row],[lead_type]]="Hot"), "High", "Normal")</f>
        <v>Normal</v>
      </c>
      <c r="Q954" s="5" t="str">
        <f>IF(Table1[[#This Row],[customer_rating]]&gt;=9,"Promoter",IF(Table1[[#This Row],[customer_rating]]&gt;=7,"Passive","Detractor"))</f>
        <v>Detractor</v>
      </c>
      <c r="R954" s="5"/>
    </row>
    <row r="955" spans="1:18">
      <c r="A955" t="s">
        <v>981</v>
      </c>
      <c r="B955" t="s">
        <v>14</v>
      </c>
      <c r="C955" t="s">
        <v>15</v>
      </c>
      <c r="D955" s="5">
        <v>45944</v>
      </c>
      <c r="E955" s="5">
        <v>45946</v>
      </c>
      <c r="F955" s="5">
        <v>45947</v>
      </c>
      <c r="G955" s="5">
        <v>45949</v>
      </c>
      <c r="H955" t="s">
        <v>16</v>
      </c>
      <c r="I955" t="s">
        <v>17</v>
      </c>
      <c r="J955" s="5">
        <v>45964</v>
      </c>
      <c r="K955" s="15">
        <f t="shared" si="45"/>
        <v>2</v>
      </c>
      <c r="L955">
        <f t="shared" si="43"/>
        <v>1</v>
      </c>
      <c r="M955">
        <f t="shared" si="44"/>
        <v>2</v>
      </c>
      <c r="N955">
        <v>6</v>
      </c>
      <c r="O955">
        <f>DATEDIF(Table1[[#This Row],[lead_date]], Table1[[#This Row],[delivery_date]], "d")</f>
        <v>5</v>
      </c>
      <c r="P955" s="5" t="str">
        <f>IF(AND(Table1[[#This Row],[customer_rating]]&gt;=8, Table1[[#This Row],[Tat_day]]&lt;=7, Table1[[#This Row],[lead_type]]="Hot"), "High", "Normal")</f>
        <v>Normal</v>
      </c>
      <c r="Q955" s="5" t="str">
        <f>IF(Table1[[#This Row],[customer_rating]]&gt;=9,"Promoter",IF(Table1[[#This Row],[customer_rating]]&gt;=7,"Passive","Detractor"))</f>
        <v>Detractor</v>
      </c>
      <c r="R955" s="5"/>
    </row>
    <row r="956" spans="1:18">
      <c r="A956" t="s">
        <v>982</v>
      </c>
      <c r="B956" t="s">
        <v>14</v>
      </c>
      <c r="C956" t="s">
        <v>30</v>
      </c>
      <c r="D956" s="5">
        <v>45952</v>
      </c>
      <c r="E956" s="5">
        <v>45953</v>
      </c>
      <c r="F956" s="5">
        <v>45956</v>
      </c>
      <c r="G956" s="5">
        <v>45961</v>
      </c>
      <c r="H956" t="s">
        <v>16</v>
      </c>
      <c r="I956" t="s">
        <v>17</v>
      </c>
      <c r="J956" s="5">
        <v>45974</v>
      </c>
      <c r="K956" s="15">
        <f t="shared" si="45"/>
        <v>1</v>
      </c>
      <c r="L956">
        <f t="shared" si="43"/>
        <v>3</v>
      </c>
      <c r="M956">
        <f t="shared" si="44"/>
        <v>5</v>
      </c>
      <c r="N956">
        <v>1</v>
      </c>
      <c r="O956">
        <f>DATEDIF(Table1[[#This Row],[lead_date]], Table1[[#This Row],[delivery_date]], "d")</f>
        <v>9</v>
      </c>
      <c r="P956" s="5" t="str">
        <f>IF(AND(Table1[[#This Row],[customer_rating]]&gt;=8, Table1[[#This Row],[Tat_day]]&lt;=7, Table1[[#This Row],[lead_type]]="Hot"), "High", "Normal")</f>
        <v>Normal</v>
      </c>
      <c r="Q956" s="5" t="str">
        <f>IF(Table1[[#This Row],[customer_rating]]&gt;=9,"Promoter",IF(Table1[[#This Row],[customer_rating]]&gt;=7,"Passive","Detractor"))</f>
        <v>Detractor</v>
      </c>
      <c r="R956" s="5"/>
    </row>
    <row r="957" spans="1:18">
      <c r="A957" t="s">
        <v>983</v>
      </c>
      <c r="B957" t="s">
        <v>14</v>
      </c>
      <c r="C957" t="s">
        <v>15</v>
      </c>
      <c r="D957" s="5">
        <v>45934</v>
      </c>
      <c r="E957" s="5">
        <v>45938</v>
      </c>
      <c r="F957" s="5">
        <v>45942</v>
      </c>
      <c r="G957" s="5">
        <v>45948</v>
      </c>
      <c r="H957" t="s">
        <v>16</v>
      </c>
      <c r="I957" t="s">
        <v>17</v>
      </c>
      <c r="J957" s="5">
        <v>45962</v>
      </c>
      <c r="K957" s="15">
        <f t="shared" si="45"/>
        <v>4</v>
      </c>
      <c r="L957">
        <f t="shared" si="43"/>
        <v>4</v>
      </c>
      <c r="M957">
        <f t="shared" si="44"/>
        <v>6</v>
      </c>
      <c r="N957">
        <v>2</v>
      </c>
      <c r="O957">
        <f>DATEDIF(Table1[[#This Row],[lead_date]], Table1[[#This Row],[delivery_date]], "d")</f>
        <v>14</v>
      </c>
      <c r="P957" s="5" t="str">
        <f>IF(AND(Table1[[#This Row],[customer_rating]]&gt;=8, Table1[[#This Row],[Tat_day]]&lt;=7, Table1[[#This Row],[lead_type]]="Hot"), "High", "Normal")</f>
        <v>Normal</v>
      </c>
      <c r="Q957" s="5" t="str">
        <f>IF(Table1[[#This Row],[customer_rating]]&gt;=9,"Promoter",IF(Table1[[#This Row],[customer_rating]]&gt;=7,"Passive","Detractor"))</f>
        <v>Detractor</v>
      </c>
      <c r="R957" s="5"/>
    </row>
    <row r="958" spans="1:18">
      <c r="A958" t="s">
        <v>984</v>
      </c>
      <c r="B958" t="s">
        <v>32</v>
      </c>
      <c r="C958" t="s">
        <v>22</v>
      </c>
      <c r="D958" s="5">
        <v>45946</v>
      </c>
      <c r="H958" t="s">
        <v>23</v>
      </c>
      <c r="I958" t="s">
        <v>101</v>
      </c>
      <c r="K958" s="15" t="str">
        <f t="shared" si="45"/>
        <v/>
      </c>
      <c r="L958" t="str">
        <f t="shared" si="43"/>
        <v/>
      </c>
      <c r="M958" t="str">
        <f t="shared" si="44"/>
        <v/>
      </c>
      <c r="O958"/>
      <c r="P958" s="5" t="str">
        <f>IF(AND(Table1[[#This Row],[customer_rating]]&gt;=8, Table1[[#This Row],[Tat_day]]&lt;=7, Table1[[#This Row],[lead_type]]="Hot"), "High", "Normal")</f>
        <v>Normal</v>
      </c>
      <c r="Q958" s="5" t="str">
        <f>IF(Table1[[#This Row],[customer_rating]]&gt;=9,"Promoter",IF(Table1[[#This Row],[customer_rating]]&gt;=7,"Passive","Detractor"))</f>
        <v>Detractor</v>
      </c>
      <c r="R958" s="5"/>
    </row>
    <row r="959" spans="1:18">
      <c r="A959" t="s">
        <v>985</v>
      </c>
      <c r="B959" t="s">
        <v>14</v>
      </c>
      <c r="C959" t="s">
        <v>15</v>
      </c>
      <c r="D959" s="5">
        <v>45953</v>
      </c>
      <c r="E959" s="5">
        <v>45956</v>
      </c>
      <c r="F959" s="5">
        <v>45957</v>
      </c>
      <c r="G959" s="5">
        <v>45961</v>
      </c>
      <c r="H959" t="s">
        <v>16</v>
      </c>
      <c r="I959" t="s">
        <v>17</v>
      </c>
      <c r="J959" s="5">
        <v>45972</v>
      </c>
      <c r="K959" s="15">
        <f t="shared" si="45"/>
        <v>3</v>
      </c>
      <c r="L959">
        <f t="shared" si="43"/>
        <v>1</v>
      </c>
      <c r="M959">
        <f t="shared" si="44"/>
        <v>4</v>
      </c>
      <c r="N959">
        <v>10</v>
      </c>
      <c r="O959">
        <f>DATEDIF(Table1[[#This Row],[lead_date]], Table1[[#This Row],[delivery_date]], "d")</f>
        <v>8</v>
      </c>
      <c r="P959" s="5" t="str">
        <f>IF(AND(Table1[[#This Row],[customer_rating]]&gt;=8, Table1[[#This Row],[Tat_day]]&lt;=7, Table1[[#This Row],[lead_type]]="Hot"), "High", "Normal")</f>
        <v>Normal</v>
      </c>
      <c r="Q959" s="5" t="str">
        <f>IF(Table1[[#This Row],[customer_rating]]&gt;=9,"Promoter",IF(Table1[[#This Row],[customer_rating]]&gt;=7,"Passive","Detractor"))</f>
        <v>Promoter</v>
      </c>
      <c r="R959" s="5"/>
    </row>
    <row r="960" spans="1:18">
      <c r="A960" t="s">
        <v>986</v>
      </c>
      <c r="B960" t="s">
        <v>14</v>
      </c>
      <c r="C960" t="s">
        <v>15</v>
      </c>
      <c r="D960" s="5">
        <v>45960</v>
      </c>
      <c r="E960" s="5">
        <v>45963</v>
      </c>
      <c r="F960" s="5">
        <v>45964</v>
      </c>
      <c r="G960" s="5">
        <v>45970</v>
      </c>
      <c r="H960" t="s">
        <v>16</v>
      </c>
      <c r="I960" t="s">
        <v>17</v>
      </c>
      <c r="J960" s="5">
        <v>45985</v>
      </c>
      <c r="K960" s="15">
        <f t="shared" si="45"/>
        <v>3</v>
      </c>
      <c r="L960">
        <f t="shared" si="43"/>
        <v>1</v>
      </c>
      <c r="M960">
        <f t="shared" si="44"/>
        <v>6</v>
      </c>
      <c r="N960">
        <v>1</v>
      </c>
      <c r="O960">
        <f>DATEDIF(Table1[[#This Row],[lead_date]], Table1[[#This Row],[delivery_date]], "d")</f>
        <v>10</v>
      </c>
      <c r="P960" s="5" t="str">
        <f>IF(AND(Table1[[#This Row],[customer_rating]]&gt;=8, Table1[[#This Row],[Tat_day]]&lt;=7, Table1[[#This Row],[lead_type]]="Hot"), "High", "Normal")</f>
        <v>Normal</v>
      </c>
      <c r="Q960" s="5" t="str">
        <f>IF(Table1[[#This Row],[customer_rating]]&gt;=9,"Promoter",IF(Table1[[#This Row],[customer_rating]]&gt;=7,"Passive","Detractor"))</f>
        <v>Detractor</v>
      </c>
      <c r="R960" s="5"/>
    </row>
    <row r="961" spans="1:18">
      <c r="A961" t="s">
        <v>987</v>
      </c>
      <c r="B961" t="s">
        <v>14</v>
      </c>
      <c r="C961" t="s">
        <v>22</v>
      </c>
      <c r="D961" s="5">
        <v>45945</v>
      </c>
      <c r="H961" t="s">
        <v>23</v>
      </c>
      <c r="I961" t="s">
        <v>33</v>
      </c>
      <c r="K961" s="15" t="str">
        <f t="shared" si="45"/>
        <v/>
      </c>
      <c r="L961" t="str">
        <f t="shared" si="43"/>
        <v/>
      </c>
      <c r="M961" t="str">
        <f t="shared" si="44"/>
        <v/>
      </c>
      <c r="O961"/>
      <c r="P961" s="5" t="str">
        <f>IF(AND(Table1[[#This Row],[customer_rating]]&gt;=8, Table1[[#This Row],[Tat_day]]&lt;=7, Table1[[#This Row],[lead_type]]="Hot"), "High", "Normal")</f>
        <v>Normal</v>
      </c>
      <c r="Q961" s="5" t="str">
        <f>IF(Table1[[#This Row],[customer_rating]]&gt;=9,"Promoter",IF(Table1[[#This Row],[customer_rating]]&gt;=7,"Passive","Detractor"))</f>
        <v>Detractor</v>
      </c>
      <c r="R961" s="5"/>
    </row>
    <row r="962" spans="1:18">
      <c r="A962" t="s">
        <v>988</v>
      </c>
      <c r="B962" t="s">
        <v>14</v>
      </c>
      <c r="C962" t="s">
        <v>30</v>
      </c>
      <c r="D962" s="5">
        <v>45933</v>
      </c>
      <c r="E962" s="5">
        <v>45938</v>
      </c>
      <c r="F962" s="5">
        <v>45940</v>
      </c>
      <c r="G962" s="5">
        <v>45943</v>
      </c>
      <c r="H962" t="s">
        <v>16</v>
      </c>
      <c r="I962" t="s">
        <v>17</v>
      </c>
      <c r="J962" s="5">
        <v>45956</v>
      </c>
      <c r="K962" s="15">
        <f t="shared" si="45"/>
        <v>5</v>
      </c>
      <c r="L962">
        <f t="shared" si="43"/>
        <v>2</v>
      </c>
      <c r="M962">
        <f t="shared" si="44"/>
        <v>3</v>
      </c>
      <c r="N962">
        <v>8</v>
      </c>
      <c r="O962">
        <f>DATEDIF(Table1[[#This Row],[lead_date]], Table1[[#This Row],[delivery_date]], "d")</f>
        <v>10</v>
      </c>
      <c r="P962" s="5" t="str">
        <f>IF(AND(Table1[[#This Row],[customer_rating]]&gt;=8, Table1[[#This Row],[Tat_day]]&lt;=7, Table1[[#This Row],[lead_type]]="Hot"), "High", "Normal")</f>
        <v>Normal</v>
      </c>
      <c r="Q962" s="5" t="str">
        <f>IF(Table1[[#This Row],[customer_rating]]&gt;=9,"Promoter",IF(Table1[[#This Row],[customer_rating]]&gt;=7,"Passive","Detractor"))</f>
        <v>Passive</v>
      </c>
      <c r="R962" s="5"/>
    </row>
    <row r="963" spans="1:18">
      <c r="A963" t="s">
        <v>989</v>
      </c>
      <c r="B963" t="s">
        <v>21</v>
      </c>
      <c r="C963" t="s">
        <v>15</v>
      </c>
      <c r="D963" s="5">
        <v>45959</v>
      </c>
      <c r="E963" s="5">
        <v>45962</v>
      </c>
      <c r="F963" s="5">
        <v>45965</v>
      </c>
      <c r="G963" s="5">
        <v>45968</v>
      </c>
      <c r="H963" t="s">
        <v>16</v>
      </c>
      <c r="I963" t="s">
        <v>17</v>
      </c>
      <c r="J963" s="5">
        <v>45991</v>
      </c>
      <c r="K963" s="15">
        <f t="shared" si="45"/>
        <v>3</v>
      </c>
      <c r="L963">
        <f t="shared" ref="L963:L1001" si="46">IF(OR(E963="", F963=""), "", INT(F963 - E963))</f>
        <v>3</v>
      </c>
      <c r="M963">
        <f t="shared" ref="M963:M1001" si="47">IF(OR(F963="", G963=""), "", INT(G963 - F963))</f>
        <v>3</v>
      </c>
      <c r="N963">
        <v>6</v>
      </c>
      <c r="O963">
        <f>DATEDIF(Table1[[#This Row],[lead_date]], Table1[[#This Row],[delivery_date]], "d")</f>
        <v>9</v>
      </c>
      <c r="P963" s="5" t="str">
        <f>IF(AND(Table1[[#This Row],[customer_rating]]&gt;=8, Table1[[#This Row],[Tat_day]]&lt;=7, Table1[[#This Row],[lead_type]]="Hot"), "High", "Normal")</f>
        <v>Normal</v>
      </c>
      <c r="Q963" s="5" t="str">
        <f>IF(Table1[[#This Row],[customer_rating]]&gt;=9,"Promoter",IF(Table1[[#This Row],[customer_rating]]&gt;=7,"Passive","Detractor"))</f>
        <v>Detractor</v>
      </c>
      <c r="R963" s="5"/>
    </row>
    <row r="964" spans="1:18">
      <c r="A964" t="s">
        <v>990</v>
      </c>
      <c r="B964" t="s">
        <v>32</v>
      </c>
      <c r="C964" t="s">
        <v>22</v>
      </c>
      <c r="D964" s="5">
        <v>45933</v>
      </c>
      <c r="H964" t="s">
        <v>23</v>
      </c>
      <c r="I964" t="s">
        <v>24</v>
      </c>
      <c r="K964" s="15" t="str">
        <f t="shared" si="45"/>
        <v/>
      </c>
      <c r="L964" t="str">
        <f t="shared" si="46"/>
        <v/>
      </c>
      <c r="M964" t="str">
        <f t="shared" si="47"/>
        <v/>
      </c>
      <c r="O964"/>
      <c r="P964" s="5" t="str">
        <f>IF(AND(Table1[[#This Row],[customer_rating]]&gt;=8, Table1[[#This Row],[Tat_day]]&lt;=7, Table1[[#This Row],[lead_type]]="Hot"), "High", "Normal")</f>
        <v>Normal</v>
      </c>
      <c r="Q964" s="5" t="str">
        <f>IF(Table1[[#This Row],[customer_rating]]&gt;=9,"Promoter",IF(Table1[[#This Row],[customer_rating]]&gt;=7,"Passive","Detractor"))</f>
        <v>Detractor</v>
      </c>
      <c r="R964" s="5"/>
    </row>
    <row r="965" spans="1:18">
      <c r="A965" t="s">
        <v>991</v>
      </c>
      <c r="B965" t="s">
        <v>19</v>
      </c>
      <c r="C965" t="s">
        <v>30</v>
      </c>
      <c r="D965" s="5">
        <v>45941</v>
      </c>
      <c r="E965" s="5">
        <v>45943</v>
      </c>
      <c r="F965" s="5">
        <v>45946</v>
      </c>
      <c r="G965" s="5">
        <v>45948</v>
      </c>
      <c r="H965" t="s">
        <v>16</v>
      </c>
      <c r="I965" t="s">
        <v>17</v>
      </c>
      <c r="J965" s="5">
        <v>45976</v>
      </c>
      <c r="K965" s="15">
        <f t="shared" si="45"/>
        <v>2</v>
      </c>
      <c r="L965">
        <f t="shared" si="46"/>
        <v>3</v>
      </c>
      <c r="M965">
        <f t="shared" si="47"/>
        <v>2</v>
      </c>
      <c r="N965">
        <v>3</v>
      </c>
      <c r="O965">
        <f>DATEDIF(Table1[[#This Row],[lead_date]], Table1[[#This Row],[delivery_date]], "d")</f>
        <v>7</v>
      </c>
      <c r="P965" s="5" t="str">
        <f>IF(AND(Table1[[#This Row],[customer_rating]]&gt;=8, Table1[[#This Row],[Tat_day]]&lt;=7, Table1[[#This Row],[lead_type]]="Hot"), "High", "Normal")</f>
        <v>Normal</v>
      </c>
      <c r="Q965" s="5" t="str">
        <f>IF(Table1[[#This Row],[customer_rating]]&gt;=9,"Promoter",IF(Table1[[#This Row],[customer_rating]]&gt;=7,"Passive","Detractor"))</f>
        <v>Detractor</v>
      </c>
      <c r="R965" s="5"/>
    </row>
    <row r="966" spans="1:18">
      <c r="A966" t="s">
        <v>992</v>
      </c>
      <c r="B966" t="s">
        <v>14</v>
      </c>
      <c r="C966" t="s">
        <v>15</v>
      </c>
      <c r="D966" s="5">
        <v>45950</v>
      </c>
      <c r="E966" s="5">
        <v>45952</v>
      </c>
      <c r="F966" s="5">
        <v>45955</v>
      </c>
      <c r="G966" s="5">
        <v>45958</v>
      </c>
      <c r="H966" t="s">
        <v>16</v>
      </c>
      <c r="I966" t="s">
        <v>17</v>
      </c>
      <c r="J966" s="5">
        <v>45983</v>
      </c>
      <c r="K966" s="15">
        <f t="shared" si="45"/>
        <v>2</v>
      </c>
      <c r="L966">
        <f t="shared" si="46"/>
        <v>3</v>
      </c>
      <c r="M966">
        <f t="shared" si="47"/>
        <v>3</v>
      </c>
      <c r="N966">
        <v>9</v>
      </c>
      <c r="O966">
        <f>DATEDIF(Table1[[#This Row],[lead_date]], Table1[[#This Row],[delivery_date]], "d")</f>
        <v>8</v>
      </c>
      <c r="P966" s="5" t="str">
        <f>IF(AND(Table1[[#This Row],[customer_rating]]&gt;=8, Table1[[#This Row],[Tat_day]]&lt;=7, Table1[[#This Row],[lead_type]]="Hot"), "High", "Normal")</f>
        <v>Normal</v>
      </c>
      <c r="Q966" s="5" t="str">
        <f>IF(Table1[[#This Row],[customer_rating]]&gt;=9,"Promoter",IF(Table1[[#This Row],[customer_rating]]&gt;=7,"Passive","Detractor"))</f>
        <v>Promoter</v>
      </c>
      <c r="R966" s="5"/>
    </row>
    <row r="967" spans="1:18">
      <c r="A967" t="s">
        <v>993</v>
      </c>
      <c r="B967" t="s">
        <v>21</v>
      </c>
      <c r="C967" t="s">
        <v>15</v>
      </c>
      <c r="D967" s="5">
        <v>45935</v>
      </c>
      <c r="E967" s="5">
        <v>45940</v>
      </c>
      <c r="F967" s="5">
        <v>45944</v>
      </c>
      <c r="G967" s="5">
        <v>45951</v>
      </c>
      <c r="H967" t="s">
        <v>16</v>
      </c>
      <c r="I967" t="s">
        <v>17</v>
      </c>
      <c r="J967" s="5">
        <v>45979</v>
      </c>
      <c r="K967" s="15">
        <f t="shared" si="45"/>
        <v>5</v>
      </c>
      <c r="L967">
        <f t="shared" si="46"/>
        <v>4</v>
      </c>
      <c r="M967">
        <f t="shared" si="47"/>
        <v>7</v>
      </c>
      <c r="N967">
        <v>7</v>
      </c>
      <c r="O967">
        <f>DATEDIF(Table1[[#This Row],[lead_date]], Table1[[#This Row],[delivery_date]], "d")</f>
        <v>16</v>
      </c>
      <c r="P967" s="5" t="str">
        <f>IF(AND(Table1[[#This Row],[customer_rating]]&gt;=8, Table1[[#This Row],[Tat_day]]&lt;=7, Table1[[#This Row],[lead_type]]="Hot"), "High", "Normal")</f>
        <v>Normal</v>
      </c>
      <c r="Q967" s="5" t="str">
        <f>IF(Table1[[#This Row],[customer_rating]]&gt;=9,"Promoter",IF(Table1[[#This Row],[customer_rating]]&gt;=7,"Passive","Detractor"))</f>
        <v>Passive</v>
      </c>
      <c r="R967" s="5"/>
    </row>
    <row r="968" spans="1:18">
      <c r="A968" t="s">
        <v>994</v>
      </c>
      <c r="B968" t="s">
        <v>21</v>
      </c>
      <c r="C968" t="s">
        <v>15</v>
      </c>
      <c r="D968" s="5">
        <v>45933</v>
      </c>
      <c r="E968" s="5">
        <v>45938</v>
      </c>
      <c r="F968" s="5">
        <v>45940</v>
      </c>
      <c r="G968" s="5">
        <v>45943</v>
      </c>
      <c r="H968" t="s">
        <v>16</v>
      </c>
      <c r="I968" t="s">
        <v>17</v>
      </c>
      <c r="J968" s="5">
        <v>45967</v>
      </c>
      <c r="K968" s="15">
        <f t="shared" si="45"/>
        <v>5</v>
      </c>
      <c r="L968">
        <f t="shared" si="46"/>
        <v>2</v>
      </c>
      <c r="M968">
        <f t="shared" si="47"/>
        <v>3</v>
      </c>
      <c r="N968">
        <v>4</v>
      </c>
      <c r="O968">
        <f>DATEDIF(Table1[[#This Row],[lead_date]], Table1[[#This Row],[delivery_date]], "d")</f>
        <v>10</v>
      </c>
      <c r="P968" s="5" t="str">
        <f>IF(AND(Table1[[#This Row],[customer_rating]]&gt;=8, Table1[[#This Row],[Tat_day]]&lt;=7, Table1[[#This Row],[lead_type]]="Hot"), "High", "Normal")</f>
        <v>Normal</v>
      </c>
      <c r="Q968" s="5" t="str">
        <f>IF(Table1[[#This Row],[customer_rating]]&gt;=9,"Promoter",IF(Table1[[#This Row],[customer_rating]]&gt;=7,"Passive","Detractor"))</f>
        <v>Detractor</v>
      </c>
      <c r="R968" s="5"/>
    </row>
    <row r="969" spans="1:18">
      <c r="A969" t="s">
        <v>995</v>
      </c>
      <c r="B969" t="s">
        <v>21</v>
      </c>
      <c r="C969" t="s">
        <v>15</v>
      </c>
      <c r="D969" s="5">
        <v>45935</v>
      </c>
      <c r="E969" s="5">
        <v>45939</v>
      </c>
      <c r="F969" s="5">
        <v>45944</v>
      </c>
      <c r="G969" s="5">
        <v>45948</v>
      </c>
      <c r="H969" t="s">
        <v>16</v>
      </c>
      <c r="I969" t="s">
        <v>17</v>
      </c>
      <c r="J969" s="5">
        <v>45963</v>
      </c>
      <c r="K969" s="15">
        <f t="shared" ref="K969:K1001" si="48">IF(OR(D969="",E969=""),"",INT(E969-D969))</f>
        <v>4</v>
      </c>
      <c r="L969">
        <f t="shared" si="46"/>
        <v>5</v>
      </c>
      <c r="M969">
        <f t="shared" si="47"/>
        <v>4</v>
      </c>
      <c r="N969">
        <v>7</v>
      </c>
      <c r="O969">
        <f>DATEDIF(Table1[[#This Row],[lead_date]], Table1[[#This Row],[delivery_date]], "d")</f>
        <v>13</v>
      </c>
      <c r="P969" s="5" t="str">
        <f>IF(AND(Table1[[#This Row],[customer_rating]]&gt;=8, Table1[[#This Row],[Tat_day]]&lt;=7, Table1[[#This Row],[lead_type]]="Hot"), "High", "Normal")</f>
        <v>Normal</v>
      </c>
      <c r="Q969" s="5" t="str">
        <f>IF(Table1[[#This Row],[customer_rating]]&gt;=9,"Promoter",IF(Table1[[#This Row],[customer_rating]]&gt;=7,"Passive","Detractor"))</f>
        <v>Passive</v>
      </c>
      <c r="R969" s="5"/>
    </row>
    <row r="970" spans="1:18">
      <c r="A970" t="s">
        <v>996</v>
      </c>
      <c r="B970" t="s">
        <v>19</v>
      </c>
      <c r="C970" t="s">
        <v>22</v>
      </c>
      <c r="D970" s="5">
        <v>45939</v>
      </c>
      <c r="H970" t="s">
        <v>23</v>
      </c>
      <c r="I970" t="s">
        <v>63</v>
      </c>
      <c r="K970" s="15" t="str">
        <f t="shared" si="48"/>
        <v/>
      </c>
      <c r="L970" t="str">
        <f t="shared" si="46"/>
        <v/>
      </c>
      <c r="M970" t="str">
        <f t="shared" si="47"/>
        <v/>
      </c>
      <c r="O970"/>
      <c r="P970" s="5" t="str">
        <f>IF(AND(Table1[[#This Row],[customer_rating]]&gt;=8, Table1[[#This Row],[Tat_day]]&lt;=7, Table1[[#This Row],[lead_type]]="Hot"), "High", "Normal")</f>
        <v>Normal</v>
      </c>
      <c r="Q970" s="5" t="str">
        <f>IF(Table1[[#This Row],[customer_rating]]&gt;=9,"Promoter",IF(Table1[[#This Row],[customer_rating]]&gt;=7,"Passive","Detractor"))</f>
        <v>Detractor</v>
      </c>
      <c r="R970" s="5"/>
    </row>
    <row r="971" spans="1:18">
      <c r="A971" t="s">
        <v>997</v>
      </c>
      <c r="B971" t="s">
        <v>14</v>
      </c>
      <c r="C971" t="s">
        <v>15</v>
      </c>
      <c r="D971" s="5">
        <v>45950</v>
      </c>
      <c r="E971" s="5">
        <v>45955</v>
      </c>
      <c r="F971" s="5">
        <v>45959</v>
      </c>
      <c r="G971" s="5">
        <v>45965</v>
      </c>
      <c r="H971" t="s">
        <v>16</v>
      </c>
      <c r="I971" t="s">
        <v>17</v>
      </c>
      <c r="J971" s="5">
        <v>45994</v>
      </c>
      <c r="K971" s="15">
        <f t="shared" si="48"/>
        <v>5</v>
      </c>
      <c r="L971">
        <f t="shared" si="46"/>
        <v>4</v>
      </c>
      <c r="M971">
        <f t="shared" si="47"/>
        <v>6</v>
      </c>
      <c r="N971">
        <v>6</v>
      </c>
      <c r="O971">
        <f>DATEDIF(Table1[[#This Row],[lead_date]], Table1[[#This Row],[delivery_date]], "d")</f>
        <v>15</v>
      </c>
      <c r="P971" s="5" t="str">
        <f>IF(AND(Table1[[#This Row],[customer_rating]]&gt;=8, Table1[[#This Row],[Tat_day]]&lt;=7, Table1[[#This Row],[lead_type]]="Hot"), "High", "Normal")</f>
        <v>Normal</v>
      </c>
      <c r="Q971" s="5" t="str">
        <f>IF(Table1[[#This Row],[customer_rating]]&gt;=9,"Promoter",IF(Table1[[#This Row],[customer_rating]]&gt;=7,"Passive","Detractor"))</f>
        <v>Detractor</v>
      </c>
      <c r="R971" s="5"/>
    </row>
    <row r="972" spans="1:18">
      <c r="A972" t="s">
        <v>998</v>
      </c>
      <c r="B972" t="s">
        <v>32</v>
      </c>
      <c r="C972" t="s">
        <v>30</v>
      </c>
      <c r="D972" s="5">
        <v>45951</v>
      </c>
      <c r="E972" s="5">
        <v>45952</v>
      </c>
      <c r="F972" s="5">
        <v>45955</v>
      </c>
      <c r="G972" s="5">
        <v>45962</v>
      </c>
      <c r="H972" t="s">
        <v>16</v>
      </c>
      <c r="I972" t="s">
        <v>17</v>
      </c>
      <c r="J972" s="5">
        <v>45984</v>
      </c>
      <c r="K972" s="15">
        <f t="shared" si="48"/>
        <v>1</v>
      </c>
      <c r="L972">
        <f t="shared" si="46"/>
        <v>3</v>
      </c>
      <c r="M972">
        <f t="shared" si="47"/>
        <v>7</v>
      </c>
      <c r="N972">
        <v>10</v>
      </c>
      <c r="O972">
        <f>DATEDIF(Table1[[#This Row],[lead_date]], Table1[[#This Row],[delivery_date]], "d")</f>
        <v>11</v>
      </c>
      <c r="P972" s="5" t="str">
        <f>IF(AND(Table1[[#This Row],[customer_rating]]&gt;=8, Table1[[#This Row],[Tat_day]]&lt;=7, Table1[[#This Row],[lead_type]]="Hot"), "High", "Normal")</f>
        <v>Normal</v>
      </c>
      <c r="Q972" s="5" t="str">
        <f>IF(Table1[[#This Row],[customer_rating]]&gt;=9,"Promoter",IF(Table1[[#This Row],[customer_rating]]&gt;=7,"Passive","Detractor"))</f>
        <v>Promoter</v>
      </c>
      <c r="R972" s="5"/>
    </row>
    <row r="973" spans="1:18">
      <c r="A973" t="s">
        <v>999</v>
      </c>
      <c r="B973" t="s">
        <v>32</v>
      </c>
      <c r="C973" t="s">
        <v>22</v>
      </c>
      <c r="D973" s="5">
        <v>45949</v>
      </c>
      <c r="H973" t="s">
        <v>23</v>
      </c>
      <c r="I973" t="s">
        <v>101</v>
      </c>
      <c r="K973" s="15" t="str">
        <f t="shared" si="48"/>
        <v/>
      </c>
      <c r="L973" t="str">
        <f t="shared" si="46"/>
        <v/>
      </c>
      <c r="M973" t="str">
        <f t="shared" si="47"/>
        <v/>
      </c>
      <c r="O973"/>
      <c r="P973" s="5" t="str">
        <f>IF(AND(Table1[[#This Row],[customer_rating]]&gt;=8, Table1[[#This Row],[Tat_day]]&lt;=7, Table1[[#This Row],[lead_type]]="Hot"), "High", "Normal")</f>
        <v>Normal</v>
      </c>
      <c r="Q973" s="5" t="str">
        <f>IF(Table1[[#This Row],[customer_rating]]&gt;=9,"Promoter",IF(Table1[[#This Row],[customer_rating]]&gt;=7,"Passive","Detractor"))</f>
        <v>Detractor</v>
      </c>
      <c r="R973" s="5"/>
    </row>
    <row r="974" spans="1:18">
      <c r="A974" t="s">
        <v>1000</v>
      </c>
      <c r="B974" t="s">
        <v>21</v>
      </c>
      <c r="C974" t="s">
        <v>30</v>
      </c>
      <c r="D974" s="5">
        <v>45948</v>
      </c>
      <c r="E974" s="5">
        <v>45949</v>
      </c>
      <c r="F974" s="5">
        <v>45953</v>
      </c>
      <c r="G974" s="5">
        <v>45955</v>
      </c>
      <c r="H974" t="s">
        <v>16</v>
      </c>
      <c r="I974" t="s">
        <v>17</v>
      </c>
      <c r="J974" s="5">
        <v>45976</v>
      </c>
      <c r="K974" s="15">
        <f t="shared" si="48"/>
        <v>1</v>
      </c>
      <c r="L974">
        <f t="shared" si="46"/>
        <v>4</v>
      </c>
      <c r="M974">
        <f t="shared" si="47"/>
        <v>2</v>
      </c>
      <c r="N974">
        <v>10</v>
      </c>
      <c r="O974">
        <f>DATEDIF(Table1[[#This Row],[lead_date]], Table1[[#This Row],[delivery_date]], "d")</f>
        <v>7</v>
      </c>
      <c r="P974" s="5" t="str">
        <f>IF(AND(Table1[[#This Row],[customer_rating]]&gt;=8, Table1[[#This Row],[Tat_day]]&lt;=7, Table1[[#This Row],[lead_type]]="Hot"), "High", "Normal")</f>
        <v>High</v>
      </c>
      <c r="Q974" s="5" t="str">
        <f>IF(Table1[[#This Row],[customer_rating]]&gt;=9,"Promoter",IF(Table1[[#This Row],[customer_rating]]&gt;=7,"Passive","Detractor"))</f>
        <v>Promoter</v>
      </c>
      <c r="R974" s="5"/>
    </row>
    <row r="975" spans="1:18">
      <c r="A975" t="s">
        <v>1001</v>
      </c>
      <c r="B975" t="s">
        <v>19</v>
      </c>
      <c r="C975" t="s">
        <v>15</v>
      </c>
      <c r="D975" s="5">
        <v>45953</v>
      </c>
      <c r="E975" s="5">
        <v>45954</v>
      </c>
      <c r="F975" s="5">
        <v>45955</v>
      </c>
      <c r="G975" s="5">
        <v>45958</v>
      </c>
      <c r="H975" t="s">
        <v>16</v>
      </c>
      <c r="I975" t="s">
        <v>17</v>
      </c>
      <c r="J975" s="5">
        <v>45987</v>
      </c>
      <c r="K975" s="15">
        <f t="shared" si="48"/>
        <v>1</v>
      </c>
      <c r="L975">
        <f t="shared" si="46"/>
        <v>1</v>
      </c>
      <c r="M975">
        <f t="shared" si="47"/>
        <v>3</v>
      </c>
      <c r="N975">
        <v>9</v>
      </c>
      <c r="O975">
        <f>DATEDIF(Table1[[#This Row],[lead_date]], Table1[[#This Row],[delivery_date]], "d")</f>
        <v>5</v>
      </c>
      <c r="P975" s="5" t="str">
        <f>IF(AND(Table1[[#This Row],[customer_rating]]&gt;=8, Table1[[#This Row],[Tat_day]]&lt;=7, Table1[[#This Row],[lead_type]]="Hot"), "High", "Normal")</f>
        <v>Normal</v>
      </c>
      <c r="Q975" s="5" t="str">
        <f>IF(Table1[[#This Row],[customer_rating]]&gt;=9,"Promoter",IF(Table1[[#This Row],[customer_rating]]&gt;=7,"Passive","Detractor"))</f>
        <v>Promoter</v>
      </c>
      <c r="R975" s="5"/>
    </row>
    <row r="976" spans="1:18">
      <c r="A976" t="s">
        <v>1002</v>
      </c>
      <c r="B976" t="s">
        <v>19</v>
      </c>
      <c r="C976" t="s">
        <v>15</v>
      </c>
      <c r="D976" s="5">
        <v>45941</v>
      </c>
      <c r="E976" s="5">
        <v>45943</v>
      </c>
      <c r="F976" s="5">
        <v>45947</v>
      </c>
      <c r="G976" s="5">
        <v>45953</v>
      </c>
      <c r="H976" t="s">
        <v>16</v>
      </c>
      <c r="I976" t="s">
        <v>17</v>
      </c>
      <c r="J976" s="5">
        <v>45963</v>
      </c>
      <c r="K976" s="15">
        <f t="shared" si="48"/>
        <v>2</v>
      </c>
      <c r="L976">
        <f t="shared" si="46"/>
        <v>4</v>
      </c>
      <c r="M976">
        <f t="shared" si="47"/>
        <v>6</v>
      </c>
      <c r="N976">
        <v>7</v>
      </c>
      <c r="O976">
        <f>DATEDIF(Table1[[#This Row],[lead_date]], Table1[[#This Row],[delivery_date]], "d")</f>
        <v>12</v>
      </c>
      <c r="P976" s="5" t="str">
        <f>IF(AND(Table1[[#This Row],[customer_rating]]&gt;=8, Table1[[#This Row],[Tat_day]]&lt;=7, Table1[[#This Row],[lead_type]]="Hot"), "High", "Normal")</f>
        <v>Normal</v>
      </c>
      <c r="Q976" s="5" t="str">
        <f>IF(Table1[[#This Row],[customer_rating]]&gt;=9,"Promoter",IF(Table1[[#This Row],[customer_rating]]&gt;=7,"Passive","Detractor"))</f>
        <v>Passive</v>
      </c>
      <c r="R976" s="5"/>
    </row>
    <row r="977" spans="1:18">
      <c r="A977" t="s">
        <v>1003</v>
      </c>
      <c r="B977" t="s">
        <v>19</v>
      </c>
      <c r="C977" t="s">
        <v>15</v>
      </c>
      <c r="D977" s="5">
        <v>45943</v>
      </c>
      <c r="E977" s="5">
        <v>45946</v>
      </c>
      <c r="F977" s="5">
        <v>45950</v>
      </c>
      <c r="G977" s="5">
        <v>45955</v>
      </c>
      <c r="H977" t="s">
        <v>23</v>
      </c>
      <c r="I977" t="s">
        <v>1028</v>
      </c>
      <c r="K977" s="15">
        <f t="shared" si="48"/>
        <v>3</v>
      </c>
      <c r="L977">
        <f t="shared" si="46"/>
        <v>4</v>
      </c>
      <c r="M977">
        <f t="shared" si="47"/>
        <v>5</v>
      </c>
      <c r="O977">
        <f>DATEDIF(Table1[[#This Row],[lead_date]], Table1[[#This Row],[delivery_date]], "d")</f>
        <v>12</v>
      </c>
      <c r="P977" s="5" t="str">
        <f>IF(AND(Table1[[#This Row],[customer_rating]]&gt;=8, Table1[[#This Row],[Tat_day]]&lt;=7, Table1[[#This Row],[lead_type]]="Hot"), "High", "Normal")</f>
        <v>Normal</v>
      </c>
      <c r="Q977" s="5" t="str">
        <f>IF(Table1[[#This Row],[customer_rating]]&gt;=9,"Promoter",IF(Table1[[#This Row],[customer_rating]]&gt;=7,"Passive","Detractor"))</f>
        <v>Detractor</v>
      </c>
      <c r="R977" s="5"/>
    </row>
    <row r="978" spans="1:18">
      <c r="A978" t="s">
        <v>1004</v>
      </c>
      <c r="B978" t="s">
        <v>32</v>
      </c>
      <c r="C978" t="s">
        <v>15</v>
      </c>
      <c r="D978" s="5">
        <v>45950</v>
      </c>
      <c r="E978" s="5">
        <v>45954</v>
      </c>
      <c r="F978" s="5">
        <v>45957</v>
      </c>
      <c r="G978" s="5">
        <v>45961</v>
      </c>
      <c r="H978" t="s">
        <v>23</v>
      </c>
      <c r="I978" t="s">
        <v>101</v>
      </c>
      <c r="K978" s="15">
        <f t="shared" si="48"/>
        <v>4</v>
      </c>
      <c r="L978">
        <f t="shared" si="46"/>
        <v>3</v>
      </c>
      <c r="M978">
        <f t="shared" si="47"/>
        <v>4</v>
      </c>
      <c r="O978">
        <f>DATEDIF(Table1[[#This Row],[lead_date]], Table1[[#This Row],[delivery_date]], "d")</f>
        <v>11</v>
      </c>
      <c r="P978" s="5" t="str">
        <f>IF(AND(Table1[[#This Row],[customer_rating]]&gt;=8, Table1[[#This Row],[Tat_day]]&lt;=7, Table1[[#This Row],[lead_type]]="Hot"), "High", "Normal")</f>
        <v>Normal</v>
      </c>
      <c r="Q978" s="5" t="str">
        <f>IF(Table1[[#This Row],[customer_rating]]&gt;=9,"Promoter",IF(Table1[[#This Row],[customer_rating]]&gt;=7,"Passive","Detractor"))</f>
        <v>Detractor</v>
      </c>
      <c r="R978" s="5"/>
    </row>
    <row r="979" spans="1:18">
      <c r="A979" t="s">
        <v>1005</v>
      </c>
      <c r="B979" t="s">
        <v>21</v>
      </c>
      <c r="C979" t="s">
        <v>22</v>
      </c>
      <c r="D979" s="5">
        <v>45947</v>
      </c>
      <c r="H979" t="s">
        <v>23</v>
      </c>
      <c r="I979" t="s">
        <v>63</v>
      </c>
      <c r="K979" s="15" t="str">
        <f t="shared" si="48"/>
        <v/>
      </c>
      <c r="L979" t="str">
        <f t="shared" si="46"/>
        <v/>
      </c>
      <c r="M979" t="str">
        <f t="shared" si="47"/>
        <v/>
      </c>
      <c r="O979"/>
      <c r="P979" s="5" t="str">
        <f>IF(AND(Table1[[#This Row],[customer_rating]]&gt;=8, Table1[[#This Row],[Tat_day]]&lt;=7, Table1[[#This Row],[lead_type]]="Hot"), "High", "Normal")</f>
        <v>Normal</v>
      </c>
      <c r="Q979" s="5" t="str">
        <f>IF(Table1[[#This Row],[customer_rating]]&gt;=9,"Promoter",IF(Table1[[#This Row],[customer_rating]]&gt;=7,"Passive","Detractor"))</f>
        <v>Detractor</v>
      </c>
      <c r="R979" s="5"/>
    </row>
    <row r="980" spans="1:18">
      <c r="A980" t="s">
        <v>1006</v>
      </c>
      <c r="B980" t="s">
        <v>14</v>
      </c>
      <c r="C980" t="s">
        <v>15</v>
      </c>
      <c r="D980" s="5">
        <v>45940</v>
      </c>
      <c r="E980" s="5">
        <v>45945</v>
      </c>
      <c r="F980" s="5">
        <v>45946</v>
      </c>
      <c r="G980" s="5">
        <v>45949</v>
      </c>
      <c r="H980" t="s">
        <v>16</v>
      </c>
      <c r="I980" t="s">
        <v>17</v>
      </c>
      <c r="J980" s="5">
        <v>45963</v>
      </c>
      <c r="K980" s="15">
        <f t="shared" si="48"/>
        <v>5</v>
      </c>
      <c r="L980">
        <f t="shared" si="46"/>
        <v>1</v>
      </c>
      <c r="M980">
        <f t="shared" si="47"/>
        <v>3</v>
      </c>
      <c r="N980">
        <v>8</v>
      </c>
      <c r="O980">
        <f>DATEDIF(Table1[[#This Row],[lead_date]], Table1[[#This Row],[delivery_date]], "d")</f>
        <v>9</v>
      </c>
      <c r="P980" s="5" t="str">
        <f>IF(AND(Table1[[#This Row],[customer_rating]]&gt;=8, Table1[[#This Row],[Tat_day]]&lt;=7, Table1[[#This Row],[lead_type]]="Hot"), "High", "Normal")</f>
        <v>Normal</v>
      </c>
      <c r="Q980" s="5" t="str">
        <f>IF(Table1[[#This Row],[customer_rating]]&gt;=9,"Promoter",IF(Table1[[#This Row],[customer_rating]]&gt;=7,"Passive","Detractor"))</f>
        <v>Passive</v>
      </c>
      <c r="R980" s="5"/>
    </row>
    <row r="981" spans="1:18">
      <c r="A981" t="s">
        <v>1007</v>
      </c>
      <c r="B981" t="s">
        <v>32</v>
      </c>
      <c r="C981" t="s">
        <v>15</v>
      </c>
      <c r="D981" s="5">
        <v>45945</v>
      </c>
      <c r="E981" s="5">
        <v>45949</v>
      </c>
      <c r="F981" s="5">
        <v>45952</v>
      </c>
      <c r="G981" s="5">
        <v>45955</v>
      </c>
      <c r="H981" t="s">
        <v>16</v>
      </c>
      <c r="I981" t="s">
        <v>17</v>
      </c>
      <c r="J981" s="5">
        <v>45980</v>
      </c>
      <c r="K981" s="15">
        <f t="shared" si="48"/>
        <v>4</v>
      </c>
      <c r="L981">
        <f t="shared" si="46"/>
        <v>3</v>
      </c>
      <c r="M981">
        <f t="shared" si="47"/>
        <v>3</v>
      </c>
      <c r="N981">
        <v>5</v>
      </c>
      <c r="O981">
        <f>DATEDIF(Table1[[#This Row],[lead_date]], Table1[[#This Row],[delivery_date]], "d")</f>
        <v>10</v>
      </c>
      <c r="P981" s="5" t="str">
        <f>IF(AND(Table1[[#This Row],[customer_rating]]&gt;=8, Table1[[#This Row],[Tat_day]]&lt;=7, Table1[[#This Row],[lead_type]]="Hot"), "High", "Normal")</f>
        <v>Normal</v>
      </c>
      <c r="Q981" s="5" t="str">
        <f>IF(Table1[[#This Row],[customer_rating]]&gt;=9,"Promoter",IF(Table1[[#This Row],[customer_rating]]&gt;=7,"Passive","Detractor"))</f>
        <v>Detractor</v>
      </c>
      <c r="R981" s="5"/>
    </row>
    <row r="982" spans="1:18">
      <c r="A982" t="s">
        <v>1008</v>
      </c>
      <c r="B982" t="s">
        <v>21</v>
      </c>
      <c r="C982" t="s">
        <v>30</v>
      </c>
      <c r="D982" s="5">
        <v>45947</v>
      </c>
      <c r="E982" s="5">
        <v>45949</v>
      </c>
      <c r="F982" s="5">
        <v>45950</v>
      </c>
      <c r="G982" s="5">
        <v>45953</v>
      </c>
      <c r="H982" t="s">
        <v>16</v>
      </c>
      <c r="I982" t="s">
        <v>17</v>
      </c>
      <c r="J982" s="5">
        <v>45978</v>
      </c>
      <c r="K982" s="15">
        <f t="shared" si="48"/>
        <v>2</v>
      </c>
      <c r="L982">
        <f t="shared" si="46"/>
        <v>1</v>
      </c>
      <c r="M982">
        <f t="shared" si="47"/>
        <v>3</v>
      </c>
      <c r="N982">
        <v>0</v>
      </c>
      <c r="O982">
        <f>DATEDIF(Table1[[#This Row],[lead_date]], Table1[[#This Row],[delivery_date]], "d")</f>
        <v>6</v>
      </c>
      <c r="P982" s="5" t="str">
        <f>IF(AND(Table1[[#This Row],[customer_rating]]&gt;=8, Table1[[#This Row],[Tat_day]]&lt;=7, Table1[[#This Row],[lead_type]]="Hot"), "High", "Normal")</f>
        <v>Normal</v>
      </c>
      <c r="Q982" s="5" t="str">
        <f>IF(Table1[[#This Row],[customer_rating]]&gt;=9,"Promoter",IF(Table1[[#This Row],[customer_rating]]&gt;=7,"Passive","Detractor"))</f>
        <v>Detractor</v>
      </c>
      <c r="R982" s="5"/>
    </row>
    <row r="983" spans="1:18">
      <c r="A983" t="s">
        <v>1009</v>
      </c>
      <c r="B983" t="s">
        <v>21</v>
      </c>
      <c r="C983" t="s">
        <v>22</v>
      </c>
      <c r="D983" s="5">
        <v>45950</v>
      </c>
      <c r="H983" t="s">
        <v>23</v>
      </c>
      <c r="I983" t="s">
        <v>24</v>
      </c>
      <c r="K983" s="15" t="str">
        <f t="shared" si="48"/>
        <v/>
      </c>
      <c r="L983" t="str">
        <f t="shared" si="46"/>
        <v/>
      </c>
      <c r="M983" t="str">
        <f t="shared" si="47"/>
        <v/>
      </c>
      <c r="O983"/>
      <c r="P983" s="5" t="str">
        <f>IF(AND(Table1[[#This Row],[customer_rating]]&gt;=8, Table1[[#This Row],[Tat_day]]&lt;=7, Table1[[#This Row],[lead_type]]="Hot"), "High", "Normal")</f>
        <v>Normal</v>
      </c>
      <c r="Q983" s="5" t="str">
        <f>IF(Table1[[#This Row],[customer_rating]]&gt;=9,"Promoter",IF(Table1[[#This Row],[customer_rating]]&gt;=7,"Passive","Detractor"))</f>
        <v>Detractor</v>
      </c>
      <c r="R983" s="5"/>
    </row>
    <row r="984" spans="1:18">
      <c r="A984" t="s">
        <v>1010</v>
      </c>
      <c r="B984" t="s">
        <v>14</v>
      </c>
      <c r="C984" t="s">
        <v>22</v>
      </c>
      <c r="D984" s="5">
        <v>45944</v>
      </c>
      <c r="H984" t="s">
        <v>23</v>
      </c>
      <c r="I984" t="s">
        <v>63</v>
      </c>
      <c r="K984" s="15" t="str">
        <f t="shared" si="48"/>
        <v/>
      </c>
      <c r="L984" t="str">
        <f t="shared" si="46"/>
        <v/>
      </c>
      <c r="M984" t="str">
        <f t="shared" si="47"/>
        <v/>
      </c>
      <c r="O984"/>
      <c r="P984" s="5" t="str">
        <f>IF(AND(Table1[[#This Row],[customer_rating]]&gt;=8, Table1[[#This Row],[Tat_day]]&lt;=7, Table1[[#This Row],[lead_type]]="Hot"), "High", "Normal")</f>
        <v>Normal</v>
      </c>
      <c r="Q984" s="5" t="str">
        <f>IF(Table1[[#This Row],[customer_rating]]&gt;=9,"Promoter",IF(Table1[[#This Row],[customer_rating]]&gt;=7,"Passive","Detractor"))</f>
        <v>Detractor</v>
      </c>
      <c r="R984" s="5"/>
    </row>
    <row r="985" spans="1:18">
      <c r="A985" t="s">
        <v>1011</v>
      </c>
      <c r="B985" t="s">
        <v>14</v>
      </c>
      <c r="C985" t="s">
        <v>15</v>
      </c>
      <c r="D985" s="5">
        <v>45934</v>
      </c>
      <c r="E985" s="5">
        <v>45939</v>
      </c>
      <c r="F985" s="5">
        <v>45940</v>
      </c>
      <c r="G985" s="5">
        <v>45946</v>
      </c>
      <c r="H985" t="s">
        <v>16</v>
      </c>
      <c r="I985" t="s">
        <v>17</v>
      </c>
      <c r="J985" s="5">
        <v>45959</v>
      </c>
      <c r="K985" s="15">
        <f t="shared" si="48"/>
        <v>5</v>
      </c>
      <c r="L985">
        <f t="shared" si="46"/>
        <v>1</v>
      </c>
      <c r="M985">
        <f t="shared" si="47"/>
        <v>6</v>
      </c>
      <c r="N985">
        <v>2</v>
      </c>
      <c r="O985">
        <f>DATEDIF(Table1[[#This Row],[lead_date]], Table1[[#This Row],[delivery_date]], "d")</f>
        <v>12</v>
      </c>
      <c r="P985" s="5" t="str">
        <f>IF(AND(Table1[[#This Row],[customer_rating]]&gt;=8, Table1[[#This Row],[Tat_day]]&lt;=7, Table1[[#This Row],[lead_type]]="Hot"), "High", "Normal")</f>
        <v>Normal</v>
      </c>
      <c r="Q985" s="5" t="str">
        <f>IF(Table1[[#This Row],[customer_rating]]&gt;=9,"Promoter",IF(Table1[[#This Row],[customer_rating]]&gt;=7,"Passive","Detractor"))</f>
        <v>Detractor</v>
      </c>
      <c r="R985" s="5"/>
    </row>
    <row r="986" spans="1:18">
      <c r="A986" t="s">
        <v>1012</v>
      </c>
      <c r="B986" t="s">
        <v>14</v>
      </c>
      <c r="C986" t="s">
        <v>30</v>
      </c>
      <c r="D986" s="5">
        <v>45956</v>
      </c>
      <c r="E986" s="5">
        <v>45961</v>
      </c>
      <c r="F986" s="5">
        <v>45962</v>
      </c>
      <c r="G986" s="5">
        <v>45966</v>
      </c>
      <c r="H986" t="s">
        <v>16</v>
      </c>
      <c r="I986" t="s">
        <v>17</v>
      </c>
      <c r="J986" s="5">
        <v>45989</v>
      </c>
      <c r="K986" s="15">
        <f t="shared" si="48"/>
        <v>5</v>
      </c>
      <c r="L986">
        <f t="shared" si="46"/>
        <v>1</v>
      </c>
      <c r="M986">
        <f t="shared" si="47"/>
        <v>4</v>
      </c>
      <c r="N986">
        <v>2</v>
      </c>
      <c r="O986">
        <f>DATEDIF(Table1[[#This Row],[lead_date]], Table1[[#This Row],[delivery_date]], "d")</f>
        <v>10</v>
      </c>
      <c r="P986" s="5" t="str">
        <f>IF(AND(Table1[[#This Row],[customer_rating]]&gt;=8, Table1[[#This Row],[Tat_day]]&lt;=7, Table1[[#This Row],[lead_type]]="Hot"), "High", "Normal")</f>
        <v>Normal</v>
      </c>
      <c r="Q986" s="5" t="str">
        <f>IF(Table1[[#This Row],[customer_rating]]&gt;=9,"Promoter",IF(Table1[[#This Row],[customer_rating]]&gt;=7,"Passive","Detractor"))</f>
        <v>Detractor</v>
      </c>
      <c r="R986" s="5"/>
    </row>
    <row r="987" spans="1:18">
      <c r="A987" t="s">
        <v>1013</v>
      </c>
      <c r="B987" t="s">
        <v>19</v>
      </c>
      <c r="C987" t="s">
        <v>30</v>
      </c>
      <c r="D987" s="5">
        <v>45953</v>
      </c>
      <c r="E987" s="5">
        <v>45955</v>
      </c>
      <c r="F987" s="5">
        <v>45958</v>
      </c>
      <c r="G987" s="5">
        <v>45965</v>
      </c>
      <c r="H987" t="s">
        <v>16</v>
      </c>
      <c r="I987" t="s">
        <v>17</v>
      </c>
      <c r="J987" s="5">
        <v>45989</v>
      </c>
      <c r="K987" s="15">
        <f t="shared" si="48"/>
        <v>2</v>
      </c>
      <c r="L987">
        <f t="shared" si="46"/>
        <v>3</v>
      </c>
      <c r="M987">
        <f t="shared" si="47"/>
        <v>7</v>
      </c>
      <c r="N987">
        <v>7</v>
      </c>
      <c r="O987">
        <f>DATEDIF(Table1[[#This Row],[lead_date]], Table1[[#This Row],[delivery_date]], "d")</f>
        <v>12</v>
      </c>
      <c r="P987" s="5" t="str">
        <f>IF(AND(Table1[[#This Row],[customer_rating]]&gt;=8, Table1[[#This Row],[Tat_day]]&lt;=7, Table1[[#This Row],[lead_type]]="Hot"), "High", "Normal")</f>
        <v>Normal</v>
      </c>
      <c r="Q987" s="5" t="str">
        <f>IF(Table1[[#This Row],[customer_rating]]&gt;=9,"Promoter",IF(Table1[[#This Row],[customer_rating]]&gt;=7,"Passive","Detractor"))</f>
        <v>Passive</v>
      </c>
      <c r="R987" s="5"/>
    </row>
    <row r="988" spans="1:18">
      <c r="A988" t="s">
        <v>1014</v>
      </c>
      <c r="B988" t="s">
        <v>14</v>
      </c>
      <c r="C988" t="s">
        <v>30</v>
      </c>
      <c r="D988" s="5">
        <v>45934</v>
      </c>
      <c r="E988" s="5">
        <v>45937</v>
      </c>
      <c r="F988" s="5">
        <v>45938</v>
      </c>
      <c r="G988" s="5">
        <v>45945</v>
      </c>
      <c r="H988" t="s">
        <v>16</v>
      </c>
      <c r="I988" t="s">
        <v>17</v>
      </c>
      <c r="J988" s="5">
        <v>45956</v>
      </c>
      <c r="K988" s="15">
        <f t="shared" si="48"/>
        <v>3</v>
      </c>
      <c r="L988">
        <f t="shared" si="46"/>
        <v>1</v>
      </c>
      <c r="M988">
        <f t="shared" si="47"/>
        <v>7</v>
      </c>
      <c r="N988">
        <v>8</v>
      </c>
      <c r="O988">
        <f>DATEDIF(Table1[[#This Row],[lead_date]], Table1[[#This Row],[delivery_date]], "d")</f>
        <v>11</v>
      </c>
      <c r="P988" s="5" t="str">
        <f>IF(AND(Table1[[#This Row],[customer_rating]]&gt;=8, Table1[[#This Row],[Tat_day]]&lt;=7, Table1[[#This Row],[lead_type]]="Hot"), "High", "Normal")</f>
        <v>Normal</v>
      </c>
      <c r="Q988" s="5" t="str">
        <f>IF(Table1[[#This Row],[customer_rating]]&gt;=9,"Promoter",IF(Table1[[#This Row],[customer_rating]]&gt;=7,"Passive","Detractor"))</f>
        <v>Passive</v>
      </c>
      <c r="R988" s="5"/>
    </row>
    <row r="989" spans="1:18">
      <c r="A989" t="s">
        <v>1015</v>
      </c>
      <c r="B989" t="s">
        <v>21</v>
      </c>
      <c r="C989" t="s">
        <v>30</v>
      </c>
      <c r="D989" s="5">
        <v>45958</v>
      </c>
      <c r="E989" s="5">
        <v>45963</v>
      </c>
      <c r="F989" s="5">
        <v>45965</v>
      </c>
      <c r="G989" s="5">
        <v>45969</v>
      </c>
      <c r="H989" t="s">
        <v>16</v>
      </c>
      <c r="I989" t="s">
        <v>17</v>
      </c>
      <c r="J989" s="5">
        <v>45981</v>
      </c>
      <c r="K989" s="15">
        <f t="shared" si="48"/>
        <v>5</v>
      </c>
      <c r="L989">
        <f t="shared" si="46"/>
        <v>2</v>
      </c>
      <c r="M989">
        <f t="shared" si="47"/>
        <v>4</v>
      </c>
      <c r="N989">
        <v>0</v>
      </c>
      <c r="O989">
        <f>DATEDIF(Table1[[#This Row],[lead_date]], Table1[[#This Row],[delivery_date]], "d")</f>
        <v>11</v>
      </c>
      <c r="P989" s="5" t="str">
        <f>IF(AND(Table1[[#This Row],[customer_rating]]&gt;=8, Table1[[#This Row],[Tat_day]]&lt;=7, Table1[[#This Row],[lead_type]]="Hot"), "High", "Normal")</f>
        <v>Normal</v>
      </c>
      <c r="Q989" s="5" t="str">
        <f>IF(Table1[[#This Row],[customer_rating]]&gt;=9,"Promoter",IF(Table1[[#This Row],[customer_rating]]&gt;=7,"Passive","Detractor"))</f>
        <v>Detractor</v>
      </c>
      <c r="R989" s="5"/>
    </row>
    <row r="990" spans="1:18">
      <c r="A990" t="s">
        <v>1016</v>
      </c>
      <c r="B990" t="s">
        <v>14</v>
      </c>
      <c r="C990" t="s">
        <v>15</v>
      </c>
      <c r="D990" s="5">
        <v>45951</v>
      </c>
      <c r="E990" s="5">
        <v>45954</v>
      </c>
      <c r="F990" s="5">
        <v>45956</v>
      </c>
      <c r="G990" s="5">
        <v>45962</v>
      </c>
      <c r="H990" t="s">
        <v>16</v>
      </c>
      <c r="I990" t="s">
        <v>17</v>
      </c>
      <c r="J990" s="5">
        <v>45980</v>
      </c>
      <c r="K990" s="15">
        <f t="shared" si="48"/>
        <v>3</v>
      </c>
      <c r="L990">
        <f t="shared" si="46"/>
        <v>2</v>
      </c>
      <c r="M990">
        <f t="shared" si="47"/>
        <v>6</v>
      </c>
      <c r="N990">
        <v>4</v>
      </c>
      <c r="O990">
        <f>DATEDIF(Table1[[#This Row],[lead_date]], Table1[[#This Row],[delivery_date]], "d")</f>
        <v>11</v>
      </c>
      <c r="P990" s="5" t="str">
        <f>IF(AND(Table1[[#This Row],[customer_rating]]&gt;=8, Table1[[#This Row],[Tat_day]]&lt;=7, Table1[[#This Row],[lead_type]]="Hot"), "High", "Normal")</f>
        <v>Normal</v>
      </c>
      <c r="Q990" s="5" t="str">
        <f>IF(Table1[[#This Row],[customer_rating]]&gt;=9,"Promoter",IF(Table1[[#This Row],[customer_rating]]&gt;=7,"Passive","Detractor"))</f>
        <v>Detractor</v>
      </c>
      <c r="R990" s="5"/>
    </row>
    <row r="991" spans="1:18">
      <c r="A991" t="s">
        <v>1017</v>
      </c>
      <c r="B991" t="s">
        <v>21</v>
      </c>
      <c r="C991" t="s">
        <v>22</v>
      </c>
      <c r="D991" s="5">
        <v>45951</v>
      </c>
      <c r="H991" t="s">
        <v>23</v>
      </c>
      <c r="I991" t="s">
        <v>1028</v>
      </c>
      <c r="K991" s="15" t="str">
        <f t="shared" si="48"/>
        <v/>
      </c>
      <c r="L991" t="str">
        <f t="shared" si="46"/>
        <v/>
      </c>
      <c r="M991" t="str">
        <f t="shared" si="47"/>
        <v/>
      </c>
      <c r="O991"/>
      <c r="P991" s="5" t="str">
        <f>IF(AND(Table1[[#This Row],[customer_rating]]&gt;=8, Table1[[#This Row],[Tat_day]]&lt;=7, Table1[[#This Row],[lead_type]]="Hot"), "High", "Normal")</f>
        <v>Normal</v>
      </c>
      <c r="Q991" s="5" t="str">
        <f>IF(Table1[[#This Row],[customer_rating]]&gt;=9,"Promoter",IF(Table1[[#This Row],[customer_rating]]&gt;=7,"Passive","Detractor"))</f>
        <v>Detractor</v>
      </c>
      <c r="R991" s="5"/>
    </row>
    <row r="992" spans="1:18">
      <c r="A992" t="s">
        <v>1018</v>
      </c>
      <c r="B992" t="s">
        <v>32</v>
      </c>
      <c r="C992" t="s">
        <v>15</v>
      </c>
      <c r="D992" s="5">
        <v>45959</v>
      </c>
      <c r="E992" s="5">
        <v>45961</v>
      </c>
      <c r="F992" s="5">
        <v>45966</v>
      </c>
      <c r="G992" s="5">
        <v>45968</v>
      </c>
      <c r="H992" t="s">
        <v>16</v>
      </c>
      <c r="I992" t="s">
        <v>17</v>
      </c>
      <c r="J992" s="5">
        <v>45998</v>
      </c>
      <c r="K992" s="15">
        <f t="shared" si="48"/>
        <v>2</v>
      </c>
      <c r="L992">
        <f t="shared" si="46"/>
        <v>5</v>
      </c>
      <c r="M992">
        <f t="shared" si="47"/>
        <v>2</v>
      </c>
      <c r="N992">
        <v>6</v>
      </c>
      <c r="O992">
        <f>DATEDIF(Table1[[#This Row],[lead_date]], Table1[[#This Row],[delivery_date]], "d")</f>
        <v>9</v>
      </c>
      <c r="P992" s="5" t="str">
        <f>IF(AND(Table1[[#This Row],[customer_rating]]&gt;=8, Table1[[#This Row],[Tat_day]]&lt;=7, Table1[[#This Row],[lead_type]]="Hot"), "High", "Normal")</f>
        <v>Normal</v>
      </c>
      <c r="Q992" s="5" t="str">
        <f>IF(Table1[[#This Row],[customer_rating]]&gt;=9,"Promoter",IF(Table1[[#This Row],[customer_rating]]&gt;=7,"Passive","Detractor"))</f>
        <v>Detractor</v>
      </c>
      <c r="R992" s="5"/>
    </row>
    <row r="993" spans="1:18">
      <c r="A993" t="s">
        <v>1019</v>
      </c>
      <c r="B993" t="s">
        <v>19</v>
      </c>
      <c r="C993" t="s">
        <v>30</v>
      </c>
      <c r="D993" s="5">
        <v>45955</v>
      </c>
      <c r="E993" s="5">
        <v>45959</v>
      </c>
      <c r="F993" s="5">
        <v>45961</v>
      </c>
      <c r="G993" s="5">
        <v>45968</v>
      </c>
      <c r="H993" t="s">
        <v>16</v>
      </c>
      <c r="I993" t="s">
        <v>17</v>
      </c>
      <c r="J993" s="5">
        <v>45988</v>
      </c>
      <c r="K993" s="15">
        <f t="shared" si="48"/>
        <v>4</v>
      </c>
      <c r="L993">
        <f t="shared" si="46"/>
        <v>2</v>
      </c>
      <c r="M993">
        <f t="shared" si="47"/>
        <v>7</v>
      </c>
      <c r="N993">
        <v>3</v>
      </c>
      <c r="O993">
        <f>DATEDIF(Table1[[#This Row],[lead_date]], Table1[[#This Row],[delivery_date]], "d")</f>
        <v>13</v>
      </c>
      <c r="P993" s="5" t="str">
        <f>IF(AND(Table1[[#This Row],[customer_rating]]&gt;=8, Table1[[#This Row],[Tat_day]]&lt;=7, Table1[[#This Row],[lead_type]]="Hot"), "High", "Normal")</f>
        <v>Normal</v>
      </c>
      <c r="Q993" s="5" t="str">
        <f>IF(Table1[[#This Row],[customer_rating]]&gt;=9,"Promoter",IF(Table1[[#This Row],[customer_rating]]&gt;=7,"Passive","Detractor"))</f>
        <v>Detractor</v>
      </c>
      <c r="R993" s="5"/>
    </row>
    <row r="994" spans="1:18">
      <c r="A994" t="s">
        <v>1020</v>
      </c>
      <c r="B994" t="s">
        <v>32</v>
      </c>
      <c r="C994" t="s">
        <v>30</v>
      </c>
      <c r="D994" s="5">
        <v>45948</v>
      </c>
      <c r="E994" s="5">
        <v>45953</v>
      </c>
      <c r="F994" s="5">
        <v>45958</v>
      </c>
      <c r="G994" s="5">
        <v>45965</v>
      </c>
      <c r="H994" t="s">
        <v>16</v>
      </c>
      <c r="I994" t="s">
        <v>17</v>
      </c>
      <c r="J994" s="5">
        <v>45975</v>
      </c>
      <c r="K994" s="15">
        <f t="shared" si="48"/>
        <v>5</v>
      </c>
      <c r="L994">
        <f t="shared" si="46"/>
        <v>5</v>
      </c>
      <c r="M994">
        <f t="shared" si="47"/>
        <v>7</v>
      </c>
      <c r="N994">
        <v>5</v>
      </c>
      <c r="O994">
        <f>DATEDIF(Table1[[#This Row],[lead_date]], Table1[[#This Row],[delivery_date]], "d")</f>
        <v>17</v>
      </c>
      <c r="P994" s="5" t="str">
        <f>IF(AND(Table1[[#This Row],[customer_rating]]&gt;=8, Table1[[#This Row],[Tat_day]]&lt;=7, Table1[[#This Row],[lead_type]]="Hot"), "High", "Normal")</f>
        <v>Normal</v>
      </c>
      <c r="Q994" s="5" t="str">
        <f>IF(Table1[[#This Row],[customer_rating]]&gt;=9,"Promoter",IF(Table1[[#This Row],[customer_rating]]&gt;=7,"Passive","Detractor"))</f>
        <v>Detractor</v>
      </c>
      <c r="R994" s="5"/>
    </row>
    <row r="995" spans="1:18">
      <c r="A995" t="s">
        <v>1021</v>
      </c>
      <c r="B995" t="s">
        <v>32</v>
      </c>
      <c r="C995" t="s">
        <v>30</v>
      </c>
      <c r="D995" s="5">
        <v>45954</v>
      </c>
      <c r="E995" s="5">
        <v>45957</v>
      </c>
      <c r="F995" s="5">
        <v>45959</v>
      </c>
      <c r="G995" s="5">
        <v>45963</v>
      </c>
      <c r="H995" t="s">
        <v>16</v>
      </c>
      <c r="I995" t="s">
        <v>17</v>
      </c>
      <c r="J995" s="5">
        <v>45989</v>
      </c>
      <c r="K995" s="15">
        <f t="shared" si="48"/>
        <v>3</v>
      </c>
      <c r="L995">
        <f t="shared" si="46"/>
        <v>2</v>
      </c>
      <c r="M995">
        <f t="shared" si="47"/>
        <v>4</v>
      </c>
      <c r="N995">
        <v>7</v>
      </c>
      <c r="O995">
        <f>DATEDIF(Table1[[#This Row],[lead_date]], Table1[[#This Row],[delivery_date]], "d")</f>
        <v>9</v>
      </c>
      <c r="P995" s="5" t="str">
        <f>IF(AND(Table1[[#This Row],[customer_rating]]&gt;=8, Table1[[#This Row],[Tat_day]]&lt;=7, Table1[[#This Row],[lead_type]]="Hot"), "High", "Normal")</f>
        <v>Normal</v>
      </c>
      <c r="Q995" s="5" t="str">
        <f>IF(Table1[[#This Row],[customer_rating]]&gt;=9,"Promoter",IF(Table1[[#This Row],[customer_rating]]&gt;=7,"Passive","Detractor"))</f>
        <v>Passive</v>
      </c>
      <c r="R995" s="5"/>
    </row>
    <row r="996" spans="1:18">
      <c r="A996" t="s">
        <v>1022</v>
      </c>
      <c r="B996" t="s">
        <v>21</v>
      </c>
      <c r="C996" t="s">
        <v>30</v>
      </c>
      <c r="D996" s="5">
        <v>45958</v>
      </c>
      <c r="E996" s="5">
        <v>45963</v>
      </c>
      <c r="F996" s="5">
        <v>45966</v>
      </c>
      <c r="G996" s="5">
        <v>45972</v>
      </c>
      <c r="H996" t="s">
        <v>16</v>
      </c>
      <c r="I996" t="s">
        <v>17</v>
      </c>
      <c r="J996" s="5">
        <v>46000</v>
      </c>
      <c r="K996" s="15">
        <f t="shared" si="48"/>
        <v>5</v>
      </c>
      <c r="L996">
        <f t="shared" si="46"/>
        <v>3</v>
      </c>
      <c r="M996">
        <f t="shared" si="47"/>
        <v>6</v>
      </c>
      <c r="N996">
        <v>1</v>
      </c>
      <c r="O996">
        <f>DATEDIF(Table1[[#This Row],[lead_date]], Table1[[#This Row],[delivery_date]], "d")</f>
        <v>14</v>
      </c>
      <c r="P996" s="5" t="str">
        <f>IF(AND(Table1[[#This Row],[customer_rating]]&gt;=8, Table1[[#This Row],[Tat_day]]&lt;=7, Table1[[#This Row],[lead_type]]="Hot"), "High", "Normal")</f>
        <v>Normal</v>
      </c>
      <c r="Q996" s="5" t="str">
        <f>IF(Table1[[#This Row],[customer_rating]]&gt;=9,"Promoter",IF(Table1[[#This Row],[customer_rating]]&gt;=7,"Passive","Detractor"))</f>
        <v>Detractor</v>
      </c>
      <c r="R996" s="5"/>
    </row>
    <row r="997" spans="1:18">
      <c r="A997" t="s">
        <v>1023</v>
      </c>
      <c r="B997" t="s">
        <v>32</v>
      </c>
      <c r="C997" t="s">
        <v>30</v>
      </c>
      <c r="D997" s="5">
        <v>45937</v>
      </c>
      <c r="E997" s="5">
        <v>45940</v>
      </c>
      <c r="F997" s="5">
        <v>45945</v>
      </c>
      <c r="G997" s="5">
        <v>45951</v>
      </c>
      <c r="H997" t="s">
        <v>16</v>
      </c>
      <c r="I997" t="s">
        <v>17</v>
      </c>
      <c r="J997" s="5">
        <v>45979</v>
      </c>
      <c r="K997" s="15">
        <f t="shared" si="48"/>
        <v>3</v>
      </c>
      <c r="L997">
        <f t="shared" si="46"/>
        <v>5</v>
      </c>
      <c r="M997">
        <f t="shared" si="47"/>
        <v>6</v>
      </c>
      <c r="N997">
        <v>5</v>
      </c>
      <c r="O997">
        <f>DATEDIF(Table1[[#This Row],[lead_date]], Table1[[#This Row],[delivery_date]], "d")</f>
        <v>14</v>
      </c>
      <c r="P997" s="5" t="str">
        <f>IF(AND(Table1[[#This Row],[customer_rating]]&gt;=8, Table1[[#This Row],[Tat_day]]&lt;=7, Table1[[#This Row],[lead_type]]="Hot"), "High", "Normal")</f>
        <v>Normal</v>
      </c>
      <c r="Q997" s="5" t="str">
        <f>IF(Table1[[#This Row],[customer_rating]]&gt;=9,"Promoter",IF(Table1[[#This Row],[customer_rating]]&gt;=7,"Passive","Detractor"))</f>
        <v>Detractor</v>
      </c>
      <c r="R997" s="5"/>
    </row>
    <row r="998" spans="1:18">
      <c r="A998" t="s">
        <v>1024</v>
      </c>
      <c r="B998" t="s">
        <v>21</v>
      </c>
      <c r="C998" t="s">
        <v>30</v>
      </c>
      <c r="D998" s="5">
        <v>45944</v>
      </c>
      <c r="E998" s="5">
        <v>45949</v>
      </c>
      <c r="F998" s="5">
        <v>45953</v>
      </c>
      <c r="G998" s="5">
        <v>45956</v>
      </c>
      <c r="H998" t="s">
        <v>16</v>
      </c>
      <c r="I998" t="s">
        <v>17</v>
      </c>
      <c r="J998" s="5">
        <v>45973</v>
      </c>
      <c r="K998" s="15">
        <f t="shared" si="48"/>
        <v>5</v>
      </c>
      <c r="L998">
        <f t="shared" si="46"/>
        <v>4</v>
      </c>
      <c r="M998">
        <f t="shared" si="47"/>
        <v>3</v>
      </c>
      <c r="N998">
        <v>7</v>
      </c>
      <c r="O998">
        <f>DATEDIF(Table1[[#This Row],[lead_date]], Table1[[#This Row],[delivery_date]], "d")</f>
        <v>12</v>
      </c>
      <c r="P998" s="5" t="str">
        <f>IF(AND(Table1[[#This Row],[customer_rating]]&gt;=8, Table1[[#This Row],[Tat_day]]&lt;=7, Table1[[#This Row],[lead_type]]="Hot"), "High", "Normal")</f>
        <v>Normal</v>
      </c>
      <c r="Q998" s="5" t="str">
        <f>IF(Table1[[#This Row],[customer_rating]]&gt;=9,"Promoter",IF(Table1[[#This Row],[customer_rating]]&gt;=7,"Passive","Detractor"))</f>
        <v>Passive</v>
      </c>
      <c r="R998" s="5"/>
    </row>
    <row r="999" spans="1:18">
      <c r="A999" t="s">
        <v>1025</v>
      </c>
      <c r="B999" t="s">
        <v>14</v>
      </c>
      <c r="C999" t="s">
        <v>15</v>
      </c>
      <c r="D999" s="5">
        <v>45945</v>
      </c>
      <c r="E999" s="5">
        <v>45950</v>
      </c>
      <c r="F999" s="5">
        <v>45954</v>
      </c>
      <c r="G999" s="5">
        <v>45960</v>
      </c>
      <c r="H999" t="s">
        <v>16</v>
      </c>
      <c r="I999" t="s">
        <v>17</v>
      </c>
      <c r="J999" s="5">
        <v>45980</v>
      </c>
      <c r="K999" s="15">
        <f t="shared" si="48"/>
        <v>5</v>
      </c>
      <c r="L999">
        <f t="shared" si="46"/>
        <v>4</v>
      </c>
      <c r="M999">
        <f t="shared" si="47"/>
        <v>6</v>
      </c>
      <c r="N999">
        <v>3</v>
      </c>
      <c r="O999">
        <f>DATEDIF(Table1[[#This Row],[lead_date]], Table1[[#This Row],[delivery_date]], "d")</f>
        <v>15</v>
      </c>
      <c r="P999" s="5" t="str">
        <f>IF(AND(Table1[[#This Row],[customer_rating]]&gt;=8, Table1[[#This Row],[Tat_day]]&lt;=7, Table1[[#This Row],[lead_type]]="Hot"), "High", "Normal")</f>
        <v>Normal</v>
      </c>
      <c r="Q999" s="5" t="str">
        <f>IF(Table1[[#This Row],[customer_rating]]&gt;=9,"Promoter",IF(Table1[[#This Row],[customer_rating]]&gt;=7,"Passive","Detractor"))</f>
        <v>Detractor</v>
      </c>
      <c r="R999" s="5"/>
    </row>
    <row r="1000" spans="1:18">
      <c r="A1000" t="s">
        <v>1026</v>
      </c>
      <c r="B1000" t="s">
        <v>14</v>
      </c>
      <c r="C1000" t="s">
        <v>22</v>
      </c>
      <c r="D1000" s="5">
        <v>45959</v>
      </c>
      <c r="H1000" t="s">
        <v>23</v>
      </c>
      <c r="I1000" t="s">
        <v>33</v>
      </c>
      <c r="K1000" s="15" t="str">
        <f t="shared" si="48"/>
        <v/>
      </c>
      <c r="L1000" t="str">
        <f t="shared" si="46"/>
        <v/>
      </c>
      <c r="M1000" t="str">
        <f t="shared" si="47"/>
        <v/>
      </c>
      <c r="O1000"/>
      <c r="P1000" s="5" t="str">
        <f>IF(AND(Table1[[#This Row],[customer_rating]]&gt;=8, Table1[[#This Row],[Tat_day]]&lt;=7, Table1[[#This Row],[lead_type]]="Hot"), "High", "Normal")</f>
        <v>Normal</v>
      </c>
      <c r="Q1000" s="5" t="str">
        <f>IF(Table1[[#This Row],[customer_rating]]&gt;=9,"Promoter",IF(Table1[[#This Row],[customer_rating]]&gt;=7,"Passive","Detractor"))</f>
        <v>Detractor</v>
      </c>
      <c r="R1000" s="5"/>
    </row>
    <row r="1001" spans="1:18">
      <c r="A1001" t="s">
        <v>1027</v>
      </c>
      <c r="B1001" t="s">
        <v>21</v>
      </c>
      <c r="C1001" t="s">
        <v>15</v>
      </c>
      <c r="D1001" s="5">
        <v>45938</v>
      </c>
      <c r="E1001" s="5">
        <v>45943</v>
      </c>
      <c r="F1001" s="5">
        <v>45945</v>
      </c>
      <c r="G1001" s="5">
        <v>45948</v>
      </c>
      <c r="H1001" t="s">
        <v>16</v>
      </c>
      <c r="I1001" t="s">
        <v>17</v>
      </c>
      <c r="J1001" s="5">
        <v>45974</v>
      </c>
      <c r="K1001" s="15">
        <f t="shared" si="48"/>
        <v>5</v>
      </c>
      <c r="L1001">
        <f t="shared" si="46"/>
        <v>2</v>
      </c>
      <c r="M1001">
        <f t="shared" si="47"/>
        <v>3</v>
      </c>
      <c r="N1001">
        <v>4</v>
      </c>
      <c r="O1001">
        <f>DATEDIF(Table1[[#This Row],[lead_date]], Table1[[#This Row],[delivery_date]], "d")</f>
        <v>10</v>
      </c>
      <c r="P1001" s="5" t="str">
        <f>IF(AND(Table1[[#This Row],[customer_rating]]&gt;=8, Table1[[#This Row],[Tat_day]]&lt;=7, Table1[[#This Row],[lead_type]]="Hot"), "High", "Normal")</f>
        <v>Normal</v>
      </c>
      <c r="Q1001" s="5" t="str">
        <f>IF(Table1[[#This Row],[customer_rating]]&gt;=9,"Promoter",IF(Table1[[#This Row],[customer_rating]]&gt;=7,"Passive","Detractor"))</f>
        <v>Detractor</v>
      </c>
      <c r="R1001" s="5"/>
    </row>
  </sheetData>
  <phoneticPr fontId="5" type="noConversion"/>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DF17AA-A71A-4BEB-A33E-0D33B09D0A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Conversion_rates_by_stores</vt:lpstr>
      <vt:lpstr>average_tat_by_store_1</vt:lpstr>
      <vt:lpstr>high_performance_lead_by_store1</vt:lpstr>
      <vt:lpstr>high_performance_lead_by_cutome</vt:lpstr>
      <vt:lpstr>cancellations_by_store_reason__</vt:lpstr>
      <vt:lpstr>lead_temp_overall_1</vt:lpstr>
      <vt:lpstr>nps_by_store_1</vt:lpstr>
      <vt:lpstr>Pivot_Final</vt:lpstr>
      <vt:lpstr>Assisment_link</vt:lpstr>
      <vt:lpstr>Dashboard</vt: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rishabhsharma8734@gmail.com</cp:lastModifiedBy>
  <dcterms:created xsi:type="dcterms:W3CDTF">2025-10-30T17:42:13Z</dcterms:created>
  <dcterms:modified xsi:type="dcterms:W3CDTF">2025-11-02T11:15:40Z</dcterms:modified>
</cp:coreProperties>
</file>